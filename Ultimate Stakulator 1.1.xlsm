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C:\Users\mir\Desktop\Crypto\Staking\stakulator\"/>
    </mc:Choice>
  </mc:AlternateContent>
  <xr:revisionPtr revIDLastSave="0" documentId="13_ncr:1_{D73F3578-0FCB-4893-8DA2-BF9C956E630C}" xr6:coauthVersionLast="36" xr6:coauthVersionMax="36" xr10:uidLastSave="{00000000-0000-0000-0000-000000000000}"/>
  <workbookProtection lockStructure="1"/>
  <bookViews>
    <workbookView xWindow="32760" yWindow="32760" windowWidth="16380" windowHeight="8190" xr2:uid="{00000000-000D-0000-FFFF-FFFF00000000}"/>
  </bookViews>
  <sheets>
    <sheet name="Sheet1" sheetId="1" r:id="rId1"/>
    <sheet name="Sheet2" sheetId="2" r:id="rId2"/>
    <sheet name="Sheet3" sheetId="3" r:id="rId3"/>
    <sheet name="Sheet4" sheetId="5" r:id="rId4"/>
    <sheet name="Sheet5" sheetId="7" r:id="rId5"/>
    <sheet name="Sheet6" sheetId="9" r:id="rId6"/>
  </sheets>
  <definedNames>
    <definedName name="APY">OFFSET(Sheet3!$M$5, 0, 0, Sheet3!$C$1)</definedName>
    <definedName name="BE">OFFSET(Sheet3!$J$5, 0, 0, Sheet3!$C$1)</definedName>
    <definedName name="BEdiff">OFFSET(Sheet3!$I$5, 0, 0, Sheet3!$C$1)</definedName>
    <definedName name="Date">OFFSET(Sheet3!$A$5, 0, 0, Sheet3!$C$1)</definedName>
    <definedName name="NewBE">OFFSET(Sheet3!$S$5, 0, 0, Sheet3!$C$1)</definedName>
    <definedName name="Price">OFFSET(Sheet3!$F$5, 0, 0, Sheet3!$C$1)</definedName>
    <definedName name="Reward">OFFSET(Sheet3!$N$5, 0, 0, Sheet3!$C$1)</definedName>
  </definedNames>
  <calcPr calcId="191029"/>
</workbook>
</file>

<file path=xl/calcChain.xml><?xml version="1.0" encoding="utf-8"?>
<calcChain xmlns="http://schemas.openxmlformats.org/spreadsheetml/2006/main">
  <c r="C9" i="2" l="1"/>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8" i="2"/>
  <c r="D4" i="3" l="1"/>
  <c r="A71" i="2" l="1"/>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V6" i="2" l="1"/>
  <c r="C21" i="1" l="1"/>
  <c r="P37" i="2" l="1"/>
  <c r="P45" i="2"/>
  <c r="P53" i="2"/>
  <c r="P61" i="2"/>
  <c r="P69" i="2"/>
  <c r="P77" i="2"/>
  <c r="P85" i="2"/>
  <c r="P93" i="2"/>
  <c r="P101" i="2"/>
  <c r="P109" i="2"/>
  <c r="P117" i="2"/>
  <c r="P125" i="2"/>
  <c r="P133" i="2"/>
  <c r="P141" i="2"/>
  <c r="P149" i="2"/>
  <c r="P157" i="2"/>
  <c r="P165" i="2"/>
  <c r="P173" i="2"/>
  <c r="P181" i="2"/>
  <c r="P189" i="2"/>
  <c r="P197" i="2"/>
  <c r="P205" i="2"/>
  <c r="P213" i="2"/>
  <c r="P221" i="2"/>
  <c r="P229" i="2"/>
  <c r="P237" i="2"/>
  <c r="P245" i="2"/>
  <c r="P253" i="2"/>
  <c r="P261" i="2"/>
  <c r="P269" i="2"/>
  <c r="P277" i="2"/>
  <c r="P285" i="2"/>
  <c r="P293" i="2"/>
  <c r="P301" i="2"/>
  <c r="P309" i="2"/>
  <c r="P317" i="2"/>
  <c r="P325" i="2"/>
  <c r="P333" i="2"/>
  <c r="P341" i="2"/>
  <c r="P349" i="2"/>
  <c r="P357" i="2"/>
  <c r="P365" i="2"/>
  <c r="P38" i="2"/>
  <c r="P46" i="2"/>
  <c r="P54" i="2"/>
  <c r="P62" i="2"/>
  <c r="P70" i="2"/>
  <c r="P78" i="2"/>
  <c r="P86" i="2"/>
  <c r="P94" i="2"/>
  <c r="P102" i="2"/>
  <c r="P110" i="2"/>
  <c r="P118" i="2"/>
  <c r="P126" i="2"/>
  <c r="P134" i="2"/>
  <c r="P142" i="2"/>
  <c r="P150" i="2"/>
  <c r="P158" i="2"/>
  <c r="P166" i="2"/>
  <c r="P174" i="2"/>
  <c r="P182" i="2"/>
  <c r="P190" i="2"/>
  <c r="P198" i="2"/>
  <c r="P206" i="2"/>
  <c r="P214" i="2"/>
  <c r="P222" i="2"/>
  <c r="P230" i="2"/>
  <c r="P238" i="2"/>
  <c r="P246" i="2"/>
  <c r="P254" i="2"/>
  <c r="P262" i="2"/>
  <c r="P270" i="2"/>
  <c r="P278" i="2"/>
  <c r="P286" i="2"/>
  <c r="P294" i="2"/>
  <c r="P302" i="2"/>
  <c r="P310" i="2"/>
  <c r="P318" i="2"/>
  <c r="P326" i="2"/>
  <c r="P334" i="2"/>
  <c r="P342" i="2"/>
  <c r="P350" i="2"/>
  <c r="P358" i="2"/>
  <c r="P366" i="2"/>
  <c r="P374" i="2"/>
  <c r="P382" i="2"/>
  <c r="P390" i="2"/>
  <c r="P398" i="2"/>
  <c r="P406" i="2"/>
  <c r="P414" i="2"/>
  <c r="P422" i="2"/>
  <c r="P430" i="2"/>
  <c r="P438" i="2"/>
  <c r="P446" i="2"/>
  <c r="P454" i="2"/>
  <c r="P462" i="2"/>
  <c r="P470" i="2"/>
  <c r="P478" i="2"/>
  <c r="P486" i="2"/>
  <c r="P494" i="2"/>
  <c r="P424" i="2"/>
  <c r="P472" i="2"/>
  <c r="P488" i="2"/>
  <c r="P226" i="2"/>
  <c r="P314" i="2"/>
  <c r="P362" i="2"/>
  <c r="P394" i="2"/>
  <c r="P434" i="2"/>
  <c r="P466" i="2"/>
  <c r="P39" i="2"/>
  <c r="P47" i="2"/>
  <c r="P55" i="2"/>
  <c r="P63" i="2"/>
  <c r="P71" i="2"/>
  <c r="P79" i="2"/>
  <c r="P87" i="2"/>
  <c r="P95" i="2"/>
  <c r="P103" i="2"/>
  <c r="P111" i="2"/>
  <c r="P119" i="2"/>
  <c r="P127" i="2"/>
  <c r="P135" i="2"/>
  <c r="P143" i="2"/>
  <c r="P151" i="2"/>
  <c r="P159" i="2"/>
  <c r="P167" i="2"/>
  <c r="P175" i="2"/>
  <c r="P183" i="2"/>
  <c r="P191" i="2"/>
  <c r="P199" i="2"/>
  <c r="P207" i="2"/>
  <c r="P215" i="2"/>
  <c r="P223" i="2"/>
  <c r="P231" i="2"/>
  <c r="P239" i="2"/>
  <c r="P247" i="2"/>
  <c r="P255" i="2"/>
  <c r="P263" i="2"/>
  <c r="P271" i="2"/>
  <c r="P279" i="2"/>
  <c r="P287" i="2"/>
  <c r="P295" i="2"/>
  <c r="P303" i="2"/>
  <c r="P311" i="2"/>
  <c r="P319" i="2"/>
  <c r="P327" i="2"/>
  <c r="P335" i="2"/>
  <c r="P343" i="2"/>
  <c r="P351" i="2"/>
  <c r="P359" i="2"/>
  <c r="P367" i="2"/>
  <c r="P375" i="2"/>
  <c r="P383" i="2"/>
  <c r="P391" i="2"/>
  <c r="P399" i="2"/>
  <c r="P407" i="2"/>
  <c r="P415" i="2"/>
  <c r="P423" i="2"/>
  <c r="P431" i="2"/>
  <c r="P439" i="2"/>
  <c r="P447" i="2"/>
  <c r="P455" i="2"/>
  <c r="P463" i="2"/>
  <c r="P471" i="2"/>
  <c r="P479" i="2"/>
  <c r="P487" i="2"/>
  <c r="P495" i="2"/>
  <c r="P432" i="2"/>
  <c r="P464" i="2"/>
  <c r="P496" i="2"/>
  <c r="P242" i="2"/>
  <c r="P298" i="2"/>
  <c r="P354" i="2"/>
  <c r="P386" i="2"/>
  <c r="P426" i="2"/>
  <c r="P458" i="2"/>
  <c r="P498" i="2"/>
  <c r="P268" i="2"/>
  <c r="P40" i="2"/>
  <c r="P48" i="2"/>
  <c r="P56" i="2"/>
  <c r="P64" i="2"/>
  <c r="P72" i="2"/>
  <c r="P80" i="2"/>
  <c r="P88" i="2"/>
  <c r="P96" i="2"/>
  <c r="P104" i="2"/>
  <c r="P112" i="2"/>
  <c r="P120" i="2"/>
  <c r="P128" i="2"/>
  <c r="P136" i="2"/>
  <c r="P144" i="2"/>
  <c r="P152" i="2"/>
  <c r="P160" i="2"/>
  <c r="P168" i="2"/>
  <c r="P176" i="2"/>
  <c r="P184" i="2"/>
  <c r="P192" i="2"/>
  <c r="P200" i="2"/>
  <c r="P208" i="2"/>
  <c r="P216" i="2"/>
  <c r="P224" i="2"/>
  <c r="P232" i="2"/>
  <c r="P240" i="2"/>
  <c r="P248" i="2"/>
  <c r="P256" i="2"/>
  <c r="P264" i="2"/>
  <c r="P272" i="2"/>
  <c r="P280" i="2"/>
  <c r="P288" i="2"/>
  <c r="P296" i="2"/>
  <c r="P304" i="2"/>
  <c r="P312" i="2"/>
  <c r="P320" i="2"/>
  <c r="P328" i="2"/>
  <c r="P336" i="2"/>
  <c r="P344" i="2"/>
  <c r="P352" i="2"/>
  <c r="P360" i="2"/>
  <c r="P368" i="2"/>
  <c r="P376" i="2"/>
  <c r="P384" i="2"/>
  <c r="P392" i="2"/>
  <c r="P400" i="2"/>
  <c r="P408" i="2"/>
  <c r="P416" i="2"/>
  <c r="P440" i="2"/>
  <c r="P448" i="2"/>
  <c r="P456" i="2"/>
  <c r="P480" i="2"/>
  <c r="P234" i="2"/>
  <c r="P338" i="2"/>
  <c r="P402" i="2"/>
  <c r="P450" i="2"/>
  <c r="P490" i="2"/>
  <c r="P41" i="2"/>
  <c r="P49" i="2"/>
  <c r="P57" i="2"/>
  <c r="P65" i="2"/>
  <c r="P73" i="2"/>
  <c r="P81" i="2"/>
  <c r="P89" i="2"/>
  <c r="P97" i="2"/>
  <c r="P105" i="2"/>
  <c r="P113" i="2"/>
  <c r="P121" i="2"/>
  <c r="P129" i="2"/>
  <c r="P137" i="2"/>
  <c r="P145" i="2"/>
  <c r="P153" i="2"/>
  <c r="P161" i="2"/>
  <c r="P169" i="2"/>
  <c r="P177" i="2"/>
  <c r="P185" i="2"/>
  <c r="P193" i="2"/>
  <c r="P201" i="2"/>
  <c r="P209" i="2"/>
  <c r="P217" i="2"/>
  <c r="P225" i="2"/>
  <c r="P233" i="2"/>
  <c r="P241" i="2"/>
  <c r="P249" i="2"/>
  <c r="P257" i="2"/>
  <c r="P265" i="2"/>
  <c r="P273" i="2"/>
  <c r="P281" i="2"/>
  <c r="P289" i="2"/>
  <c r="P297" i="2"/>
  <c r="P305" i="2"/>
  <c r="P313" i="2"/>
  <c r="P321" i="2"/>
  <c r="P329" i="2"/>
  <c r="P337" i="2"/>
  <c r="P345" i="2"/>
  <c r="P353" i="2"/>
  <c r="P361" i="2"/>
  <c r="P369" i="2"/>
  <c r="P377" i="2"/>
  <c r="P385" i="2"/>
  <c r="P393" i="2"/>
  <c r="P401" i="2"/>
  <c r="P409" i="2"/>
  <c r="P417" i="2"/>
  <c r="P425" i="2"/>
  <c r="P433" i="2"/>
  <c r="P441" i="2"/>
  <c r="P449" i="2"/>
  <c r="P457" i="2"/>
  <c r="P465" i="2"/>
  <c r="P473" i="2"/>
  <c r="P481" i="2"/>
  <c r="P489" i="2"/>
  <c r="P497" i="2"/>
  <c r="P98" i="2"/>
  <c r="P162" i="2"/>
  <c r="P178" i="2"/>
  <c r="P194" i="2"/>
  <c r="P210" i="2"/>
  <c r="P258" i="2"/>
  <c r="P266" i="2"/>
  <c r="P282" i="2"/>
  <c r="P290" i="2"/>
  <c r="P322" i="2"/>
  <c r="P346" i="2"/>
  <c r="P378" i="2"/>
  <c r="P410" i="2"/>
  <c r="P442" i="2"/>
  <c r="P482" i="2"/>
  <c r="P42" i="2"/>
  <c r="P50" i="2"/>
  <c r="P58" i="2"/>
  <c r="P66" i="2"/>
  <c r="P74" i="2"/>
  <c r="P82" i="2"/>
  <c r="P90" i="2"/>
  <c r="P106" i="2"/>
  <c r="P114" i="2"/>
  <c r="P122" i="2"/>
  <c r="P130" i="2"/>
  <c r="P138" i="2"/>
  <c r="P146" i="2"/>
  <c r="P154" i="2"/>
  <c r="P170" i="2"/>
  <c r="P186" i="2"/>
  <c r="P202" i="2"/>
  <c r="P218" i="2"/>
  <c r="P250" i="2"/>
  <c r="P274" i="2"/>
  <c r="P306" i="2"/>
  <c r="P330" i="2"/>
  <c r="P370" i="2"/>
  <c r="P418" i="2"/>
  <c r="P474" i="2"/>
  <c r="P43" i="2"/>
  <c r="P51" i="2"/>
  <c r="P59" i="2"/>
  <c r="P67" i="2"/>
  <c r="P75" i="2"/>
  <c r="P83" i="2"/>
  <c r="P91" i="2"/>
  <c r="P99" i="2"/>
  <c r="P107" i="2"/>
  <c r="P115" i="2"/>
  <c r="P123" i="2"/>
  <c r="P131" i="2"/>
  <c r="P139" i="2"/>
  <c r="P147" i="2"/>
  <c r="P155" i="2"/>
  <c r="P163" i="2"/>
  <c r="P171" i="2"/>
  <c r="P179" i="2"/>
  <c r="P187" i="2"/>
  <c r="P195" i="2"/>
  <c r="P203" i="2"/>
  <c r="P211" i="2"/>
  <c r="P219" i="2"/>
  <c r="P227" i="2"/>
  <c r="P235" i="2"/>
  <c r="P243" i="2"/>
  <c r="P251" i="2"/>
  <c r="P259" i="2"/>
  <c r="P267" i="2"/>
  <c r="P275" i="2"/>
  <c r="P283" i="2"/>
  <c r="P291" i="2"/>
  <c r="P299" i="2"/>
  <c r="P307" i="2"/>
  <c r="P315" i="2"/>
  <c r="P323" i="2"/>
  <c r="P331" i="2"/>
  <c r="P339" i="2"/>
  <c r="P347" i="2"/>
  <c r="P355" i="2"/>
  <c r="P363" i="2"/>
  <c r="P371" i="2"/>
  <c r="P379" i="2"/>
  <c r="P387" i="2"/>
  <c r="P395" i="2"/>
  <c r="P403" i="2"/>
  <c r="P411" i="2"/>
  <c r="P419" i="2"/>
  <c r="P427" i="2"/>
  <c r="P435" i="2"/>
  <c r="P443" i="2"/>
  <c r="P451" i="2"/>
  <c r="P459" i="2"/>
  <c r="P467" i="2"/>
  <c r="P475" i="2"/>
  <c r="P483" i="2"/>
  <c r="P491" i="2"/>
  <c r="P499" i="2"/>
  <c r="P44" i="2"/>
  <c r="P52" i="2"/>
  <c r="P60" i="2"/>
  <c r="P68" i="2"/>
  <c r="P76" i="2"/>
  <c r="P84" i="2"/>
  <c r="P92" i="2"/>
  <c r="P100" i="2"/>
  <c r="P108" i="2"/>
  <c r="P116" i="2"/>
  <c r="P124" i="2"/>
  <c r="P132" i="2"/>
  <c r="P140" i="2"/>
  <c r="P148" i="2"/>
  <c r="P156" i="2"/>
  <c r="P164" i="2"/>
  <c r="P172" i="2"/>
  <c r="P180" i="2"/>
  <c r="P188" i="2"/>
  <c r="P196" i="2"/>
  <c r="P204" i="2"/>
  <c r="P212" i="2"/>
  <c r="P220" i="2"/>
  <c r="P260" i="2"/>
  <c r="P276" i="2"/>
  <c r="P284" i="2"/>
  <c r="P292" i="2"/>
  <c r="P244" i="2"/>
  <c r="P348" i="2"/>
  <c r="P389" i="2"/>
  <c r="P421" i="2"/>
  <c r="P453" i="2"/>
  <c r="P485" i="2"/>
  <c r="P252" i="2"/>
  <c r="P356" i="2"/>
  <c r="P396" i="2"/>
  <c r="P428" i="2"/>
  <c r="P460" i="2"/>
  <c r="P492" i="2"/>
  <c r="P300" i="2"/>
  <c r="P364" i="2"/>
  <c r="P397" i="2"/>
  <c r="P429" i="2"/>
  <c r="P461" i="2"/>
  <c r="P493" i="2"/>
  <c r="P308" i="2"/>
  <c r="P372" i="2"/>
  <c r="P404" i="2"/>
  <c r="P436" i="2"/>
  <c r="P316" i="2"/>
  <c r="P373" i="2"/>
  <c r="P405" i="2"/>
  <c r="P437" i="2"/>
  <c r="P469" i="2"/>
  <c r="P228" i="2"/>
  <c r="P413" i="2"/>
  <c r="P477" i="2"/>
  <c r="P340" i="2"/>
  <c r="P420" i="2"/>
  <c r="P484" i="2"/>
  <c r="P500" i="2"/>
  <c r="P324" i="2"/>
  <c r="P380" i="2"/>
  <c r="P412" i="2"/>
  <c r="P444" i="2"/>
  <c r="P476" i="2"/>
  <c r="P332" i="2"/>
  <c r="P381" i="2"/>
  <c r="P445" i="2"/>
  <c r="P236" i="2"/>
  <c r="P388" i="2"/>
  <c r="P452" i="2"/>
  <c r="P468" i="2"/>
  <c r="P8" i="2"/>
  <c r="P13" i="2"/>
  <c r="P21" i="2"/>
  <c r="P29" i="2"/>
  <c r="P23" i="2"/>
  <c r="P31" i="2"/>
  <c r="P25" i="2"/>
  <c r="P34" i="2"/>
  <c r="P28" i="2"/>
  <c r="P14" i="2"/>
  <c r="P22" i="2"/>
  <c r="P30" i="2"/>
  <c r="P15" i="2"/>
  <c r="P24" i="2"/>
  <c r="P32" i="2"/>
  <c r="P17" i="2"/>
  <c r="P33" i="2"/>
  <c r="P18" i="2"/>
  <c r="P26" i="2"/>
  <c r="P11" i="2"/>
  <c r="P27" i="2"/>
  <c r="P12" i="2"/>
  <c r="P36" i="2"/>
  <c r="P16" i="2"/>
  <c r="P10" i="2"/>
  <c r="P19" i="2"/>
  <c r="P35" i="2"/>
  <c r="P20" i="2"/>
  <c r="P9" i="2"/>
  <c r="B36" i="2"/>
  <c r="B44" i="2"/>
  <c r="D44" i="2" s="1"/>
  <c r="B52" i="2"/>
  <c r="D52" i="2" s="1"/>
  <c r="B60" i="2"/>
  <c r="B68" i="2"/>
  <c r="D68" i="2" s="1"/>
  <c r="B76" i="2"/>
  <c r="D76" i="2" s="1"/>
  <c r="B84" i="2"/>
  <c r="D84" i="2" s="1"/>
  <c r="B92" i="2"/>
  <c r="D92" i="2" s="1"/>
  <c r="B100" i="2"/>
  <c r="D100" i="2" s="1"/>
  <c r="B108" i="2"/>
  <c r="D108" i="2" s="1"/>
  <c r="B116" i="2"/>
  <c r="D116" i="2" s="1"/>
  <c r="B124" i="2"/>
  <c r="D124" i="2" s="1"/>
  <c r="B132" i="2"/>
  <c r="D132" i="2" s="1"/>
  <c r="B140" i="2"/>
  <c r="D140" i="2" s="1"/>
  <c r="B148" i="2"/>
  <c r="D148" i="2" s="1"/>
  <c r="B156" i="2"/>
  <c r="D156" i="2" s="1"/>
  <c r="B164" i="2"/>
  <c r="D164" i="2" s="1"/>
  <c r="B172" i="2"/>
  <c r="D172" i="2" s="1"/>
  <c r="B180" i="2"/>
  <c r="D180" i="2" s="1"/>
  <c r="B188" i="2"/>
  <c r="D188" i="2" s="1"/>
  <c r="B196" i="2"/>
  <c r="D196" i="2" s="1"/>
  <c r="B204" i="2"/>
  <c r="D204" i="2" s="1"/>
  <c r="B212" i="2"/>
  <c r="D212" i="2" s="1"/>
  <c r="B220" i="2"/>
  <c r="D220" i="2" s="1"/>
  <c r="B228" i="2"/>
  <c r="D228" i="2" s="1"/>
  <c r="B236" i="2"/>
  <c r="D236" i="2" s="1"/>
  <c r="B244" i="2"/>
  <c r="D244" i="2" s="1"/>
  <c r="B252" i="2"/>
  <c r="D252" i="2" s="1"/>
  <c r="B260" i="2"/>
  <c r="D260" i="2" s="1"/>
  <c r="B268" i="2"/>
  <c r="D268" i="2" s="1"/>
  <c r="B276" i="2"/>
  <c r="D276" i="2" s="1"/>
  <c r="B284" i="2"/>
  <c r="D284" i="2" s="1"/>
  <c r="B292" i="2"/>
  <c r="D292" i="2" s="1"/>
  <c r="B300" i="2"/>
  <c r="D300" i="2" s="1"/>
  <c r="B308" i="2"/>
  <c r="D308" i="2" s="1"/>
  <c r="B316" i="2"/>
  <c r="D316" i="2" s="1"/>
  <c r="B324" i="2"/>
  <c r="D324" i="2" s="1"/>
  <c r="B332" i="2"/>
  <c r="D332" i="2" s="1"/>
  <c r="B340" i="2"/>
  <c r="D340" i="2" s="1"/>
  <c r="B348" i="2"/>
  <c r="D348" i="2" s="1"/>
  <c r="B356" i="2"/>
  <c r="D356" i="2" s="1"/>
  <c r="B364" i="2"/>
  <c r="D364" i="2" s="1"/>
  <c r="B372" i="2"/>
  <c r="D372" i="2" s="1"/>
  <c r="B380" i="2"/>
  <c r="D380" i="2" s="1"/>
  <c r="B388" i="2"/>
  <c r="D388" i="2" s="1"/>
  <c r="B396" i="2"/>
  <c r="D396" i="2" s="1"/>
  <c r="B404" i="2"/>
  <c r="D404" i="2" s="1"/>
  <c r="B412" i="2"/>
  <c r="D412" i="2" s="1"/>
  <c r="B420" i="2"/>
  <c r="D420" i="2" s="1"/>
  <c r="B428" i="2"/>
  <c r="D428" i="2" s="1"/>
  <c r="B436" i="2"/>
  <c r="D436" i="2" s="1"/>
  <c r="B444" i="2"/>
  <c r="D444" i="2" s="1"/>
  <c r="B452" i="2"/>
  <c r="D452" i="2" s="1"/>
  <c r="B460" i="2"/>
  <c r="D460" i="2" s="1"/>
  <c r="B468" i="2"/>
  <c r="D468" i="2" s="1"/>
  <c r="B476" i="2"/>
  <c r="D476" i="2" s="1"/>
  <c r="B484" i="2"/>
  <c r="D484" i="2" s="1"/>
  <c r="B492" i="2"/>
  <c r="D492" i="2" s="1"/>
  <c r="B500" i="2"/>
  <c r="D500" i="2" s="1"/>
  <c r="B395" i="2"/>
  <c r="D395" i="2" s="1"/>
  <c r="B475" i="2"/>
  <c r="D475" i="2" s="1"/>
  <c r="B37" i="2"/>
  <c r="D37" i="2" s="1"/>
  <c r="B45" i="2"/>
  <c r="B53" i="2"/>
  <c r="D53" i="2" s="1"/>
  <c r="B61" i="2"/>
  <c r="D61" i="2" s="1"/>
  <c r="B69" i="2"/>
  <c r="B77" i="2"/>
  <c r="B85" i="2"/>
  <c r="D85" i="2" s="1"/>
  <c r="B93" i="2"/>
  <c r="D93" i="2" s="1"/>
  <c r="B101" i="2"/>
  <c r="D101" i="2" s="1"/>
  <c r="B109" i="2"/>
  <c r="D109" i="2" s="1"/>
  <c r="B117" i="2"/>
  <c r="D117" i="2" s="1"/>
  <c r="B125" i="2"/>
  <c r="D125" i="2" s="1"/>
  <c r="B133" i="2"/>
  <c r="D133" i="2" s="1"/>
  <c r="B141" i="2"/>
  <c r="D141" i="2" s="1"/>
  <c r="B149" i="2"/>
  <c r="D149" i="2" s="1"/>
  <c r="B157" i="2"/>
  <c r="D157" i="2" s="1"/>
  <c r="B165" i="2"/>
  <c r="D165" i="2" s="1"/>
  <c r="B173" i="2"/>
  <c r="D173" i="2" s="1"/>
  <c r="B181" i="2"/>
  <c r="D181" i="2" s="1"/>
  <c r="B189" i="2"/>
  <c r="D189" i="2" s="1"/>
  <c r="B197" i="2"/>
  <c r="D197" i="2" s="1"/>
  <c r="B205" i="2"/>
  <c r="D205" i="2" s="1"/>
  <c r="B213" i="2"/>
  <c r="D213" i="2" s="1"/>
  <c r="B221" i="2"/>
  <c r="D221" i="2" s="1"/>
  <c r="B229" i="2"/>
  <c r="D229" i="2" s="1"/>
  <c r="B237" i="2"/>
  <c r="D237" i="2" s="1"/>
  <c r="B245" i="2"/>
  <c r="D245" i="2" s="1"/>
  <c r="B253" i="2"/>
  <c r="D253" i="2" s="1"/>
  <c r="B261" i="2"/>
  <c r="D261" i="2" s="1"/>
  <c r="B269" i="2"/>
  <c r="D269" i="2" s="1"/>
  <c r="B277" i="2"/>
  <c r="D277" i="2" s="1"/>
  <c r="B285" i="2"/>
  <c r="D285" i="2" s="1"/>
  <c r="B293" i="2"/>
  <c r="D293" i="2" s="1"/>
  <c r="B301" i="2"/>
  <c r="D301" i="2" s="1"/>
  <c r="B309" i="2"/>
  <c r="D309" i="2" s="1"/>
  <c r="B317" i="2"/>
  <c r="D317" i="2" s="1"/>
  <c r="B325" i="2"/>
  <c r="D325" i="2" s="1"/>
  <c r="B333" i="2"/>
  <c r="D333" i="2" s="1"/>
  <c r="B341" i="2"/>
  <c r="D341" i="2" s="1"/>
  <c r="B349" i="2"/>
  <c r="D349" i="2" s="1"/>
  <c r="B357" i="2"/>
  <c r="D357" i="2" s="1"/>
  <c r="B365" i="2"/>
  <c r="D365" i="2" s="1"/>
  <c r="B373" i="2"/>
  <c r="D373" i="2" s="1"/>
  <c r="B381" i="2"/>
  <c r="D381" i="2" s="1"/>
  <c r="B389" i="2"/>
  <c r="D389" i="2" s="1"/>
  <c r="B397" i="2"/>
  <c r="D397" i="2" s="1"/>
  <c r="B405" i="2"/>
  <c r="D405" i="2" s="1"/>
  <c r="B413" i="2"/>
  <c r="D413" i="2" s="1"/>
  <c r="B421" i="2"/>
  <c r="D421" i="2" s="1"/>
  <c r="B429" i="2"/>
  <c r="D429" i="2" s="1"/>
  <c r="B437" i="2"/>
  <c r="D437" i="2" s="1"/>
  <c r="B445" i="2"/>
  <c r="D445" i="2" s="1"/>
  <c r="B453" i="2"/>
  <c r="D453" i="2" s="1"/>
  <c r="B461" i="2"/>
  <c r="D461" i="2" s="1"/>
  <c r="B469" i="2"/>
  <c r="D469" i="2" s="1"/>
  <c r="B477" i="2"/>
  <c r="D477" i="2" s="1"/>
  <c r="B485" i="2"/>
  <c r="D485" i="2" s="1"/>
  <c r="B493" i="2"/>
  <c r="D493" i="2" s="1"/>
  <c r="B363" i="2"/>
  <c r="D363" i="2" s="1"/>
  <c r="B427" i="2"/>
  <c r="D427" i="2" s="1"/>
  <c r="B499" i="2"/>
  <c r="D499" i="2" s="1"/>
  <c r="B38" i="2"/>
  <c r="D38" i="2" s="1"/>
  <c r="B46" i="2"/>
  <c r="D46" i="2" s="1"/>
  <c r="B54" i="2"/>
  <c r="B62" i="2"/>
  <c r="D62" i="2" s="1"/>
  <c r="B70" i="2"/>
  <c r="D70" i="2" s="1"/>
  <c r="B78" i="2"/>
  <c r="D78" i="2" s="1"/>
  <c r="B86" i="2"/>
  <c r="D86" i="2" s="1"/>
  <c r="B94" i="2"/>
  <c r="D94" i="2" s="1"/>
  <c r="B102" i="2"/>
  <c r="D102" i="2" s="1"/>
  <c r="B110" i="2"/>
  <c r="D110" i="2" s="1"/>
  <c r="B118" i="2"/>
  <c r="D118" i="2" s="1"/>
  <c r="B126" i="2"/>
  <c r="D126" i="2" s="1"/>
  <c r="B134" i="2"/>
  <c r="D134" i="2" s="1"/>
  <c r="B142" i="2"/>
  <c r="D142" i="2" s="1"/>
  <c r="B150" i="2"/>
  <c r="D150" i="2" s="1"/>
  <c r="B158" i="2"/>
  <c r="D158" i="2" s="1"/>
  <c r="B166" i="2"/>
  <c r="D166" i="2" s="1"/>
  <c r="B174" i="2"/>
  <c r="D174" i="2" s="1"/>
  <c r="B182" i="2"/>
  <c r="D182" i="2" s="1"/>
  <c r="B190" i="2"/>
  <c r="D190" i="2" s="1"/>
  <c r="B198" i="2"/>
  <c r="D198" i="2" s="1"/>
  <c r="B206" i="2"/>
  <c r="D206" i="2" s="1"/>
  <c r="B214" i="2"/>
  <c r="D214" i="2" s="1"/>
  <c r="B222" i="2"/>
  <c r="D222" i="2" s="1"/>
  <c r="B230" i="2"/>
  <c r="D230" i="2" s="1"/>
  <c r="B238" i="2"/>
  <c r="D238" i="2" s="1"/>
  <c r="B246" i="2"/>
  <c r="D246" i="2" s="1"/>
  <c r="B254" i="2"/>
  <c r="D254" i="2" s="1"/>
  <c r="B262" i="2"/>
  <c r="D262" i="2" s="1"/>
  <c r="B270" i="2"/>
  <c r="D270" i="2" s="1"/>
  <c r="B278" i="2"/>
  <c r="D278" i="2" s="1"/>
  <c r="B286" i="2"/>
  <c r="D286" i="2" s="1"/>
  <c r="B294" i="2"/>
  <c r="D294" i="2" s="1"/>
  <c r="B302" i="2"/>
  <c r="D302" i="2" s="1"/>
  <c r="B310" i="2"/>
  <c r="D310" i="2" s="1"/>
  <c r="B318" i="2"/>
  <c r="D318" i="2" s="1"/>
  <c r="B326" i="2"/>
  <c r="D326" i="2" s="1"/>
  <c r="B334" i="2"/>
  <c r="D334" i="2" s="1"/>
  <c r="B342" i="2"/>
  <c r="D342" i="2" s="1"/>
  <c r="B350" i="2"/>
  <c r="D350" i="2" s="1"/>
  <c r="B358" i="2"/>
  <c r="D358" i="2" s="1"/>
  <c r="B366" i="2"/>
  <c r="D366" i="2" s="1"/>
  <c r="B374" i="2"/>
  <c r="D374" i="2" s="1"/>
  <c r="B382" i="2"/>
  <c r="D382" i="2" s="1"/>
  <c r="B390" i="2"/>
  <c r="D390" i="2" s="1"/>
  <c r="B398" i="2"/>
  <c r="D398" i="2" s="1"/>
  <c r="B406" i="2"/>
  <c r="D406" i="2" s="1"/>
  <c r="B414" i="2"/>
  <c r="D414" i="2" s="1"/>
  <c r="B422" i="2"/>
  <c r="D422" i="2" s="1"/>
  <c r="B430" i="2"/>
  <c r="D430" i="2" s="1"/>
  <c r="B438" i="2"/>
  <c r="D438" i="2" s="1"/>
  <c r="B446" i="2"/>
  <c r="D446" i="2" s="1"/>
  <c r="B454" i="2"/>
  <c r="D454" i="2" s="1"/>
  <c r="B462" i="2"/>
  <c r="D462" i="2" s="1"/>
  <c r="B470" i="2"/>
  <c r="D470" i="2" s="1"/>
  <c r="B478" i="2"/>
  <c r="D478" i="2" s="1"/>
  <c r="B486" i="2"/>
  <c r="D486" i="2" s="1"/>
  <c r="B494" i="2"/>
  <c r="D494" i="2" s="1"/>
  <c r="B355" i="2"/>
  <c r="D355" i="2" s="1"/>
  <c r="B435" i="2"/>
  <c r="D435" i="2" s="1"/>
  <c r="B39" i="2"/>
  <c r="B47" i="2"/>
  <c r="D47" i="2" s="1"/>
  <c r="B55" i="2"/>
  <c r="D55" i="2" s="1"/>
  <c r="B63" i="2"/>
  <c r="B71" i="2"/>
  <c r="D71" i="2" s="1"/>
  <c r="B79" i="2"/>
  <c r="B87" i="2"/>
  <c r="D87" i="2" s="1"/>
  <c r="B95" i="2"/>
  <c r="D95" i="2" s="1"/>
  <c r="B103" i="2"/>
  <c r="D103" i="2" s="1"/>
  <c r="B111" i="2"/>
  <c r="D111" i="2" s="1"/>
  <c r="B119" i="2"/>
  <c r="D119" i="2" s="1"/>
  <c r="B127" i="2"/>
  <c r="D127" i="2" s="1"/>
  <c r="B135" i="2"/>
  <c r="D135" i="2" s="1"/>
  <c r="B143" i="2"/>
  <c r="D143" i="2" s="1"/>
  <c r="B151" i="2"/>
  <c r="D151" i="2" s="1"/>
  <c r="B159" i="2"/>
  <c r="D159" i="2" s="1"/>
  <c r="B167" i="2"/>
  <c r="D167" i="2" s="1"/>
  <c r="B175" i="2"/>
  <c r="D175" i="2" s="1"/>
  <c r="B183" i="2"/>
  <c r="D183" i="2" s="1"/>
  <c r="B191" i="2"/>
  <c r="D191" i="2" s="1"/>
  <c r="B199" i="2"/>
  <c r="D199" i="2" s="1"/>
  <c r="B207" i="2"/>
  <c r="D207" i="2" s="1"/>
  <c r="B215" i="2"/>
  <c r="D215" i="2" s="1"/>
  <c r="B223" i="2"/>
  <c r="D223" i="2" s="1"/>
  <c r="B231" i="2"/>
  <c r="D231" i="2" s="1"/>
  <c r="B239" i="2"/>
  <c r="D239" i="2" s="1"/>
  <c r="B247" i="2"/>
  <c r="D247" i="2" s="1"/>
  <c r="B255" i="2"/>
  <c r="D255" i="2" s="1"/>
  <c r="B263" i="2"/>
  <c r="D263" i="2" s="1"/>
  <c r="B271" i="2"/>
  <c r="D271" i="2" s="1"/>
  <c r="B279" i="2"/>
  <c r="D279" i="2" s="1"/>
  <c r="B287" i="2"/>
  <c r="D287" i="2" s="1"/>
  <c r="B295" i="2"/>
  <c r="D295" i="2" s="1"/>
  <c r="B303" i="2"/>
  <c r="D303" i="2" s="1"/>
  <c r="B311" i="2"/>
  <c r="D311" i="2" s="1"/>
  <c r="B319" i="2"/>
  <c r="D319" i="2" s="1"/>
  <c r="B327" i="2"/>
  <c r="D327" i="2" s="1"/>
  <c r="B335" i="2"/>
  <c r="D335" i="2" s="1"/>
  <c r="B343" i="2"/>
  <c r="D343" i="2" s="1"/>
  <c r="B351" i="2"/>
  <c r="D351" i="2" s="1"/>
  <c r="B359" i="2"/>
  <c r="D359" i="2" s="1"/>
  <c r="B367" i="2"/>
  <c r="D367" i="2" s="1"/>
  <c r="B375" i="2"/>
  <c r="D375" i="2" s="1"/>
  <c r="B383" i="2"/>
  <c r="D383" i="2" s="1"/>
  <c r="B391" i="2"/>
  <c r="D391" i="2" s="1"/>
  <c r="B399" i="2"/>
  <c r="D399" i="2" s="1"/>
  <c r="B407" i="2"/>
  <c r="D407" i="2" s="1"/>
  <c r="B415" i="2"/>
  <c r="D415" i="2" s="1"/>
  <c r="B423" i="2"/>
  <c r="D423" i="2" s="1"/>
  <c r="B431" i="2"/>
  <c r="D431" i="2" s="1"/>
  <c r="B439" i="2"/>
  <c r="D439" i="2" s="1"/>
  <c r="B447" i="2"/>
  <c r="D447" i="2" s="1"/>
  <c r="B455" i="2"/>
  <c r="D455" i="2" s="1"/>
  <c r="B463" i="2"/>
  <c r="D463" i="2" s="1"/>
  <c r="B471" i="2"/>
  <c r="D471" i="2" s="1"/>
  <c r="B479" i="2"/>
  <c r="D479" i="2" s="1"/>
  <c r="B487" i="2"/>
  <c r="D487" i="2" s="1"/>
  <c r="B495" i="2"/>
  <c r="D495" i="2" s="1"/>
  <c r="B401" i="2"/>
  <c r="D401" i="2" s="1"/>
  <c r="B433" i="2"/>
  <c r="D433" i="2" s="1"/>
  <c r="B473" i="2"/>
  <c r="D473" i="2" s="1"/>
  <c r="B131" i="2"/>
  <c r="D131" i="2" s="1"/>
  <c r="B227" i="2"/>
  <c r="D227" i="2" s="1"/>
  <c r="B275" i="2"/>
  <c r="D275" i="2" s="1"/>
  <c r="B315" i="2"/>
  <c r="D315" i="2" s="1"/>
  <c r="B387" i="2"/>
  <c r="D387" i="2" s="1"/>
  <c r="B459" i="2"/>
  <c r="D459" i="2" s="1"/>
  <c r="B40" i="2"/>
  <c r="D40" i="2" s="1"/>
  <c r="B48" i="2"/>
  <c r="B56" i="2"/>
  <c r="D56" i="2" s="1"/>
  <c r="B64" i="2"/>
  <c r="D64" i="2" s="1"/>
  <c r="B72" i="2"/>
  <c r="B80" i="2"/>
  <c r="D80" i="2" s="1"/>
  <c r="B88" i="2"/>
  <c r="D88" i="2" s="1"/>
  <c r="B96" i="2"/>
  <c r="D96" i="2" s="1"/>
  <c r="B104" i="2"/>
  <c r="D104" i="2" s="1"/>
  <c r="B112" i="2"/>
  <c r="D112" i="2" s="1"/>
  <c r="B120" i="2"/>
  <c r="D120" i="2" s="1"/>
  <c r="B128" i="2"/>
  <c r="D128" i="2" s="1"/>
  <c r="B136" i="2"/>
  <c r="D136" i="2" s="1"/>
  <c r="B144" i="2"/>
  <c r="D144" i="2" s="1"/>
  <c r="B152" i="2"/>
  <c r="D152" i="2" s="1"/>
  <c r="B160" i="2"/>
  <c r="D160" i="2" s="1"/>
  <c r="B168" i="2"/>
  <c r="D168" i="2" s="1"/>
  <c r="B176" i="2"/>
  <c r="D176" i="2" s="1"/>
  <c r="B184" i="2"/>
  <c r="D184" i="2" s="1"/>
  <c r="B192" i="2"/>
  <c r="D192" i="2" s="1"/>
  <c r="B200" i="2"/>
  <c r="D200" i="2" s="1"/>
  <c r="B208" i="2"/>
  <c r="D208" i="2" s="1"/>
  <c r="B216" i="2"/>
  <c r="D216" i="2" s="1"/>
  <c r="B224" i="2"/>
  <c r="D224" i="2" s="1"/>
  <c r="B232" i="2"/>
  <c r="D232" i="2" s="1"/>
  <c r="B240" i="2"/>
  <c r="D240" i="2" s="1"/>
  <c r="B248" i="2"/>
  <c r="D248" i="2" s="1"/>
  <c r="B256" i="2"/>
  <c r="D256" i="2" s="1"/>
  <c r="B264" i="2"/>
  <c r="D264" i="2" s="1"/>
  <c r="B272" i="2"/>
  <c r="D272" i="2" s="1"/>
  <c r="B280" i="2"/>
  <c r="D280" i="2" s="1"/>
  <c r="B288" i="2"/>
  <c r="D288" i="2" s="1"/>
  <c r="B296" i="2"/>
  <c r="D296" i="2" s="1"/>
  <c r="B304" i="2"/>
  <c r="D304" i="2" s="1"/>
  <c r="B312" i="2"/>
  <c r="D312" i="2" s="1"/>
  <c r="B320" i="2"/>
  <c r="D320" i="2" s="1"/>
  <c r="B328" i="2"/>
  <c r="D328" i="2" s="1"/>
  <c r="B336" i="2"/>
  <c r="D336" i="2" s="1"/>
  <c r="B344" i="2"/>
  <c r="D344" i="2" s="1"/>
  <c r="B352" i="2"/>
  <c r="D352" i="2" s="1"/>
  <c r="B360" i="2"/>
  <c r="D360" i="2" s="1"/>
  <c r="B368" i="2"/>
  <c r="D368" i="2" s="1"/>
  <c r="B376" i="2"/>
  <c r="D376" i="2" s="1"/>
  <c r="B384" i="2"/>
  <c r="D384" i="2" s="1"/>
  <c r="B392" i="2"/>
  <c r="D392" i="2" s="1"/>
  <c r="B400" i="2"/>
  <c r="D400" i="2" s="1"/>
  <c r="B408" i="2"/>
  <c r="D408" i="2" s="1"/>
  <c r="B416" i="2"/>
  <c r="D416" i="2" s="1"/>
  <c r="B424" i="2"/>
  <c r="D424" i="2" s="1"/>
  <c r="B432" i="2"/>
  <c r="D432" i="2" s="1"/>
  <c r="B440" i="2"/>
  <c r="D440" i="2" s="1"/>
  <c r="B448" i="2"/>
  <c r="D448" i="2" s="1"/>
  <c r="B456" i="2"/>
  <c r="D456" i="2" s="1"/>
  <c r="B464" i="2"/>
  <c r="D464" i="2" s="1"/>
  <c r="B472" i="2"/>
  <c r="D472" i="2" s="1"/>
  <c r="B480" i="2"/>
  <c r="D480" i="2" s="1"/>
  <c r="B488" i="2"/>
  <c r="D488" i="2" s="1"/>
  <c r="B496" i="2"/>
  <c r="D496" i="2" s="1"/>
  <c r="B289" i="2"/>
  <c r="D289" i="2" s="1"/>
  <c r="B321" i="2"/>
  <c r="D321" i="2" s="1"/>
  <c r="B337" i="2"/>
  <c r="D337" i="2" s="1"/>
  <c r="B353" i="2"/>
  <c r="D353" i="2" s="1"/>
  <c r="B369" i="2"/>
  <c r="D369" i="2" s="1"/>
  <c r="B385" i="2"/>
  <c r="D385" i="2" s="1"/>
  <c r="B409" i="2"/>
  <c r="D409" i="2" s="1"/>
  <c r="B425" i="2"/>
  <c r="D425" i="2" s="1"/>
  <c r="B449" i="2"/>
  <c r="D449" i="2" s="1"/>
  <c r="B457" i="2"/>
  <c r="D457" i="2" s="1"/>
  <c r="B481" i="2"/>
  <c r="D481" i="2" s="1"/>
  <c r="B497" i="2"/>
  <c r="D497" i="2" s="1"/>
  <c r="B147" i="2"/>
  <c r="D147" i="2" s="1"/>
  <c r="B203" i="2"/>
  <c r="D203" i="2" s="1"/>
  <c r="B219" i="2"/>
  <c r="D219" i="2" s="1"/>
  <c r="B251" i="2"/>
  <c r="D251" i="2" s="1"/>
  <c r="B267" i="2"/>
  <c r="D267" i="2" s="1"/>
  <c r="B299" i="2"/>
  <c r="D299" i="2" s="1"/>
  <c r="B331" i="2"/>
  <c r="D331" i="2" s="1"/>
  <c r="B379" i="2"/>
  <c r="D379" i="2" s="1"/>
  <c r="B411" i="2"/>
  <c r="D411" i="2" s="1"/>
  <c r="B451" i="2"/>
  <c r="D451" i="2" s="1"/>
  <c r="B491" i="2"/>
  <c r="D491" i="2" s="1"/>
  <c r="B41" i="2"/>
  <c r="D41" i="2" s="1"/>
  <c r="B49" i="2"/>
  <c r="D49" i="2" s="1"/>
  <c r="B57" i="2"/>
  <c r="B65" i="2"/>
  <c r="D65" i="2" s="1"/>
  <c r="B73" i="2"/>
  <c r="D73" i="2" s="1"/>
  <c r="B81" i="2"/>
  <c r="B89" i="2"/>
  <c r="D89" i="2" s="1"/>
  <c r="B97" i="2"/>
  <c r="D97" i="2" s="1"/>
  <c r="B105" i="2"/>
  <c r="D105" i="2" s="1"/>
  <c r="B113" i="2"/>
  <c r="D113" i="2" s="1"/>
  <c r="B121" i="2"/>
  <c r="D121" i="2" s="1"/>
  <c r="B129" i="2"/>
  <c r="D129" i="2" s="1"/>
  <c r="B137" i="2"/>
  <c r="D137" i="2" s="1"/>
  <c r="B145" i="2"/>
  <c r="D145" i="2" s="1"/>
  <c r="B153" i="2"/>
  <c r="D153" i="2" s="1"/>
  <c r="B161" i="2"/>
  <c r="D161" i="2" s="1"/>
  <c r="B169" i="2"/>
  <c r="D169" i="2" s="1"/>
  <c r="B177" i="2"/>
  <c r="D177" i="2" s="1"/>
  <c r="B185" i="2"/>
  <c r="D185" i="2" s="1"/>
  <c r="B193" i="2"/>
  <c r="D193" i="2" s="1"/>
  <c r="B201" i="2"/>
  <c r="D201" i="2" s="1"/>
  <c r="B209" i="2"/>
  <c r="D209" i="2" s="1"/>
  <c r="B217" i="2"/>
  <c r="D217" i="2" s="1"/>
  <c r="B225" i="2"/>
  <c r="D225" i="2" s="1"/>
  <c r="B233" i="2"/>
  <c r="D233" i="2" s="1"/>
  <c r="B241" i="2"/>
  <c r="D241" i="2" s="1"/>
  <c r="B249" i="2"/>
  <c r="D249" i="2" s="1"/>
  <c r="B257" i="2"/>
  <c r="D257" i="2" s="1"/>
  <c r="B265" i="2"/>
  <c r="D265" i="2" s="1"/>
  <c r="B273" i="2"/>
  <c r="D273" i="2" s="1"/>
  <c r="B281" i="2"/>
  <c r="D281" i="2" s="1"/>
  <c r="B297" i="2"/>
  <c r="D297" i="2" s="1"/>
  <c r="B305" i="2"/>
  <c r="D305" i="2" s="1"/>
  <c r="B313" i="2"/>
  <c r="D313" i="2" s="1"/>
  <c r="B329" i="2"/>
  <c r="D329" i="2" s="1"/>
  <c r="B345" i="2"/>
  <c r="D345" i="2" s="1"/>
  <c r="B361" i="2"/>
  <c r="D361" i="2" s="1"/>
  <c r="B377" i="2"/>
  <c r="D377" i="2" s="1"/>
  <c r="B393" i="2"/>
  <c r="D393" i="2" s="1"/>
  <c r="B417" i="2"/>
  <c r="D417" i="2" s="1"/>
  <c r="B441" i="2"/>
  <c r="D441" i="2" s="1"/>
  <c r="B465" i="2"/>
  <c r="D465" i="2" s="1"/>
  <c r="B489" i="2"/>
  <c r="D489" i="2" s="1"/>
  <c r="B155" i="2"/>
  <c r="D155" i="2" s="1"/>
  <c r="B243" i="2"/>
  <c r="D243" i="2" s="1"/>
  <c r="B291" i="2"/>
  <c r="D291" i="2" s="1"/>
  <c r="B323" i="2"/>
  <c r="D323" i="2" s="1"/>
  <c r="B371" i="2"/>
  <c r="D371" i="2" s="1"/>
  <c r="B419" i="2"/>
  <c r="D419" i="2" s="1"/>
  <c r="B467" i="2"/>
  <c r="D467" i="2" s="1"/>
  <c r="B42" i="2"/>
  <c r="B50" i="2"/>
  <c r="D50" i="2" s="1"/>
  <c r="B58" i="2"/>
  <c r="D58" i="2" s="1"/>
  <c r="B66" i="2"/>
  <c r="B74" i="2"/>
  <c r="B82" i="2"/>
  <c r="D82" i="2" s="1"/>
  <c r="B90" i="2"/>
  <c r="D90" i="2" s="1"/>
  <c r="B98" i="2"/>
  <c r="D98" i="2" s="1"/>
  <c r="B106" i="2"/>
  <c r="D106" i="2" s="1"/>
  <c r="B114" i="2"/>
  <c r="D114" i="2" s="1"/>
  <c r="B122" i="2"/>
  <c r="D122" i="2" s="1"/>
  <c r="B130" i="2"/>
  <c r="D130" i="2" s="1"/>
  <c r="B138" i="2"/>
  <c r="D138" i="2" s="1"/>
  <c r="B146" i="2"/>
  <c r="D146" i="2" s="1"/>
  <c r="B154" i="2"/>
  <c r="D154" i="2" s="1"/>
  <c r="B162" i="2"/>
  <c r="D162" i="2" s="1"/>
  <c r="B170" i="2"/>
  <c r="D170" i="2" s="1"/>
  <c r="B178" i="2"/>
  <c r="D178" i="2" s="1"/>
  <c r="B186" i="2"/>
  <c r="D186" i="2" s="1"/>
  <c r="B194" i="2"/>
  <c r="D194" i="2" s="1"/>
  <c r="B202" i="2"/>
  <c r="D202" i="2" s="1"/>
  <c r="B210" i="2"/>
  <c r="D210" i="2" s="1"/>
  <c r="B218" i="2"/>
  <c r="D218" i="2" s="1"/>
  <c r="B226" i="2"/>
  <c r="D226" i="2" s="1"/>
  <c r="B234" i="2"/>
  <c r="D234" i="2" s="1"/>
  <c r="B242" i="2"/>
  <c r="D242" i="2" s="1"/>
  <c r="B250" i="2"/>
  <c r="D250" i="2" s="1"/>
  <c r="B258" i="2"/>
  <c r="D258" i="2" s="1"/>
  <c r="B266" i="2"/>
  <c r="D266" i="2" s="1"/>
  <c r="B274" i="2"/>
  <c r="D274" i="2" s="1"/>
  <c r="B282" i="2"/>
  <c r="D282" i="2" s="1"/>
  <c r="B290" i="2"/>
  <c r="D290" i="2" s="1"/>
  <c r="B298" i="2"/>
  <c r="D298" i="2" s="1"/>
  <c r="B306" i="2"/>
  <c r="D306" i="2" s="1"/>
  <c r="B314" i="2"/>
  <c r="D314" i="2" s="1"/>
  <c r="B322" i="2"/>
  <c r="D322" i="2" s="1"/>
  <c r="B330" i="2"/>
  <c r="D330" i="2" s="1"/>
  <c r="B338" i="2"/>
  <c r="D338" i="2" s="1"/>
  <c r="B346" i="2"/>
  <c r="D346" i="2" s="1"/>
  <c r="B354" i="2"/>
  <c r="D354" i="2" s="1"/>
  <c r="B362" i="2"/>
  <c r="D362" i="2" s="1"/>
  <c r="B370" i="2"/>
  <c r="D370" i="2" s="1"/>
  <c r="B378" i="2"/>
  <c r="D378" i="2" s="1"/>
  <c r="B386" i="2"/>
  <c r="D386" i="2" s="1"/>
  <c r="B394" i="2"/>
  <c r="D394" i="2" s="1"/>
  <c r="B402" i="2"/>
  <c r="D402" i="2" s="1"/>
  <c r="B410" i="2"/>
  <c r="D410" i="2" s="1"/>
  <c r="B418" i="2"/>
  <c r="D418" i="2" s="1"/>
  <c r="B426" i="2"/>
  <c r="D426" i="2" s="1"/>
  <c r="B434" i="2"/>
  <c r="D434" i="2" s="1"/>
  <c r="B442" i="2"/>
  <c r="D442" i="2" s="1"/>
  <c r="B450" i="2"/>
  <c r="D450" i="2" s="1"/>
  <c r="B458" i="2"/>
  <c r="D458" i="2" s="1"/>
  <c r="B466" i="2"/>
  <c r="D466" i="2" s="1"/>
  <c r="B474" i="2"/>
  <c r="D474" i="2" s="1"/>
  <c r="B482" i="2"/>
  <c r="D482" i="2" s="1"/>
  <c r="B490" i="2"/>
  <c r="D490" i="2" s="1"/>
  <c r="B498" i="2"/>
  <c r="D498" i="2" s="1"/>
  <c r="B43" i="2"/>
  <c r="D43" i="2" s="1"/>
  <c r="B51" i="2"/>
  <c r="B59" i="2"/>
  <c r="D59" i="2" s="1"/>
  <c r="B67" i="2"/>
  <c r="D67" i="2" s="1"/>
  <c r="B75" i="2"/>
  <c r="D75" i="2" s="1"/>
  <c r="B83" i="2"/>
  <c r="D83" i="2" s="1"/>
  <c r="B91" i="2"/>
  <c r="D91" i="2" s="1"/>
  <c r="B99" i="2"/>
  <c r="D99" i="2" s="1"/>
  <c r="B107" i="2"/>
  <c r="D107" i="2" s="1"/>
  <c r="B115" i="2"/>
  <c r="D115" i="2" s="1"/>
  <c r="B123" i="2"/>
  <c r="D123" i="2" s="1"/>
  <c r="B139" i="2"/>
  <c r="D139" i="2" s="1"/>
  <c r="B163" i="2"/>
  <c r="D163" i="2" s="1"/>
  <c r="B171" i="2"/>
  <c r="D171" i="2" s="1"/>
  <c r="B179" i="2"/>
  <c r="D179" i="2" s="1"/>
  <c r="B187" i="2"/>
  <c r="D187" i="2" s="1"/>
  <c r="B195" i="2"/>
  <c r="D195" i="2" s="1"/>
  <c r="B211" i="2"/>
  <c r="D211" i="2" s="1"/>
  <c r="B235" i="2"/>
  <c r="D235" i="2" s="1"/>
  <c r="B259" i="2"/>
  <c r="D259" i="2" s="1"/>
  <c r="B283" i="2"/>
  <c r="D283" i="2" s="1"/>
  <c r="B307" i="2"/>
  <c r="D307" i="2" s="1"/>
  <c r="B339" i="2"/>
  <c r="D339" i="2" s="1"/>
  <c r="B347" i="2"/>
  <c r="D347" i="2" s="1"/>
  <c r="B403" i="2"/>
  <c r="D403" i="2" s="1"/>
  <c r="B443" i="2"/>
  <c r="D443" i="2" s="1"/>
  <c r="B483" i="2"/>
  <c r="D483" i="2" s="1"/>
  <c r="B8" i="2"/>
  <c r="D8" i="2" s="1"/>
  <c r="B16" i="2"/>
  <c r="D16" i="2" s="1"/>
  <c r="B24" i="2"/>
  <c r="B32" i="2"/>
  <c r="D32" i="2" s="1"/>
  <c r="B9" i="2"/>
  <c r="B17" i="2"/>
  <c r="D17" i="2" s="1"/>
  <c r="B25" i="2"/>
  <c r="D25" i="2" s="1"/>
  <c r="B33" i="2"/>
  <c r="B10" i="2"/>
  <c r="D10" i="2" s="1"/>
  <c r="B18" i="2"/>
  <c r="B26" i="2"/>
  <c r="D26" i="2" s="1"/>
  <c r="B34" i="2"/>
  <c r="D34" i="2" s="1"/>
  <c r="B20" i="2"/>
  <c r="D20" i="2" s="1"/>
  <c r="B28" i="2"/>
  <c r="D28" i="2" s="1"/>
  <c r="B21" i="2"/>
  <c r="B14" i="2"/>
  <c r="D14" i="2" s="1"/>
  <c r="B15" i="2"/>
  <c r="B31" i="2"/>
  <c r="D31" i="2" s="1"/>
  <c r="B11" i="2"/>
  <c r="B19" i="2"/>
  <c r="D19" i="2" s="1"/>
  <c r="B27" i="2"/>
  <c r="B12" i="2"/>
  <c r="B13" i="2"/>
  <c r="B29" i="2"/>
  <c r="D29" i="2" s="1"/>
  <c r="B22" i="2"/>
  <c r="D22" i="2" s="1"/>
  <c r="B30" i="2"/>
  <c r="B23" i="2"/>
  <c r="D23" i="2" s="1"/>
  <c r="B35" i="2"/>
  <c r="D35" i="2" s="1"/>
  <c r="E8" i="2"/>
  <c r="E9" i="2"/>
  <c r="E10" i="2"/>
  <c r="E18" i="2"/>
  <c r="E26" i="2"/>
  <c r="E34" i="2"/>
  <c r="E42" i="2"/>
  <c r="E50" i="2"/>
  <c r="E58" i="2"/>
  <c r="E66" i="2"/>
  <c r="E74" i="2"/>
  <c r="E82" i="2"/>
  <c r="E90" i="2"/>
  <c r="E98" i="2"/>
  <c r="E106" i="2"/>
  <c r="E114" i="2"/>
  <c r="E122" i="2"/>
  <c r="E130" i="2"/>
  <c r="E138" i="2"/>
  <c r="E146" i="2"/>
  <c r="E154" i="2"/>
  <c r="E162" i="2"/>
  <c r="E170" i="2"/>
  <c r="E178" i="2"/>
  <c r="E186" i="2"/>
  <c r="E194" i="2"/>
  <c r="E202" i="2"/>
  <c r="E210" i="2"/>
  <c r="E218" i="2"/>
  <c r="E226" i="2"/>
  <c r="E234" i="2"/>
  <c r="E242" i="2"/>
  <c r="E250" i="2"/>
  <c r="E258" i="2"/>
  <c r="E266" i="2"/>
  <c r="E274" i="2"/>
  <c r="E282" i="2"/>
  <c r="E290" i="2"/>
  <c r="E298" i="2"/>
  <c r="E306" i="2"/>
  <c r="E314" i="2"/>
  <c r="E322" i="2"/>
  <c r="E330" i="2"/>
  <c r="E338" i="2"/>
  <c r="E346" i="2"/>
  <c r="E354" i="2"/>
  <c r="E362" i="2"/>
  <c r="E370" i="2"/>
  <c r="E378" i="2"/>
  <c r="E386" i="2"/>
  <c r="E394" i="2"/>
  <c r="E402" i="2"/>
  <c r="E410" i="2"/>
  <c r="E418" i="2"/>
  <c r="E426" i="2"/>
  <c r="E434" i="2"/>
  <c r="E442" i="2"/>
  <c r="E450" i="2"/>
  <c r="E458" i="2"/>
  <c r="E466" i="2"/>
  <c r="E474" i="2"/>
  <c r="E482" i="2"/>
  <c r="E490" i="2"/>
  <c r="E498" i="2"/>
  <c r="E319" i="2"/>
  <c r="E359" i="2"/>
  <c r="E11" i="2"/>
  <c r="E19" i="2"/>
  <c r="E27" i="2"/>
  <c r="E35" i="2"/>
  <c r="E43" i="2"/>
  <c r="E51" i="2"/>
  <c r="E59" i="2"/>
  <c r="E67" i="2"/>
  <c r="E75" i="2"/>
  <c r="E83" i="2"/>
  <c r="E91" i="2"/>
  <c r="E99" i="2"/>
  <c r="E107" i="2"/>
  <c r="E115" i="2"/>
  <c r="E123" i="2"/>
  <c r="E131" i="2"/>
  <c r="E139" i="2"/>
  <c r="E147" i="2"/>
  <c r="E155" i="2"/>
  <c r="E163" i="2"/>
  <c r="E171" i="2"/>
  <c r="E179" i="2"/>
  <c r="E187" i="2"/>
  <c r="E195" i="2"/>
  <c r="E203" i="2"/>
  <c r="E211" i="2"/>
  <c r="E219" i="2"/>
  <c r="E227" i="2"/>
  <c r="E235" i="2"/>
  <c r="E243" i="2"/>
  <c r="E251" i="2"/>
  <c r="E259" i="2"/>
  <c r="E267" i="2"/>
  <c r="E275" i="2"/>
  <c r="E283" i="2"/>
  <c r="E291" i="2"/>
  <c r="E299" i="2"/>
  <c r="E307" i="2"/>
  <c r="E315" i="2"/>
  <c r="E323" i="2"/>
  <c r="E331" i="2"/>
  <c r="E339" i="2"/>
  <c r="E347" i="2"/>
  <c r="E355" i="2"/>
  <c r="E363" i="2"/>
  <c r="E371" i="2"/>
  <c r="E379" i="2"/>
  <c r="E387" i="2"/>
  <c r="E395" i="2"/>
  <c r="E403" i="2"/>
  <c r="E411" i="2"/>
  <c r="E419" i="2"/>
  <c r="E427" i="2"/>
  <c r="E435" i="2"/>
  <c r="E443" i="2"/>
  <c r="E451" i="2"/>
  <c r="E459" i="2"/>
  <c r="E467" i="2"/>
  <c r="E475" i="2"/>
  <c r="E483" i="2"/>
  <c r="E491" i="2"/>
  <c r="E499" i="2"/>
  <c r="E311" i="2"/>
  <c r="E375" i="2"/>
  <c r="E12" i="2"/>
  <c r="E20" i="2"/>
  <c r="E28" i="2"/>
  <c r="E36" i="2"/>
  <c r="E44" i="2"/>
  <c r="E52" i="2"/>
  <c r="E60" i="2"/>
  <c r="E68" i="2"/>
  <c r="E76" i="2"/>
  <c r="E84" i="2"/>
  <c r="E92" i="2"/>
  <c r="E100" i="2"/>
  <c r="E108" i="2"/>
  <c r="E116" i="2"/>
  <c r="E124" i="2"/>
  <c r="E132" i="2"/>
  <c r="E140" i="2"/>
  <c r="E148" i="2"/>
  <c r="E156" i="2"/>
  <c r="E164" i="2"/>
  <c r="E172" i="2"/>
  <c r="E180" i="2"/>
  <c r="E188" i="2"/>
  <c r="E196" i="2"/>
  <c r="E204" i="2"/>
  <c r="E212" i="2"/>
  <c r="E220" i="2"/>
  <c r="E228" i="2"/>
  <c r="E236" i="2"/>
  <c r="E244" i="2"/>
  <c r="E252" i="2"/>
  <c r="E260" i="2"/>
  <c r="E268" i="2"/>
  <c r="E276" i="2"/>
  <c r="E284" i="2"/>
  <c r="E292" i="2"/>
  <c r="E300" i="2"/>
  <c r="E308" i="2"/>
  <c r="E316" i="2"/>
  <c r="E324" i="2"/>
  <c r="E332" i="2"/>
  <c r="E340" i="2"/>
  <c r="E348" i="2"/>
  <c r="E356" i="2"/>
  <c r="E364" i="2"/>
  <c r="E372" i="2"/>
  <c r="E380" i="2"/>
  <c r="E388" i="2"/>
  <c r="E396" i="2"/>
  <c r="E404" i="2"/>
  <c r="E412" i="2"/>
  <c r="E420" i="2"/>
  <c r="E428" i="2"/>
  <c r="E436" i="2"/>
  <c r="E444" i="2"/>
  <c r="E452" i="2"/>
  <c r="E460" i="2"/>
  <c r="E468" i="2"/>
  <c r="E476" i="2"/>
  <c r="E484" i="2"/>
  <c r="E492" i="2"/>
  <c r="E500" i="2"/>
  <c r="E23" i="2"/>
  <c r="E39" i="2"/>
  <c r="E47" i="2"/>
  <c r="E63" i="2"/>
  <c r="E87" i="2"/>
  <c r="E111" i="2"/>
  <c r="E135" i="2"/>
  <c r="E175" i="2"/>
  <c r="E199" i="2"/>
  <c r="E207" i="2"/>
  <c r="E231" i="2"/>
  <c r="E255" i="2"/>
  <c r="E279" i="2"/>
  <c r="E295" i="2"/>
  <c r="E335" i="2"/>
  <c r="E367" i="2"/>
  <c r="E13" i="2"/>
  <c r="E21" i="2"/>
  <c r="E29" i="2"/>
  <c r="E37" i="2"/>
  <c r="E45" i="2"/>
  <c r="E53" i="2"/>
  <c r="E61" i="2"/>
  <c r="E69" i="2"/>
  <c r="E77" i="2"/>
  <c r="E85" i="2"/>
  <c r="E93" i="2"/>
  <c r="E101" i="2"/>
  <c r="E109" i="2"/>
  <c r="E117" i="2"/>
  <c r="E125" i="2"/>
  <c r="E133" i="2"/>
  <c r="E141" i="2"/>
  <c r="E149" i="2"/>
  <c r="E157" i="2"/>
  <c r="E165" i="2"/>
  <c r="E173" i="2"/>
  <c r="E181" i="2"/>
  <c r="E189" i="2"/>
  <c r="E197" i="2"/>
  <c r="E205" i="2"/>
  <c r="E213" i="2"/>
  <c r="E221" i="2"/>
  <c r="E229" i="2"/>
  <c r="E237" i="2"/>
  <c r="E245" i="2"/>
  <c r="E253" i="2"/>
  <c r="E261" i="2"/>
  <c r="E269" i="2"/>
  <c r="E277" i="2"/>
  <c r="E285" i="2"/>
  <c r="E293" i="2"/>
  <c r="E301" i="2"/>
  <c r="E309" i="2"/>
  <c r="E317" i="2"/>
  <c r="E325" i="2"/>
  <c r="E333" i="2"/>
  <c r="E341" i="2"/>
  <c r="E349" i="2"/>
  <c r="E357" i="2"/>
  <c r="E365" i="2"/>
  <c r="E373" i="2"/>
  <c r="E381" i="2"/>
  <c r="E389" i="2"/>
  <c r="E397" i="2"/>
  <c r="E405" i="2"/>
  <c r="E413" i="2"/>
  <c r="E421" i="2"/>
  <c r="E429" i="2"/>
  <c r="E437" i="2"/>
  <c r="E445" i="2"/>
  <c r="E453" i="2"/>
  <c r="E461" i="2"/>
  <c r="E469" i="2"/>
  <c r="E477" i="2"/>
  <c r="E485" i="2"/>
  <c r="E493" i="2"/>
  <c r="E31" i="2"/>
  <c r="E55" i="2"/>
  <c r="E79" i="2"/>
  <c r="E103" i="2"/>
  <c r="E119" i="2"/>
  <c r="E143" i="2"/>
  <c r="E159" i="2"/>
  <c r="E183" i="2"/>
  <c r="E215" i="2"/>
  <c r="E239" i="2"/>
  <c r="E263" i="2"/>
  <c r="E287" i="2"/>
  <c r="E327" i="2"/>
  <c r="E351" i="2"/>
  <c r="E383" i="2"/>
  <c r="E14" i="2"/>
  <c r="E22" i="2"/>
  <c r="E30" i="2"/>
  <c r="E38" i="2"/>
  <c r="E46" i="2"/>
  <c r="E54" i="2"/>
  <c r="E62" i="2"/>
  <c r="E70" i="2"/>
  <c r="E78" i="2"/>
  <c r="E86" i="2"/>
  <c r="E94" i="2"/>
  <c r="E102" i="2"/>
  <c r="E110" i="2"/>
  <c r="E118" i="2"/>
  <c r="E126" i="2"/>
  <c r="E134" i="2"/>
  <c r="E142" i="2"/>
  <c r="E150" i="2"/>
  <c r="E158" i="2"/>
  <c r="E166" i="2"/>
  <c r="E174" i="2"/>
  <c r="E182" i="2"/>
  <c r="E190" i="2"/>
  <c r="E198" i="2"/>
  <c r="E206" i="2"/>
  <c r="E214" i="2"/>
  <c r="E222" i="2"/>
  <c r="E230" i="2"/>
  <c r="E238" i="2"/>
  <c r="E246" i="2"/>
  <c r="E254" i="2"/>
  <c r="E262" i="2"/>
  <c r="E270" i="2"/>
  <c r="E278" i="2"/>
  <c r="E286" i="2"/>
  <c r="E294" i="2"/>
  <c r="E302" i="2"/>
  <c r="E310" i="2"/>
  <c r="E318" i="2"/>
  <c r="E326" i="2"/>
  <c r="E334" i="2"/>
  <c r="E342" i="2"/>
  <c r="E350" i="2"/>
  <c r="E358" i="2"/>
  <c r="E366" i="2"/>
  <c r="E374" i="2"/>
  <c r="E382" i="2"/>
  <c r="E390" i="2"/>
  <c r="E398" i="2"/>
  <c r="E406" i="2"/>
  <c r="E414" i="2"/>
  <c r="E422" i="2"/>
  <c r="E430" i="2"/>
  <c r="E438" i="2"/>
  <c r="E446" i="2"/>
  <c r="E454" i="2"/>
  <c r="E462" i="2"/>
  <c r="E470" i="2"/>
  <c r="E478" i="2"/>
  <c r="E486" i="2"/>
  <c r="E494" i="2"/>
  <c r="E15" i="2"/>
  <c r="E71" i="2"/>
  <c r="E95" i="2"/>
  <c r="E127" i="2"/>
  <c r="E151" i="2"/>
  <c r="E167" i="2"/>
  <c r="E191" i="2"/>
  <c r="E223" i="2"/>
  <c r="E247" i="2"/>
  <c r="E271" i="2"/>
  <c r="E303" i="2"/>
  <c r="E343" i="2"/>
  <c r="E16" i="2"/>
  <c r="E24" i="2"/>
  <c r="E32" i="2"/>
  <c r="E40" i="2"/>
  <c r="E48" i="2"/>
  <c r="E56" i="2"/>
  <c r="E64" i="2"/>
  <c r="E72" i="2"/>
  <c r="E80" i="2"/>
  <c r="E88" i="2"/>
  <c r="E96" i="2"/>
  <c r="E104" i="2"/>
  <c r="E112" i="2"/>
  <c r="E120" i="2"/>
  <c r="E128" i="2"/>
  <c r="E136" i="2"/>
  <c r="E144" i="2"/>
  <c r="E152" i="2"/>
  <c r="E160" i="2"/>
  <c r="E168" i="2"/>
  <c r="E176" i="2"/>
  <c r="E184" i="2"/>
  <c r="E192" i="2"/>
  <c r="E200" i="2"/>
  <c r="E208" i="2"/>
  <c r="E216" i="2"/>
  <c r="E224" i="2"/>
  <c r="E232" i="2"/>
  <c r="E240" i="2"/>
  <c r="E248" i="2"/>
  <c r="E256" i="2"/>
  <c r="E264" i="2"/>
  <c r="E272" i="2"/>
  <c r="E280" i="2"/>
  <c r="E288" i="2"/>
  <c r="E296" i="2"/>
  <c r="E304" i="2"/>
  <c r="E312" i="2"/>
  <c r="E320" i="2"/>
  <c r="E328" i="2"/>
  <c r="E336" i="2"/>
  <c r="E344" i="2"/>
  <c r="E352" i="2"/>
  <c r="E360" i="2"/>
  <c r="E368" i="2"/>
  <c r="E376" i="2"/>
  <c r="E384" i="2"/>
  <c r="E392" i="2"/>
  <c r="E400" i="2"/>
  <c r="E408" i="2"/>
  <c r="E416" i="2"/>
  <c r="E424" i="2"/>
  <c r="E432" i="2"/>
  <c r="E440" i="2"/>
  <c r="E448" i="2"/>
  <c r="E456" i="2"/>
  <c r="E464" i="2"/>
  <c r="E472" i="2"/>
  <c r="E480" i="2"/>
  <c r="E488" i="2"/>
  <c r="E496" i="2"/>
  <c r="E17" i="2"/>
  <c r="E25" i="2"/>
  <c r="E33" i="2"/>
  <c r="E41" i="2"/>
  <c r="E49" i="2"/>
  <c r="E57" i="2"/>
  <c r="E65" i="2"/>
  <c r="E73" i="2"/>
  <c r="E81" i="2"/>
  <c r="E89" i="2"/>
  <c r="E97" i="2"/>
  <c r="E105" i="2"/>
  <c r="E113" i="2"/>
  <c r="E121" i="2"/>
  <c r="E129" i="2"/>
  <c r="E137" i="2"/>
  <c r="E145" i="2"/>
  <c r="E153" i="2"/>
  <c r="E161" i="2"/>
  <c r="E169" i="2"/>
  <c r="E177" i="2"/>
  <c r="E185" i="2"/>
  <c r="E193" i="2"/>
  <c r="E201" i="2"/>
  <c r="E209" i="2"/>
  <c r="E273" i="2"/>
  <c r="E337" i="2"/>
  <c r="E393" i="2"/>
  <c r="E425" i="2"/>
  <c r="E457" i="2"/>
  <c r="E489" i="2"/>
  <c r="E345" i="2"/>
  <c r="E399" i="2"/>
  <c r="E431" i="2"/>
  <c r="E495" i="2"/>
  <c r="E289" i="2"/>
  <c r="E353" i="2"/>
  <c r="E433" i="2"/>
  <c r="E497" i="2"/>
  <c r="E439" i="2"/>
  <c r="E305" i="2"/>
  <c r="E473" i="2"/>
  <c r="E377" i="2"/>
  <c r="E257" i="2"/>
  <c r="E449" i="2"/>
  <c r="E455" i="2"/>
  <c r="E217" i="2"/>
  <c r="E281" i="2"/>
  <c r="E463" i="2"/>
  <c r="E465" i="2"/>
  <c r="E407" i="2"/>
  <c r="E441" i="2"/>
  <c r="E415" i="2"/>
  <c r="E417" i="2"/>
  <c r="E423" i="2"/>
  <c r="E225" i="2"/>
  <c r="E401" i="2"/>
  <c r="E241" i="2"/>
  <c r="E409" i="2"/>
  <c r="E313" i="2"/>
  <c r="E479" i="2"/>
  <c r="E321" i="2"/>
  <c r="E481" i="2"/>
  <c r="E329" i="2"/>
  <c r="E487" i="2"/>
  <c r="E233" i="2"/>
  <c r="E297" i="2"/>
  <c r="E361" i="2"/>
  <c r="E471" i="2"/>
  <c r="E369" i="2"/>
  <c r="E249" i="2"/>
  <c r="E447" i="2"/>
  <c r="E385" i="2"/>
  <c r="E265" i="2"/>
  <c r="E391" i="2"/>
  <c r="J11" i="2"/>
  <c r="J6" i="2" l="1" a="1"/>
  <c r="J6" i="2" s="1"/>
  <c r="K8" i="2" l="1"/>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N8" i="2"/>
  <c r="N9" i="2" s="1"/>
  <c r="N10" i="2" s="1"/>
  <c r="N11" i="2" s="1"/>
  <c r="N12" i="2" s="1"/>
  <c r="N13" i="2" s="1"/>
  <c r="N14" i="2" s="1"/>
  <c r="N15" i="2" s="1"/>
  <c r="N16" i="2" s="1"/>
  <c r="N17" i="2" s="1"/>
  <c r="N18" i="2" s="1"/>
  <c r="N19" i="2" s="1"/>
  <c r="N20" i="2" s="1"/>
  <c r="N21" i="2" s="1"/>
  <c r="N22" i="2" s="1"/>
  <c r="N23" i="2" s="1"/>
  <c r="N24" i="2" s="1"/>
  <c r="N25" i="2" s="1"/>
  <c r="N26" i="2" s="1"/>
  <c r="N27" i="2" s="1"/>
  <c r="N28" i="2" s="1"/>
  <c r="N29" i="2" s="1"/>
  <c r="N30" i="2" s="1"/>
  <c r="N31" i="2" s="1"/>
  <c r="N32" i="2" s="1"/>
  <c r="N33" i="2" s="1"/>
  <c r="N34" i="2" s="1"/>
  <c r="N35" i="2" s="1"/>
  <c r="N36" i="2" s="1"/>
  <c r="N37" i="2" s="1"/>
  <c r="N38" i="2" s="1"/>
  <c r="N39" i="2" s="1"/>
  <c r="N40" i="2" s="1"/>
  <c r="N41" i="2" s="1"/>
  <c r="N42" i="2" s="1"/>
  <c r="N43" i="2" s="1"/>
  <c r="N44" i="2" s="1"/>
  <c r="N45" i="2" s="1"/>
  <c r="N46" i="2" s="1"/>
  <c r="N47" i="2" s="1"/>
  <c r="N48" i="2" s="1"/>
  <c r="N49" i="2" s="1"/>
  <c r="N50" i="2" s="1"/>
  <c r="N51" i="2" s="1"/>
  <c r="N52" i="2" s="1"/>
  <c r="N53" i="2" s="1"/>
  <c r="N54" i="2" s="1"/>
  <c r="N55" i="2" s="1"/>
  <c r="N56" i="2" s="1"/>
  <c r="N57" i="2" s="1"/>
  <c r="N58" i="2" s="1"/>
  <c r="N59" i="2" s="1"/>
  <c r="N60" i="2" s="1"/>
  <c r="N61" i="2" s="1"/>
  <c r="N62" i="2" s="1"/>
  <c r="N63" i="2" s="1"/>
  <c r="N64" i="2" s="1"/>
  <c r="N65" i="2" s="1"/>
  <c r="N66" i="2" s="1"/>
  <c r="N67" i="2" s="1"/>
  <c r="N68" i="2" s="1"/>
  <c r="N69" i="2" s="1"/>
  <c r="N70" i="2" s="1"/>
  <c r="N71" i="2" s="1"/>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l="1"/>
  <c r="O73" i="2"/>
  <c r="O74" i="2"/>
  <c r="O75" i="2"/>
  <c r="O76" i="2"/>
  <c r="O77" i="2"/>
  <c r="O78" i="2"/>
  <c r="O79" i="2"/>
  <c r="N72" i="2"/>
  <c r="N73" i="2" s="1"/>
  <c r="N74" i="2" s="1"/>
  <c r="N75" i="2" s="1"/>
  <c r="N76" i="2" s="1"/>
  <c r="N77" i="2" s="1"/>
  <c r="K87" i="2" l="1"/>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I495" i="2" l="1"/>
  <c r="J495" i="2" s="1"/>
  <c r="I431" i="2"/>
  <c r="J431" i="2" s="1"/>
  <c r="I367" i="2"/>
  <c r="J367" i="2" s="1"/>
  <c r="I303" i="2"/>
  <c r="J303" i="2" s="1"/>
  <c r="I234" i="2"/>
  <c r="J234" i="2" s="1"/>
  <c r="I170" i="2"/>
  <c r="J170" i="2" s="1"/>
  <c r="I118" i="2"/>
  <c r="J118" i="2" s="1"/>
  <c r="I446" i="2"/>
  <c r="J446" i="2" s="1"/>
  <c r="I382" i="2"/>
  <c r="J382" i="2" s="1"/>
  <c r="I318" i="2"/>
  <c r="J318" i="2" s="1"/>
  <c r="I255" i="2"/>
  <c r="J255" i="2" s="1"/>
  <c r="I192" i="2"/>
  <c r="J192" i="2" s="1"/>
  <c r="I117" i="2"/>
  <c r="J117" i="2" s="1"/>
  <c r="I67" i="2"/>
  <c r="J67" i="2" s="1"/>
  <c r="I39" i="2"/>
  <c r="I445" i="2"/>
  <c r="J445" i="2" s="1"/>
  <c r="I381" i="2"/>
  <c r="J381" i="2" s="1"/>
  <c r="I317" i="2"/>
  <c r="J317" i="2" s="1"/>
  <c r="I254" i="2"/>
  <c r="J254" i="2" s="1"/>
  <c r="I185" i="2"/>
  <c r="J185" i="2" s="1"/>
  <c r="I142" i="2"/>
  <c r="J142" i="2" s="1"/>
  <c r="I119" i="2"/>
  <c r="J119" i="2" s="1"/>
  <c r="I452" i="2"/>
  <c r="J452" i="2" s="1"/>
  <c r="I388" i="2"/>
  <c r="J388" i="2" s="1"/>
  <c r="I324" i="2"/>
  <c r="J324" i="2" s="1"/>
  <c r="I260" i="2"/>
  <c r="J260" i="2" s="1"/>
  <c r="I196" i="2"/>
  <c r="J196" i="2" s="1"/>
  <c r="I127" i="2"/>
  <c r="J127" i="2" s="1"/>
  <c r="I84" i="2"/>
  <c r="J84" i="2" s="1"/>
  <c r="I154" i="2"/>
  <c r="J154" i="2" s="1"/>
  <c r="I483" i="2"/>
  <c r="J483" i="2" s="1"/>
  <c r="I419" i="2"/>
  <c r="J419" i="2" s="1"/>
  <c r="I355" i="2"/>
  <c r="J355" i="2" s="1"/>
  <c r="I291" i="2"/>
  <c r="J291" i="2" s="1"/>
  <c r="I231" i="2"/>
  <c r="J231" i="2" s="1"/>
  <c r="I168" i="2"/>
  <c r="J168" i="2" s="1"/>
  <c r="I490" i="2"/>
  <c r="J490" i="2" s="1"/>
  <c r="I426" i="2"/>
  <c r="J426" i="2" s="1"/>
  <c r="I362" i="2"/>
  <c r="J362" i="2" s="1"/>
  <c r="I298" i="2"/>
  <c r="J298" i="2" s="1"/>
  <c r="I237" i="2"/>
  <c r="J237" i="2" s="1"/>
  <c r="I136" i="2"/>
  <c r="J136" i="2" s="1"/>
  <c r="I93" i="2"/>
  <c r="J93" i="2" s="1"/>
  <c r="I38" i="2"/>
  <c r="I481" i="2"/>
  <c r="J481" i="2" s="1"/>
  <c r="I417" i="2"/>
  <c r="J417" i="2" s="1"/>
  <c r="I353" i="2"/>
  <c r="J353" i="2" s="1"/>
  <c r="I289" i="2"/>
  <c r="J289" i="2" s="1"/>
  <c r="I222" i="2"/>
  <c r="J222" i="2" s="1"/>
  <c r="I167" i="2"/>
  <c r="J167" i="2" s="1"/>
  <c r="I98" i="2"/>
  <c r="J98" i="2" s="1"/>
  <c r="I257" i="2"/>
  <c r="J257" i="2" s="1"/>
  <c r="I81" i="2"/>
  <c r="J81" i="2" s="1"/>
  <c r="I440" i="2"/>
  <c r="J440" i="2" s="1"/>
  <c r="I376" i="2"/>
  <c r="J376" i="2" s="1"/>
  <c r="I312" i="2"/>
  <c r="J312" i="2" s="1"/>
  <c r="I187" i="2"/>
  <c r="J187" i="2" s="1"/>
  <c r="I74" i="2"/>
  <c r="J74" i="2" s="1"/>
  <c r="I487" i="2"/>
  <c r="J487" i="2" s="1"/>
  <c r="I423" i="2"/>
  <c r="J423" i="2" s="1"/>
  <c r="I359" i="2"/>
  <c r="J359" i="2" s="1"/>
  <c r="I295" i="2"/>
  <c r="J295" i="2" s="1"/>
  <c r="I227" i="2"/>
  <c r="J227" i="2" s="1"/>
  <c r="I165" i="2"/>
  <c r="J165" i="2" s="1"/>
  <c r="I102" i="2"/>
  <c r="J102" i="2" s="1"/>
  <c r="I438" i="2"/>
  <c r="J438" i="2" s="1"/>
  <c r="I374" i="2"/>
  <c r="J374" i="2" s="1"/>
  <c r="I310" i="2"/>
  <c r="J310" i="2" s="1"/>
  <c r="I248" i="2"/>
  <c r="J248" i="2" s="1"/>
  <c r="I181" i="2"/>
  <c r="J181" i="2" s="1"/>
  <c r="I112" i="2"/>
  <c r="J112" i="2" s="1"/>
  <c r="I60" i="2"/>
  <c r="J60" i="2" s="1"/>
  <c r="I92" i="2"/>
  <c r="J92" i="2" s="1"/>
  <c r="I437" i="2"/>
  <c r="J437" i="2" s="1"/>
  <c r="I373" i="2"/>
  <c r="J373" i="2" s="1"/>
  <c r="I309" i="2"/>
  <c r="J309" i="2" s="1"/>
  <c r="I247" i="2"/>
  <c r="J247" i="2" s="1"/>
  <c r="I180" i="2"/>
  <c r="J180" i="2" s="1"/>
  <c r="I122" i="2"/>
  <c r="J122" i="2" s="1"/>
  <c r="I75" i="2"/>
  <c r="J75" i="2" s="1"/>
  <c r="I444" i="2"/>
  <c r="J444" i="2" s="1"/>
  <c r="I380" i="2"/>
  <c r="J380" i="2" s="1"/>
  <c r="I316" i="2"/>
  <c r="J316" i="2" s="1"/>
  <c r="I253" i="2"/>
  <c r="J253" i="2" s="1"/>
  <c r="I191" i="2"/>
  <c r="J191" i="2" s="1"/>
  <c r="I121" i="2"/>
  <c r="J121" i="2" s="1"/>
  <c r="I78" i="2"/>
  <c r="J78" i="2" s="1"/>
  <c r="I150" i="2"/>
  <c r="J150" i="2" s="1"/>
  <c r="I475" i="2"/>
  <c r="J475" i="2" s="1"/>
  <c r="I411" i="2"/>
  <c r="J411" i="2" s="1"/>
  <c r="I347" i="2"/>
  <c r="J347" i="2" s="1"/>
  <c r="I283" i="2"/>
  <c r="J283" i="2" s="1"/>
  <c r="I224" i="2"/>
  <c r="J224" i="2" s="1"/>
  <c r="I158" i="2"/>
  <c r="J158" i="2" s="1"/>
  <c r="I482" i="2"/>
  <c r="J482" i="2" s="1"/>
  <c r="I418" i="2"/>
  <c r="J418" i="2" s="1"/>
  <c r="I354" i="2"/>
  <c r="J354" i="2" s="1"/>
  <c r="I290" i="2"/>
  <c r="J290" i="2" s="1"/>
  <c r="I230" i="2"/>
  <c r="J230" i="2" s="1"/>
  <c r="I131" i="2"/>
  <c r="J131" i="2" s="1"/>
  <c r="I88" i="2"/>
  <c r="J88" i="2" s="1"/>
  <c r="I214" i="2"/>
  <c r="J214" i="2" s="1"/>
  <c r="I473" i="2"/>
  <c r="J473" i="2" s="1"/>
  <c r="I409" i="2"/>
  <c r="J409" i="2" s="1"/>
  <c r="I345" i="2"/>
  <c r="J345" i="2" s="1"/>
  <c r="I281" i="2"/>
  <c r="J281" i="2" s="1"/>
  <c r="I215" i="2"/>
  <c r="J215" i="2" s="1"/>
  <c r="I161" i="2"/>
  <c r="J161" i="2" s="1"/>
  <c r="I82" i="2"/>
  <c r="J82" i="2" s="1"/>
  <c r="I235" i="2"/>
  <c r="J235" i="2" s="1"/>
  <c r="I496" i="2"/>
  <c r="J496" i="2" s="1"/>
  <c r="I432" i="2"/>
  <c r="J432" i="2" s="1"/>
  <c r="I368" i="2"/>
  <c r="J368" i="2" s="1"/>
  <c r="I304" i="2"/>
  <c r="J304" i="2" s="1"/>
  <c r="I166" i="2"/>
  <c r="J166" i="2" s="1"/>
  <c r="I86" i="2"/>
  <c r="J86" i="2" s="1"/>
  <c r="I264" i="2"/>
  <c r="J264" i="2" s="1"/>
  <c r="I479" i="2"/>
  <c r="J479" i="2" s="1"/>
  <c r="I415" i="2"/>
  <c r="J415" i="2" s="1"/>
  <c r="I351" i="2"/>
  <c r="J351" i="2" s="1"/>
  <c r="I287" i="2"/>
  <c r="J287" i="2" s="1"/>
  <c r="I220" i="2"/>
  <c r="J220" i="2" s="1"/>
  <c r="I160" i="2"/>
  <c r="J160" i="2" s="1"/>
  <c r="I494" i="2"/>
  <c r="J494" i="2" s="1"/>
  <c r="I430" i="2"/>
  <c r="J430" i="2" s="1"/>
  <c r="I366" i="2"/>
  <c r="J366" i="2" s="1"/>
  <c r="I302" i="2"/>
  <c r="J302" i="2" s="1"/>
  <c r="I241" i="2"/>
  <c r="J241" i="2" s="1"/>
  <c r="I164" i="2"/>
  <c r="J164" i="2" s="1"/>
  <c r="I107" i="2"/>
  <c r="J107" i="2" s="1"/>
  <c r="I54" i="2"/>
  <c r="I493" i="2"/>
  <c r="J493" i="2" s="1"/>
  <c r="I429" i="2"/>
  <c r="J429" i="2" s="1"/>
  <c r="I365" i="2"/>
  <c r="J365" i="2" s="1"/>
  <c r="I301" i="2"/>
  <c r="J301" i="2" s="1"/>
  <c r="I240" i="2"/>
  <c r="J240" i="2" s="1"/>
  <c r="I175" i="2"/>
  <c r="J175" i="2" s="1"/>
  <c r="I106" i="2"/>
  <c r="J106" i="2" s="1"/>
  <c r="I500" i="2"/>
  <c r="J500" i="2" s="1"/>
  <c r="I436" i="2"/>
  <c r="J436" i="2" s="1"/>
  <c r="I372" i="2"/>
  <c r="J372" i="2" s="1"/>
  <c r="I308" i="2"/>
  <c r="J308" i="2" s="1"/>
  <c r="I246" i="2"/>
  <c r="J246" i="2" s="1"/>
  <c r="I179" i="2"/>
  <c r="J179" i="2" s="1"/>
  <c r="I116" i="2"/>
  <c r="J116" i="2" s="1"/>
  <c r="I65" i="2"/>
  <c r="J65" i="2" s="1"/>
  <c r="I110" i="2"/>
  <c r="J110" i="2" s="1"/>
  <c r="I467" i="2"/>
  <c r="J467" i="2" s="1"/>
  <c r="I403" i="2"/>
  <c r="J403" i="2" s="1"/>
  <c r="I339" i="2"/>
  <c r="J339" i="2" s="1"/>
  <c r="I275" i="2"/>
  <c r="J275" i="2" s="1"/>
  <c r="I217" i="2"/>
  <c r="J217" i="2" s="1"/>
  <c r="I141" i="2"/>
  <c r="J141" i="2" s="1"/>
  <c r="I474" i="2"/>
  <c r="J474" i="2" s="1"/>
  <c r="I410" i="2"/>
  <c r="J410" i="2" s="1"/>
  <c r="I346" i="2"/>
  <c r="J346" i="2" s="1"/>
  <c r="I282" i="2"/>
  <c r="J282" i="2" s="1"/>
  <c r="I223" i="2"/>
  <c r="J223" i="2" s="1"/>
  <c r="I125" i="2"/>
  <c r="J125" i="2" s="1"/>
  <c r="I83" i="2"/>
  <c r="J83" i="2" s="1"/>
  <c r="I182" i="2"/>
  <c r="J182" i="2" s="1"/>
  <c r="I465" i="2"/>
  <c r="J465" i="2" s="1"/>
  <c r="I401" i="2"/>
  <c r="J401" i="2" s="1"/>
  <c r="I337" i="2"/>
  <c r="J337" i="2" s="1"/>
  <c r="I273" i="2"/>
  <c r="J273" i="2" s="1"/>
  <c r="I208" i="2"/>
  <c r="J208" i="2" s="1"/>
  <c r="I157" i="2"/>
  <c r="J157" i="2" s="1"/>
  <c r="I69" i="2"/>
  <c r="J69" i="2" s="1"/>
  <c r="I228" i="2"/>
  <c r="J228" i="2" s="1"/>
  <c r="I488" i="2"/>
  <c r="J488" i="2" s="1"/>
  <c r="I424" i="2"/>
  <c r="J424" i="2" s="1"/>
  <c r="I360" i="2"/>
  <c r="J360" i="2" s="1"/>
  <c r="I288" i="2"/>
  <c r="J288" i="2" s="1"/>
  <c r="I129" i="2"/>
  <c r="J129" i="2" s="1"/>
  <c r="I42" i="2"/>
  <c r="I471" i="2"/>
  <c r="J471" i="2" s="1"/>
  <c r="I407" i="2"/>
  <c r="J407" i="2" s="1"/>
  <c r="I343" i="2"/>
  <c r="J343" i="2" s="1"/>
  <c r="I279" i="2"/>
  <c r="J279" i="2" s="1"/>
  <c r="I213" i="2"/>
  <c r="J213" i="2" s="1"/>
  <c r="I156" i="2"/>
  <c r="J156" i="2" s="1"/>
  <c r="I486" i="2"/>
  <c r="J486" i="2" s="1"/>
  <c r="I422" i="2"/>
  <c r="J422" i="2" s="1"/>
  <c r="I358" i="2"/>
  <c r="J358" i="2" s="1"/>
  <c r="I294" i="2"/>
  <c r="J294" i="2" s="1"/>
  <c r="I226" i="2"/>
  <c r="J226" i="2" s="1"/>
  <c r="I143" i="2"/>
  <c r="J143" i="2" s="1"/>
  <c r="I101" i="2"/>
  <c r="J101" i="2" s="1"/>
  <c r="I41" i="2"/>
  <c r="I485" i="2"/>
  <c r="J485" i="2" s="1"/>
  <c r="I421" i="2"/>
  <c r="J421" i="2" s="1"/>
  <c r="I357" i="2"/>
  <c r="J357" i="2" s="1"/>
  <c r="I293" i="2"/>
  <c r="J293" i="2" s="1"/>
  <c r="I233" i="2"/>
  <c r="J233" i="2" s="1"/>
  <c r="I169" i="2"/>
  <c r="J169" i="2" s="1"/>
  <c r="I90" i="2"/>
  <c r="J90" i="2" s="1"/>
  <c r="I492" i="2"/>
  <c r="J492" i="2" s="1"/>
  <c r="I428" i="2"/>
  <c r="J428" i="2" s="1"/>
  <c r="I364" i="2"/>
  <c r="J364" i="2" s="1"/>
  <c r="I300" i="2"/>
  <c r="J300" i="2" s="1"/>
  <c r="I239" i="2"/>
  <c r="J239" i="2" s="1"/>
  <c r="I174" i="2"/>
  <c r="J174" i="2" s="1"/>
  <c r="I111" i="2"/>
  <c r="J111" i="2" s="1"/>
  <c r="I59" i="2"/>
  <c r="I77" i="2"/>
  <c r="J77" i="2" s="1"/>
  <c r="I459" i="2"/>
  <c r="J459" i="2" s="1"/>
  <c r="I395" i="2"/>
  <c r="J395" i="2" s="1"/>
  <c r="I331" i="2"/>
  <c r="J331" i="2" s="1"/>
  <c r="I267" i="2"/>
  <c r="J267" i="2" s="1"/>
  <c r="I202" i="2"/>
  <c r="J202" i="2" s="1"/>
  <c r="I126" i="2"/>
  <c r="J126" i="2" s="1"/>
  <c r="I466" i="2"/>
  <c r="J466" i="2" s="1"/>
  <c r="I402" i="2"/>
  <c r="J402" i="2" s="1"/>
  <c r="I338" i="2"/>
  <c r="J338" i="2" s="1"/>
  <c r="I274" i="2"/>
  <c r="J274" i="2" s="1"/>
  <c r="I216" i="2"/>
  <c r="J216" i="2" s="1"/>
  <c r="I120" i="2"/>
  <c r="J120" i="2" s="1"/>
  <c r="I76" i="2"/>
  <c r="J76" i="2" s="1"/>
  <c r="I144" i="2"/>
  <c r="J144" i="2" s="1"/>
  <c r="I457" i="2"/>
  <c r="J457" i="2" s="1"/>
  <c r="I393" i="2"/>
  <c r="J393" i="2" s="1"/>
  <c r="I329" i="2"/>
  <c r="J329" i="2" s="1"/>
  <c r="I265" i="2"/>
  <c r="J265" i="2" s="1"/>
  <c r="I201" i="2"/>
  <c r="J201" i="2" s="1"/>
  <c r="I153" i="2"/>
  <c r="J153" i="2" s="1"/>
  <c r="I63" i="2"/>
  <c r="J63" i="2" s="1"/>
  <c r="I207" i="2"/>
  <c r="J207" i="2" s="1"/>
  <c r="I480" i="2"/>
  <c r="J480" i="2" s="1"/>
  <c r="I416" i="2"/>
  <c r="J416" i="2" s="1"/>
  <c r="I352" i="2"/>
  <c r="J352" i="2" s="1"/>
  <c r="I280" i="2"/>
  <c r="J280" i="2" s="1"/>
  <c r="I108" i="2"/>
  <c r="J108" i="2" s="1"/>
  <c r="I55" i="2"/>
  <c r="I68" i="2"/>
  <c r="J68" i="2" s="1"/>
  <c r="I463" i="2"/>
  <c r="J463" i="2" s="1"/>
  <c r="I399" i="2"/>
  <c r="J399" i="2" s="1"/>
  <c r="I335" i="2"/>
  <c r="J335" i="2" s="1"/>
  <c r="I271" i="2"/>
  <c r="J271" i="2" s="1"/>
  <c r="I206" i="2"/>
  <c r="J206" i="2" s="1"/>
  <c r="I152" i="2"/>
  <c r="J152" i="2" s="1"/>
  <c r="I478" i="2"/>
  <c r="J478" i="2" s="1"/>
  <c r="I414" i="2"/>
  <c r="J414" i="2" s="1"/>
  <c r="I350" i="2"/>
  <c r="J350" i="2" s="1"/>
  <c r="I286" i="2"/>
  <c r="J286" i="2" s="1"/>
  <c r="I219" i="2"/>
  <c r="J219" i="2" s="1"/>
  <c r="I138" i="2"/>
  <c r="J138" i="2" s="1"/>
  <c r="I96" i="2"/>
  <c r="J96" i="2" s="1"/>
  <c r="I72" i="2"/>
  <c r="J72" i="2" s="1"/>
  <c r="I477" i="2"/>
  <c r="J477" i="2" s="1"/>
  <c r="I413" i="2"/>
  <c r="J413" i="2" s="1"/>
  <c r="I349" i="2"/>
  <c r="J349" i="2" s="1"/>
  <c r="I285" i="2"/>
  <c r="J285" i="2" s="1"/>
  <c r="I218" i="2"/>
  <c r="J218" i="2" s="1"/>
  <c r="I159" i="2"/>
  <c r="J159" i="2" s="1"/>
  <c r="I79" i="2"/>
  <c r="J79" i="2" s="1"/>
  <c r="I484" i="2"/>
  <c r="J484" i="2" s="1"/>
  <c r="I420" i="2"/>
  <c r="J420" i="2" s="1"/>
  <c r="I356" i="2"/>
  <c r="J356" i="2" s="1"/>
  <c r="I292" i="2"/>
  <c r="J292" i="2" s="1"/>
  <c r="I232" i="2"/>
  <c r="J232" i="2" s="1"/>
  <c r="I163" i="2"/>
  <c r="J163" i="2" s="1"/>
  <c r="I105" i="2"/>
  <c r="J105" i="2" s="1"/>
  <c r="I52" i="2"/>
  <c r="I45" i="2"/>
  <c r="I451" i="2"/>
  <c r="J451" i="2" s="1"/>
  <c r="I387" i="2"/>
  <c r="J387" i="2" s="1"/>
  <c r="I323" i="2"/>
  <c r="J323" i="2" s="1"/>
  <c r="I259" i="2"/>
  <c r="J259" i="2" s="1"/>
  <c r="I195" i="2"/>
  <c r="J195" i="2" s="1"/>
  <c r="I94" i="2"/>
  <c r="J94" i="2" s="1"/>
  <c r="I458" i="2"/>
  <c r="J458" i="2" s="1"/>
  <c r="I394" i="2"/>
  <c r="J394" i="2" s="1"/>
  <c r="I330" i="2"/>
  <c r="J330" i="2" s="1"/>
  <c r="I266" i="2"/>
  <c r="J266" i="2" s="1"/>
  <c r="I209" i="2"/>
  <c r="J209" i="2" s="1"/>
  <c r="I115" i="2"/>
  <c r="J115" i="2" s="1"/>
  <c r="I70" i="2"/>
  <c r="J70" i="2" s="1"/>
  <c r="I124" i="2"/>
  <c r="J124" i="2" s="1"/>
  <c r="I449" i="2"/>
  <c r="J449" i="2" s="1"/>
  <c r="I385" i="2"/>
  <c r="J385" i="2" s="1"/>
  <c r="I321" i="2"/>
  <c r="J321" i="2" s="1"/>
  <c r="I250" i="2"/>
  <c r="J250" i="2" s="1"/>
  <c r="I188" i="2"/>
  <c r="J188" i="2" s="1"/>
  <c r="I149" i="2"/>
  <c r="J149" i="2" s="1"/>
  <c r="I56" i="2"/>
  <c r="I193" i="2"/>
  <c r="J193" i="2" s="1"/>
  <c r="I472" i="2"/>
  <c r="J472" i="2" s="1"/>
  <c r="I408" i="2"/>
  <c r="J408" i="2" s="1"/>
  <c r="I344" i="2"/>
  <c r="J344" i="2" s="1"/>
  <c r="I455" i="2"/>
  <c r="J455" i="2" s="1"/>
  <c r="I391" i="2"/>
  <c r="J391" i="2" s="1"/>
  <c r="I327" i="2"/>
  <c r="J327" i="2" s="1"/>
  <c r="I263" i="2"/>
  <c r="J263" i="2" s="1"/>
  <c r="I199" i="2"/>
  <c r="J199" i="2" s="1"/>
  <c r="I148" i="2"/>
  <c r="J148" i="2" s="1"/>
  <c r="I470" i="2"/>
  <c r="J470" i="2" s="1"/>
  <c r="I406" i="2"/>
  <c r="J406" i="2" s="1"/>
  <c r="I342" i="2"/>
  <c r="J342" i="2" s="1"/>
  <c r="I278" i="2"/>
  <c r="J278" i="2" s="1"/>
  <c r="I212" i="2"/>
  <c r="J212" i="2" s="1"/>
  <c r="I133" i="2"/>
  <c r="J133" i="2" s="1"/>
  <c r="I91" i="2"/>
  <c r="J91" i="2" s="1"/>
  <c r="I53" i="2"/>
  <c r="I469" i="2"/>
  <c r="J469" i="2" s="1"/>
  <c r="I405" i="2"/>
  <c r="J405" i="2" s="1"/>
  <c r="I341" i="2"/>
  <c r="J341" i="2" s="1"/>
  <c r="I277" i="2"/>
  <c r="J277" i="2" s="1"/>
  <c r="I211" i="2"/>
  <c r="J211" i="2" s="1"/>
  <c r="I155" i="2"/>
  <c r="J155" i="2" s="1"/>
  <c r="I66" i="2"/>
  <c r="J66" i="2" s="1"/>
  <c r="I476" i="2"/>
  <c r="J476" i="2" s="1"/>
  <c r="I412" i="2"/>
  <c r="J412" i="2" s="1"/>
  <c r="I348" i="2"/>
  <c r="J348" i="2" s="1"/>
  <c r="I284" i="2"/>
  <c r="J284" i="2" s="1"/>
  <c r="I225" i="2"/>
  <c r="J225" i="2" s="1"/>
  <c r="I146" i="2"/>
  <c r="J146" i="2" s="1"/>
  <c r="I100" i="2"/>
  <c r="J100" i="2" s="1"/>
  <c r="I46" i="2"/>
  <c r="I103" i="2"/>
  <c r="J103" i="2" s="1"/>
  <c r="I443" i="2"/>
  <c r="J443" i="2" s="1"/>
  <c r="I379" i="2"/>
  <c r="J379" i="2" s="1"/>
  <c r="I315" i="2"/>
  <c r="J315" i="2" s="1"/>
  <c r="I252" i="2"/>
  <c r="J252" i="2" s="1"/>
  <c r="I190" i="2"/>
  <c r="J190" i="2" s="1"/>
  <c r="I58" i="2"/>
  <c r="I450" i="2"/>
  <c r="J450" i="2" s="1"/>
  <c r="I386" i="2"/>
  <c r="J386" i="2" s="1"/>
  <c r="I322" i="2"/>
  <c r="J322" i="2" s="1"/>
  <c r="I258" i="2"/>
  <c r="J258" i="2" s="1"/>
  <c r="I194" i="2"/>
  <c r="J194" i="2" s="1"/>
  <c r="I109" i="2"/>
  <c r="J109" i="2" s="1"/>
  <c r="I57" i="2"/>
  <c r="I87" i="2"/>
  <c r="J87" i="2" s="1"/>
  <c r="I441" i="2"/>
  <c r="J441" i="2" s="1"/>
  <c r="I377" i="2"/>
  <c r="J377" i="2" s="1"/>
  <c r="I313" i="2"/>
  <c r="J313" i="2" s="1"/>
  <c r="I243" i="2"/>
  <c r="J243" i="2" s="1"/>
  <c r="I183" i="2"/>
  <c r="J183" i="2" s="1"/>
  <c r="I140" i="2"/>
  <c r="J140" i="2" s="1"/>
  <c r="I50" i="2"/>
  <c r="I171" i="2"/>
  <c r="J171" i="2" s="1"/>
  <c r="I464" i="2"/>
  <c r="J464" i="2" s="1"/>
  <c r="I400" i="2"/>
  <c r="J400" i="2" s="1"/>
  <c r="I336" i="2"/>
  <c r="J336" i="2" s="1"/>
  <c r="I242" i="2"/>
  <c r="J242" i="2" s="1"/>
  <c r="I62" i="2"/>
  <c r="J62" i="2" s="1"/>
  <c r="I80" i="2"/>
  <c r="J80" i="2" s="1"/>
  <c r="I447" i="2"/>
  <c r="J447" i="2" s="1"/>
  <c r="I383" i="2"/>
  <c r="J383" i="2" s="1"/>
  <c r="I319" i="2"/>
  <c r="J319" i="2" s="1"/>
  <c r="I256" i="2"/>
  <c r="J256" i="2" s="1"/>
  <c r="I186" i="2"/>
  <c r="J186" i="2" s="1"/>
  <c r="I139" i="2"/>
  <c r="J139" i="2" s="1"/>
  <c r="I462" i="2"/>
  <c r="J462" i="2" s="1"/>
  <c r="I398" i="2"/>
  <c r="J398" i="2" s="1"/>
  <c r="I334" i="2"/>
  <c r="J334" i="2" s="1"/>
  <c r="I270" i="2"/>
  <c r="J270" i="2" s="1"/>
  <c r="I205" i="2"/>
  <c r="J205" i="2" s="1"/>
  <c r="I128" i="2"/>
  <c r="J128" i="2" s="1"/>
  <c r="I85" i="2"/>
  <c r="J85" i="2" s="1"/>
  <c r="I40" i="2"/>
  <c r="I461" i="2"/>
  <c r="J461" i="2" s="1"/>
  <c r="I397" i="2"/>
  <c r="J397" i="2" s="1"/>
  <c r="I333" i="2"/>
  <c r="J333" i="2" s="1"/>
  <c r="I269" i="2"/>
  <c r="J269" i="2" s="1"/>
  <c r="I204" i="2"/>
  <c r="J204" i="2" s="1"/>
  <c r="I151" i="2"/>
  <c r="J151" i="2" s="1"/>
  <c r="I47" i="2"/>
  <c r="I468" i="2"/>
  <c r="J468" i="2" s="1"/>
  <c r="I404" i="2"/>
  <c r="J404" i="2" s="1"/>
  <c r="I340" i="2"/>
  <c r="J340" i="2" s="1"/>
  <c r="I276" i="2"/>
  <c r="J276" i="2" s="1"/>
  <c r="I210" i="2"/>
  <c r="J210" i="2" s="1"/>
  <c r="I137" i="2"/>
  <c r="J137" i="2" s="1"/>
  <c r="I95" i="2"/>
  <c r="J95" i="2" s="1"/>
  <c r="I178" i="2"/>
  <c r="J178" i="2" s="1"/>
  <c r="I499" i="2"/>
  <c r="J499" i="2" s="1"/>
  <c r="I435" i="2"/>
  <c r="J435" i="2" s="1"/>
  <c r="I371" i="2"/>
  <c r="J371" i="2" s="1"/>
  <c r="I307" i="2"/>
  <c r="J307" i="2" s="1"/>
  <c r="I245" i="2"/>
  <c r="J245" i="2" s="1"/>
  <c r="I184" i="2"/>
  <c r="J184" i="2" s="1"/>
  <c r="I97" i="2"/>
  <c r="J97" i="2" s="1"/>
  <c r="I442" i="2"/>
  <c r="J442" i="2" s="1"/>
  <c r="I378" i="2"/>
  <c r="J378" i="2" s="1"/>
  <c r="I314" i="2"/>
  <c r="J314" i="2" s="1"/>
  <c r="I251" i="2"/>
  <c r="J251" i="2" s="1"/>
  <c r="I189" i="2"/>
  <c r="J189" i="2" s="1"/>
  <c r="I104" i="2"/>
  <c r="J104" i="2" s="1"/>
  <c r="I51" i="2"/>
  <c r="I497" i="2"/>
  <c r="J497" i="2" s="1"/>
  <c r="I433" i="2"/>
  <c r="J433" i="2" s="1"/>
  <c r="I369" i="2"/>
  <c r="J369" i="2" s="1"/>
  <c r="I305" i="2"/>
  <c r="J305" i="2" s="1"/>
  <c r="I236" i="2"/>
  <c r="J236" i="2" s="1"/>
  <c r="I177" i="2"/>
  <c r="J177" i="2" s="1"/>
  <c r="I130" i="2"/>
  <c r="J130" i="2" s="1"/>
  <c r="I296" i="2"/>
  <c r="J296" i="2" s="1"/>
  <c r="I135" i="2"/>
  <c r="J135" i="2" s="1"/>
  <c r="I456" i="2"/>
  <c r="J456" i="2" s="1"/>
  <c r="I392" i="2"/>
  <c r="J392" i="2" s="1"/>
  <c r="I328" i="2"/>
  <c r="J328" i="2" s="1"/>
  <c r="I221" i="2"/>
  <c r="J221" i="2" s="1"/>
  <c r="I48" i="2"/>
  <c r="I43" i="2"/>
  <c r="I439" i="2"/>
  <c r="J439" i="2" s="1"/>
  <c r="I375" i="2"/>
  <c r="J375" i="2" s="1"/>
  <c r="I311" i="2"/>
  <c r="J311" i="2" s="1"/>
  <c r="I249" i="2"/>
  <c r="J249" i="2" s="1"/>
  <c r="I176" i="2"/>
  <c r="J176" i="2" s="1"/>
  <c r="I134" i="2"/>
  <c r="J134" i="2" s="1"/>
  <c r="I454" i="2"/>
  <c r="J454" i="2" s="1"/>
  <c r="I390" i="2"/>
  <c r="J390" i="2" s="1"/>
  <c r="I326" i="2"/>
  <c r="J326" i="2" s="1"/>
  <c r="I262" i="2"/>
  <c r="J262" i="2" s="1"/>
  <c r="I198" i="2"/>
  <c r="J198" i="2" s="1"/>
  <c r="I123" i="2"/>
  <c r="J123" i="2" s="1"/>
  <c r="I73" i="2"/>
  <c r="J73" i="2" s="1"/>
  <c r="I64" i="2"/>
  <c r="J64" i="2" s="1"/>
  <c r="I453" i="2"/>
  <c r="J453" i="2" s="1"/>
  <c r="I389" i="2"/>
  <c r="J389" i="2" s="1"/>
  <c r="I325" i="2"/>
  <c r="J325" i="2" s="1"/>
  <c r="I261" i="2"/>
  <c r="J261" i="2" s="1"/>
  <c r="I197" i="2"/>
  <c r="J197" i="2" s="1"/>
  <c r="I147" i="2"/>
  <c r="J147" i="2" s="1"/>
  <c r="I71" i="2"/>
  <c r="J71" i="2" s="1"/>
  <c r="I460" i="2"/>
  <c r="J460" i="2" s="1"/>
  <c r="I396" i="2"/>
  <c r="J396" i="2" s="1"/>
  <c r="I332" i="2"/>
  <c r="J332" i="2" s="1"/>
  <c r="I268" i="2"/>
  <c r="J268" i="2" s="1"/>
  <c r="I203" i="2"/>
  <c r="J203" i="2" s="1"/>
  <c r="I132" i="2"/>
  <c r="J132" i="2" s="1"/>
  <c r="I89" i="2"/>
  <c r="J89" i="2" s="1"/>
  <c r="I162" i="2"/>
  <c r="J162" i="2" s="1"/>
  <c r="I491" i="2"/>
  <c r="J491" i="2" s="1"/>
  <c r="I427" i="2"/>
  <c r="J427" i="2" s="1"/>
  <c r="I363" i="2"/>
  <c r="J363" i="2" s="1"/>
  <c r="I299" i="2"/>
  <c r="J299" i="2" s="1"/>
  <c r="I238" i="2"/>
  <c r="J238" i="2" s="1"/>
  <c r="I173" i="2"/>
  <c r="J173" i="2" s="1"/>
  <c r="I498" i="2"/>
  <c r="J498" i="2" s="1"/>
  <c r="I434" i="2"/>
  <c r="J434" i="2" s="1"/>
  <c r="I370" i="2"/>
  <c r="J370" i="2" s="1"/>
  <c r="I306" i="2"/>
  <c r="J306" i="2" s="1"/>
  <c r="I244" i="2"/>
  <c r="J244" i="2" s="1"/>
  <c r="I145" i="2"/>
  <c r="J145" i="2" s="1"/>
  <c r="I99" i="2"/>
  <c r="J99" i="2" s="1"/>
  <c r="I44" i="2"/>
  <c r="I489" i="2"/>
  <c r="J489" i="2" s="1"/>
  <c r="I425" i="2"/>
  <c r="J425" i="2" s="1"/>
  <c r="I361" i="2"/>
  <c r="J361" i="2" s="1"/>
  <c r="I297" i="2"/>
  <c r="J297" i="2" s="1"/>
  <c r="I229" i="2"/>
  <c r="J229" i="2" s="1"/>
  <c r="I172" i="2"/>
  <c r="J172" i="2" s="1"/>
  <c r="I114" i="2"/>
  <c r="J114" i="2" s="1"/>
  <c r="I272" i="2"/>
  <c r="J272" i="2" s="1"/>
  <c r="I113" i="2"/>
  <c r="J113" i="2" s="1"/>
  <c r="I448" i="2"/>
  <c r="J448" i="2" s="1"/>
  <c r="I384" i="2"/>
  <c r="J384" i="2" s="1"/>
  <c r="I320" i="2"/>
  <c r="J320" i="2" s="1"/>
  <c r="I200" i="2"/>
  <c r="J200" i="2" s="1"/>
  <c r="I61" i="2"/>
  <c r="J61" i="2" s="1"/>
  <c r="I49" i="2"/>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251" i="3"/>
  <c r="V252" i="3"/>
  <c r="V253" i="3"/>
  <c r="V254" i="3"/>
  <c r="V255" i="3"/>
  <c r="V256" i="3"/>
  <c r="V257" i="3"/>
  <c r="V258" i="3"/>
  <c r="V259" i="3"/>
  <c r="V260" i="3"/>
  <c r="V261" i="3"/>
  <c r="V262" i="3"/>
  <c r="V263" i="3"/>
  <c r="V264" i="3"/>
  <c r="V265" i="3"/>
  <c r="V266" i="3"/>
  <c r="V267" i="3"/>
  <c r="V268" i="3"/>
  <c r="V269" i="3"/>
  <c r="V270" i="3"/>
  <c r="V271" i="3"/>
  <c r="V272" i="3"/>
  <c r="V273" i="3"/>
  <c r="V274" i="3"/>
  <c r="V275" i="3"/>
  <c r="V276" i="3"/>
  <c r="V277" i="3"/>
  <c r="V278" i="3"/>
  <c r="V279" i="3"/>
  <c r="V280" i="3"/>
  <c r="V281" i="3"/>
  <c r="V282" i="3"/>
  <c r="V283" i="3"/>
  <c r="V284" i="3"/>
  <c r="V285" i="3"/>
  <c r="V286" i="3"/>
  <c r="V287" i="3"/>
  <c r="V288" i="3"/>
  <c r="V289" i="3"/>
  <c r="V290" i="3"/>
  <c r="V291" i="3"/>
  <c r="V292" i="3"/>
  <c r="V293" i="3"/>
  <c r="V294" i="3"/>
  <c r="V295" i="3"/>
  <c r="V296" i="3"/>
  <c r="V297" i="3"/>
  <c r="V298" i="3"/>
  <c r="V299" i="3"/>
  <c r="V300" i="3"/>
  <c r="V301" i="3"/>
  <c r="V302" i="3"/>
  <c r="V303" i="3"/>
  <c r="V304" i="3"/>
  <c r="V305" i="3"/>
  <c r="V306" i="3"/>
  <c r="V307" i="3"/>
  <c r="V308" i="3"/>
  <c r="V309" i="3"/>
  <c r="V310" i="3"/>
  <c r="V311" i="3"/>
  <c r="V312" i="3"/>
  <c r="V313" i="3"/>
  <c r="V314" i="3"/>
  <c r="V315" i="3"/>
  <c r="V316" i="3"/>
  <c r="V317" i="3"/>
  <c r="V318" i="3"/>
  <c r="V319" i="3"/>
  <c r="V320" i="3"/>
  <c r="V321" i="3"/>
  <c r="V322" i="3"/>
  <c r="V323" i="3"/>
  <c r="V324" i="3"/>
  <c r="V325" i="3"/>
  <c r="V326" i="3"/>
  <c r="V327" i="3"/>
  <c r="V328" i="3"/>
  <c r="V329" i="3"/>
  <c r="V330" i="3"/>
  <c r="V331" i="3"/>
  <c r="V332" i="3"/>
  <c r="V333" i="3"/>
  <c r="V334" i="3"/>
  <c r="V335" i="3"/>
  <c r="V336" i="3"/>
  <c r="V337" i="3"/>
  <c r="V338" i="3"/>
  <c r="V339" i="3"/>
  <c r="V340" i="3"/>
  <c r="V341" i="3"/>
  <c r="V342" i="3"/>
  <c r="V343" i="3"/>
  <c r="V344" i="3"/>
  <c r="V345" i="3"/>
  <c r="V346" i="3"/>
  <c r="V347" i="3"/>
  <c r="V348" i="3"/>
  <c r="V349" i="3"/>
  <c r="V350" i="3"/>
  <c r="V351" i="3"/>
  <c r="V352" i="3"/>
  <c r="V353" i="3"/>
  <c r="V354" i="3"/>
  <c r="V355" i="3"/>
  <c r="V356" i="3"/>
  <c r="V357" i="3"/>
  <c r="V358" i="3"/>
  <c r="V359" i="3"/>
  <c r="V360" i="3"/>
  <c r="V361" i="3"/>
  <c r="V362" i="3"/>
  <c r="V363" i="3"/>
  <c r="V364" i="3"/>
  <c r="V365" i="3"/>
  <c r="V366" i="3"/>
  <c r="V367" i="3"/>
  <c r="V368" i="3"/>
  <c r="V369" i="3"/>
  <c r="V370" i="3"/>
  <c r="V371" i="3"/>
  <c r="V6" i="3"/>
  <c r="V7" i="3" s="1"/>
  <c r="V8" i="3" s="1"/>
  <c r="V9" i="3" s="1"/>
  <c r="V10" i="3" s="1"/>
  <c r="V11" i="3" s="1"/>
  <c r="V12" i="3" s="1"/>
  <c r="V13" i="3" s="1"/>
  <c r="V14" i="3" s="1"/>
  <c r="V15" i="3" s="1"/>
  <c r="V16" i="3" s="1"/>
  <c r="V17" i="3" s="1"/>
  <c r="V18" i="3" s="1"/>
  <c r="V19" i="3" s="1"/>
  <c r="V20" i="3" s="1"/>
  <c r="V21" i="3" s="1"/>
  <c r="V22" i="3" s="1"/>
  <c r="V23" i="3" s="1"/>
  <c r="V24" i="3" s="1"/>
  <c r="V25" i="3" s="1"/>
  <c r="V26" i="3" s="1"/>
  <c r="V27" i="3" s="1"/>
  <c r="V28" i="3" s="1"/>
  <c r="V29" i="3" s="1"/>
  <c r="V30" i="3" s="1"/>
  <c r="V31" i="3" s="1"/>
  <c r="V32" i="3" s="1"/>
  <c r="V33" i="3" s="1"/>
  <c r="V34" i="3" s="1"/>
  <c r="V35" i="3" s="1"/>
  <c r="V36" i="3" s="1"/>
  <c r="V37" i="3" s="1"/>
  <c r="V38" i="3" s="1"/>
  <c r="V39" i="3" s="1"/>
  <c r="V40" i="3" s="1"/>
  <c r="V41" i="3" s="1"/>
  <c r="V42" i="3" s="1"/>
  <c r="V43" i="3" s="1"/>
  <c r="V44" i="3" s="1"/>
  <c r="V45" i="3" s="1"/>
  <c r="V46" i="3" s="1"/>
  <c r="V47" i="3" s="1"/>
  <c r="V48" i="3" s="1"/>
  <c r="V49" i="3" s="1"/>
  <c r="V50" i="3" s="1"/>
  <c r="V51" i="3" s="1"/>
  <c r="V52" i="3" s="1"/>
  <c r="V53" i="3" s="1"/>
  <c r="V54" i="3" s="1"/>
  <c r="V55" i="3" s="1"/>
  <c r="V56" i="3" s="1"/>
  <c r="V57" i="3" s="1"/>
  <c r="V58" i="3" s="1"/>
  <c r="V59" i="3" s="1"/>
  <c r="V60" i="3" s="1"/>
  <c r="V61" i="3" s="1"/>
  <c r="V62" i="3" s="1"/>
  <c r="V63" i="3" s="1"/>
  <c r="V64" i="3" s="1"/>
  <c r="V65" i="3" s="1"/>
  <c r="V66" i="3" s="1"/>
  <c r="V67" i="3" s="1"/>
  <c r="V68" i="3" s="1"/>
  <c r="V69" i="3" s="1"/>
  <c r="V70" i="3" s="1"/>
  <c r="V71" i="3" s="1"/>
  <c r="V72" i="3" s="1"/>
  <c r="V73" i="3" s="1"/>
  <c r="V74" i="3" s="1"/>
  <c r="V75" i="3" s="1"/>
  <c r="V76" i="3" s="1"/>
  <c r="V77" i="3" s="1"/>
  <c r="V78" i="3" s="1"/>
  <c r="V79" i="3" s="1"/>
  <c r="V80" i="3" s="1"/>
  <c r="V81" i="3" s="1"/>
  <c r="V82" i="3" s="1"/>
  <c r="V83" i="3" s="1"/>
  <c r="V84" i="3" s="1"/>
  <c r="V85" i="3" s="1"/>
  <c r="V86" i="3" s="1"/>
  <c r="V87" i="3" s="1"/>
  <c r="V88" i="3" s="1"/>
  <c r="V89" i="3" s="1"/>
  <c r="V90" i="3" s="1"/>
  <c r="V91" i="3" s="1"/>
  <c r="V92" i="3" s="1"/>
  <c r="V93" i="3" s="1"/>
  <c r="V94" i="3" s="1"/>
  <c r="V95" i="3" s="1"/>
  <c r="V96" i="3" s="1"/>
  <c r="V97" i="3" s="1"/>
  <c r="V98" i="3" s="1"/>
  <c r="V99" i="3" s="1"/>
  <c r="V100" i="3" s="1"/>
  <c r="V101" i="3" s="1"/>
  <c r="V102" i="3" s="1"/>
  <c r="V103" i="3" s="1"/>
  <c r="V104" i="3" s="1"/>
  <c r="V105" i="3" s="1"/>
  <c r="V106" i="3" s="1"/>
  <c r="V107" i="3" s="1"/>
  <c r="V108" i="3" s="1"/>
  <c r="V109" i="3" s="1"/>
  <c r="V110" i="3" s="1"/>
  <c r="V111" i="3" s="1"/>
  <c r="V112" i="3" s="1"/>
  <c r="V113" i="3" s="1"/>
  <c r="V114" i="3" s="1"/>
  <c r="V115" i="3" s="1"/>
  <c r="V116" i="3" s="1"/>
  <c r="V117" i="3" s="1"/>
  <c r="V118" i="3" s="1"/>
  <c r="V119" i="3" s="1"/>
  <c r="V120" i="3" s="1"/>
  <c r="V121" i="3" s="1"/>
  <c r="V122" i="3" s="1"/>
  <c r="V123" i="3" s="1"/>
  <c r="V124" i="3" s="1"/>
  <c r="V125" i="3" s="1"/>
  <c r="V126" i="3" s="1"/>
  <c r="V127" i="3" s="1"/>
  <c r="V128" i="3" s="1"/>
  <c r="V129" i="3" s="1"/>
  <c r="V130" i="3" s="1"/>
  <c r="V131" i="3" s="1"/>
  <c r="V132" i="3" s="1"/>
  <c r="V133" i="3" s="1"/>
  <c r="V134" i="3" s="1"/>
  <c r="V135" i="3" s="1"/>
  <c r="V136" i="3" s="1"/>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W165" i="3"/>
  <c r="W166" i="3"/>
  <c r="W167" i="3"/>
  <c r="W168" i="3"/>
  <c r="W169" i="3"/>
  <c r="W170" i="3"/>
  <c r="W171" i="3"/>
  <c r="W172" i="3"/>
  <c r="W173" i="3"/>
  <c r="W174" i="3"/>
  <c r="W175" i="3"/>
  <c r="W176" i="3"/>
  <c r="W177" i="3"/>
  <c r="W178" i="3"/>
  <c r="W179" i="3"/>
  <c r="W180" i="3"/>
  <c r="W181" i="3"/>
  <c r="W182" i="3"/>
  <c r="W183" i="3"/>
  <c r="W184" i="3"/>
  <c r="W185" i="3"/>
  <c r="W186" i="3"/>
  <c r="W187" i="3"/>
  <c r="W188" i="3"/>
  <c r="W189" i="3"/>
  <c r="W190" i="3"/>
  <c r="W191" i="3"/>
  <c r="W192" i="3"/>
  <c r="W193" i="3"/>
  <c r="W194" i="3"/>
  <c r="W195" i="3"/>
  <c r="W196" i="3"/>
  <c r="W197" i="3"/>
  <c r="W198" i="3"/>
  <c r="W199" i="3"/>
  <c r="W200" i="3"/>
  <c r="W201" i="3"/>
  <c r="W202" i="3"/>
  <c r="W203" i="3"/>
  <c r="W204" i="3"/>
  <c r="W205" i="3"/>
  <c r="W206" i="3"/>
  <c r="W207" i="3"/>
  <c r="W208" i="3"/>
  <c r="W209" i="3"/>
  <c r="W210" i="3"/>
  <c r="W211" i="3"/>
  <c r="W212" i="3"/>
  <c r="W213" i="3"/>
  <c r="W214" i="3"/>
  <c r="W215" i="3"/>
  <c r="W216" i="3"/>
  <c r="W217" i="3"/>
  <c r="W218" i="3"/>
  <c r="W219" i="3"/>
  <c r="W220" i="3"/>
  <c r="W221" i="3"/>
  <c r="W222" i="3"/>
  <c r="W223" i="3"/>
  <c r="W224" i="3"/>
  <c r="W225" i="3"/>
  <c r="W226" i="3"/>
  <c r="W227" i="3"/>
  <c r="W228" i="3"/>
  <c r="W229" i="3"/>
  <c r="W230" i="3"/>
  <c r="W231" i="3"/>
  <c r="W232" i="3"/>
  <c r="W233" i="3"/>
  <c r="W234" i="3"/>
  <c r="W235" i="3"/>
  <c r="W236" i="3"/>
  <c r="W237" i="3"/>
  <c r="W238" i="3"/>
  <c r="W239" i="3"/>
  <c r="W240" i="3"/>
  <c r="W241" i="3"/>
  <c r="W242" i="3"/>
  <c r="W243" i="3"/>
  <c r="W244" i="3"/>
  <c r="W245" i="3"/>
  <c r="W246" i="3"/>
  <c r="W247" i="3"/>
  <c r="W248" i="3"/>
  <c r="W249" i="3"/>
  <c r="W250" i="3"/>
  <c r="W251" i="3"/>
  <c r="W252" i="3"/>
  <c r="W253" i="3"/>
  <c r="W254" i="3"/>
  <c r="W255" i="3"/>
  <c r="W256" i="3"/>
  <c r="W257" i="3"/>
  <c r="W258" i="3"/>
  <c r="W259" i="3"/>
  <c r="W260" i="3"/>
  <c r="W261" i="3"/>
  <c r="W262" i="3"/>
  <c r="W263" i="3"/>
  <c r="W264" i="3"/>
  <c r="W265" i="3"/>
  <c r="W266" i="3"/>
  <c r="W267" i="3"/>
  <c r="W268" i="3"/>
  <c r="W269" i="3"/>
  <c r="W270" i="3"/>
  <c r="W271" i="3"/>
  <c r="W272" i="3"/>
  <c r="W273" i="3"/>
  <c r="W274" i="3"/>
  <c r="W275" i="3"/>
  <c r="W276" i="3"/>
  <c r="W277" i="3"/>
  <c r="W278" i="3"/>
  <c r="W279" i="3"/>
  <c r="W280" i="3"/>
  <c r="W281" i="3"/>
  <c r="W282" i="3"/>
  <c r="W283" i="3"/>
  <c r="W284" i="3"/>
  <c r="W285" i="3"/>
  <c r="W286" i="3"/>
  <c r="W287" i="3"/>
  <c r="W288" i="3"/>
  <c r="W289" i="3"/>
  <c r="W290" i="3"/>
  <c r="W291" i="3"/>
  <c r="W292" i="3"/>
  <c r="W293" i="3"/>
  <c r="W294" i="3"/>
  <c r="W295" i="3"/>
  <c r="W296" i="3"/>
  <c r="W297" i="3"/>
  <c r="W298" i="3"/>
  <c r="W299" i="3"/>
  <c r="W300" i="3"/>
  <c r="W301" i="3"/>
  <c r="W302" i="3"/>
  <c r="W303" i="3"/>
  <c r="W304" i="3"/>
  <c r="W305" i="3"/>
  <c r="W306" i="3"/>
  <c r="W307" i="3"/>
  <c r="W308" i="3"/>
  <c r="W309" i="3"/>
  <c r="W310" i="3"/>
  <c r="W311" i="3"/>
  <c r="W312" i="3"/>
  <c r="W313" i="3"/>
  <c r="W314" i="3"/>
  <c r="W315" i="3"/>
  <c r="W316" i="3"/>
  <c r="W317" i="3"/>
  <c r="W318" i="3"/>
  <c r="W319" i="3"/>
  <c r="W320" i="3"/>
  <c r="W321" i="3"/>
  <c r="W322" i="3"/>
  <c r="W323" i="3"/>
  <c r="W324" i="3"/>
  <c r="W325" i="3"/>
  <c r="W326" i="3"/>
  <c r="W327" i="3"/>
  <c r="W328" i="3"/>
  <c r="W329" i="3"/>
  <c r="W330" i="3"/>
  <c r="W331" i="3"/>
  <c r="W332" i="3"/>
  <c r="W333" i="3"/>
  <c r="W334" i="3"/>
  <c r="W335" i="3"/>
  <c r="W336" i="3"/>
  <c r="W337" i="3"/>
  <c r="W338" i="3"/>
  <c r="W339" i="3"/>
  <c r="W340" i="3"/>
  <c r="W341" i="3"/>
  <c r="W342" i="3"/>
  <c r="W343" i="3"/>
  <c r="W344" i="3"/>
  <c r="W345" i="3"/>
  <c r="W346" i="3"/>
  <c r="W347" i="3"/>
  <c r="W348" i="3"/>
  <c r="W349" i="3"/>
  <c r="W350" i="3"/>
  <c r="W351" i="3"/>
  <c r="W352" i="3"/>
  <c r="W353" i="3"/>
  <c r="W354" i="3"/>
  <c r="W355" i="3"/>
  <c r="W356" i="3"/>
  <c r="W357" i="3"/>
  <c r="W358" i="3"/>
  <c r="W359" i="3"/>
  <c r="W360" i="3"/>
  <c r="W361" i="3"/>
  <c r="W362" i="3"/>
  <c r="W363" i="3"/>
  <c r="W364" i="3"/>
  <c r="W365" i="3"/>
  <c r="W366" i="3"/>
  <c r="W367" i="3"/>
  <c r="W368" i="3"/>
  <c r="W369" i="3"/>
  <c r="W370" i="3"/>
  <c r="W371"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W81" i="3"/>
  <c r="W82" i="3"/>
  <c r="W83" i="3"/>
  <c r="W84" i="3"/>
  <c r="W85" i="3"/>
  <c r="W86" i="3"/>
  <c r="W87" i="3"/>
  <c r="W88" i="3"/>
  <c r="W89" i="3"/>
  <c r="W90" i="3"/>
  <c r="W91" i="3"/>
  <c r="W92" i="3"/>
  <c r="W93" i="3"/>
  <c r="W94" i="3"/>
  <c r="W95" i="3"/>
  <c r="W96" i="3"/>
  <c r="W97" i="3"/>
  <c r="W98" i="3"/>
  <c r="W99" i="3"/>
  <c r="W100" i="3"/>
  <c r="W101" i="3"/>
  <c r="W102" i="3"/>
  <c r="W103" i="3"/>
  <c r="W104" i="3"/>
  <c r="W105" i="3"/>
  <c r="W106" i="3"/>
  <c r="W107" i="3"/>
  <c r="W108" i="3"/>
  <c r="W109" i="3"/>
  <c r="W110" i="3"/>
  <c r="W111" i="3"/>
  <c r="W112" i="3"/>
  <c r="W113" i="3"/>
  <c r="W114" i="3"/>
  <c r="W115" i="3"/>
  <c r="W116" i="3"/>
  <c r="W117" i="3"/>
  <c r="W118" i="3"/>
  <c r="W119" i="3"/>
  <c r="W120" i="3"/>
  <c r="W121" i="3"/>
  <c r="W122" i="3"/>
  <c r="W123" i="3"/>
  <c r="W124" i="3"/>
  <c r="W125" i="3"/>
  <c r="W126" i="3"/>
  <c r="W127" i="3"/>
  <c r="W128" i="3"/>
  <c r="W129" i="3"/>
  <c r="W130" i="3"/>
  <c r="W131" i="3"/>
  <c r="W132" i="3"/>
  <c r="W133" i="3"/>
  <c r="W134" i="3"/>
  <c r="W135" i="3"/>
  <c r="W136" i="3"/>
  <c r="W137" i="3"/>
  <c r="W138" i="3"/>
  <c r="W139" i="3"/>
  <c r="W140" i="3"/>
  <c r="W141" i="3"/>
  <c r="W142" i="3"/>
  <c r="W143" i="3"/>
  <c r="W144" i="3"/>
  <c r="W145" i="3"/>
  <c r="W146" i="3"/>
  <c r="W147" i="3"/>
  <c r="W148" i="3"/>
  <c r="W149" i="3"/>
  <c r="W150" i="3"/>
  <c r="W151" i="3"/>
  <c r="W152" i="3"/>
  <c r="W153" i="3"/>
  <c r="W154" i="3"/>
  <c r="W155" i="3"/>
  <c r="W156" i="3"/>
  <c r="W157" i="3"/>
  <c r="W158" i="3"/>
  <c r="W159" i="3"/>
  <c r="W160" i="3"/>
  <c r="W161" i="3"/>
  <c r="W162" i="3"/>
  <c r="W163" i="3"/>
  <c r="O80" i="2" l="1"/>
  <c r="O81" i="2"/>
  <c r="O82" i="2"/>
  <c r="O83" i="2"/>
  <c r="O84" i="2"/>
  <c r="O85" i="2"/>
  <c r="O86" i="2"/>
  <c r="O87" i="2"/>
  <c r="O88" i="2"/>
  <c r="O89" i="2"/>
  <c r="O90" i="2"/>
  <c r="O91" i="2"/>
  <c r="O92" i="2"/>
  <c r="O93" i="2"/>
  <c r="O94" i="2"/>
  <c r="O95" i="2"/>
  <c r="O96" i="2"/>
  <c r="O97" i="2"/>
  <c r="O98" i="2"/>
  <c r="G99" i="2"/>
  <c r="N99" i="2"/>
  <c r="O99" i="2"/>
  <c r="G100" i="2"/>
  <c r="N100" i="2"/>
  <c r="O100" i="2"/>
  <c r="G101" i="2"/>
  <c r="N101" i="2"/>
  <c r="O101" i="2"/>
  <c r="G102" i="2"/>
  <c r="N102" i="2"/>
  <c r="O102" i="2"/>
  <c r="G103" i="2"/>
  <c r="N103" i="2"/>
  <c r="O103" i="2"/>
  <c r="G104" i="2"/>
  <c r="N104" i="2"/>
  <c r="O104" i="2"/>
  <c r="G105" i="2"/>
  <c r="N105" i="2"/>
  <c r="O105" i="2"/>
  <c r="G106" i="2"/>
  <c r="N106" i="2"/>
  <c r="O106" i="2"/>
  <c r="G107" i="2"/>
  <c r="N107" i="2"/>
  <c r="O107" i="2"/>
  <c r="G108" i="2"/>
  <c r="N108" i="2"/>
  <c r="O108" i="2"/>
  <c r="G109" i="2"/>
  <c r="N109" i="2"/>
  <c r="O109" i="2"/>
  <c r="G110" i="2"/>
  <c r="N110" i="2"/>
  <c r="O110" i="2"/>
  <c r="G111" i="2"/>
  <c r="N111" i="2"/>
  <c r="O111" i="2"/>
  <c r="G112" i="2"/>
  <c r="N112" i="2"/>
  <c r="O112" i="2"/>
  <c r="G113" i="2"/>
  <c r="N113" i="2"/>
  <c r="O113" i="2"/>
  <c r="G114" i="2"/>
  <c r="N114" i="2"/>
  <c r="O114" i="2"/>
  <c r="G115" i="2"/>
  <c r="N115" i="2"/>
  <c r="O115" i="2"/>
  <c r="G116" i="2"/>
  <c r="N116" i="2"/>
  <c r="O116" i="2"/>
  <c r="G117" i="2"/>
  <c r="N117" i="2"/>
  <c r="O117" i="2"/>
  <c r="G118" i="2"/>
  <c r="N118" i="2"/>
  <c r="O118" i="2"/>
  <c r="G119" i="2"/>
  <c r="N119" i="2"/>
  <c r="O119" i="2"/>
  <c r="G120" i="2"/>
  <c r="N120" i="2"/>
  <c r="O120" i="2"/>
  <c r="G121" i="2"/>
  <c r="N121" i="2"/>
  <c r="O121" i="2"/>
  <c r="G122" i="2"/>
  <c r="N122" i="2"/>
  <c r="O122" i="2"/>
  <c r="G123" i="2"/>
  <c r="N123" i="2"/>
  <c r="O123" i="2"/>
  <c r="G124" i="2"/>
  <c r="N124" i="2"/>
  <c r="O124" i="2"/>
  <c r="G125" i="2"/>
  <c r="N125" i="2"/>
  <c r="O125" i="2"/>
  <c r="G126" i="2"/>
  <c r="N126" i="2"/>
  <c r="O126" i="2"/>
  <c r="G127" i="2"/>
  <c r="G128" i="2" s="1"/>
  <c r="N127" i="2"/>
  <c r="N128" i="2" s="1"/>
  <c r="O127" i="2"/>
  <c r="O128" i="2"/>
  <c r="G129" i="2"/>
  <c r="N129" i="2"/>
  <c r="O129" i="2"/>
  <c r="G130" i="2"/>
  <c r="N130" i="2"/>
  <c r="O130" i="2"/>
  <c r="G131" i="2"/>
  <c r="N131" i="2"/>
  <c r="O131" i="2"/>
  <c r="G132" i="2"/>
  <c r="N132" i="2"/>
  <c r="O132" i="2"/>
  <c r="G133" i="2"/>
  <c r="N133" i="2"/>
  <c r="O133" i="2"/>
  <c r="G134" i="2"/>
  <c r="N134" i="2"/>
  <c r="O134" i="2"/>
  <c r="G135" i="2"/>
  <c r="N135" i="2"/>
  <c r="O135" i="2"/>
  <c r="G136" i="2"/>
  <c r="N136" i="2"/>
  <c r="O136" i="2"/>
  <c r="G137" i="2"/>
  <c r="N137" i="2"/>
  <c r="O137" i="2"/>
  <c r="G138" i="2"/>
  <c r="N138" i="2"/>
  <c r="O138" i="2"/>
  <c r="G139" i="2"/>
  <c r="N139" i="2"/>
  <c r="O139" i="2"/>
  <c r="G140" i="2"/>
  <c r="N140" i="2"/>
  <c r="O140" i="2"/>
  <c r="G141" i="2"/>
  <c r="N141" i="2"/>
  <c r="O141" i="2"/>
  <c r="G142" i="2"/>
  <c r="N142" i="2"/>
  <c r="O142" i="2"/>
  <c r="G143" i="2"/>
  <c r="N143" i="2"/>
  <c r="O143" i="2"/>
  <c r="G144" i="2"/>
  <c r="N144" i="2"/>
  <c r="O144" i="2"/>
  <c r="G145" i="2"/>
  <c r="N145" i="2"/>
  <c r="O145" i="2"/>
  <c r="G146" i="2"/>
  <c r="N146" i="2"/>
  <c r="O146" i="2"/>
  <c r="G147" i="2"/>
  <c r="N147" i="2"/>
  <c r="O147" i="2"/>
  <c r="G148" i="2"/>
  <c r="N148" i="2"/>
  <c r="O148" i="2"/>
  <c r="G149" i="2"/>
  <c r="N149" i="2"/>
  <c r="O149" i="2"/>
  <c r="G150" i="2"/>
  <c r="N150" i="2"/>
  <c r="O150" i="2"/>
  <c r="G151" i="2"/>
  <c r="N151" i="2"/>
  <c r="O151" i="2"/>
  <c r="G152" i="2"/>
  <c r="N152" i="2"/>
  <c r="O152" i="2"/>
  <c r="G153" i="2"/>
  <c r="N153" i="2"/>
  <c r="O153" i="2"/>
  <c r="G154" i="2"/>
  <c r="N154" i="2"/>
  <c r="O154" i="2"/>
  <c r="G155" i="2"/>
  <c r="N155" i="2"/>
  <c r="O155" i="2"/>
  <c r="G156" i="2"/>
  <c r="N156" i="2"/>
  <c r="O156" i="2"/>
  <c r="G157" i="2"/>
  <c r="N157" i="2"/>
  <c r="O157" i="2"/>
  <c r="G158" i="2"/>
  <c r="N158" i="2"/>
  <c r="O158" i="2"/>
  <c r="G159" i="2"/>
  <c r="N159" i="2"/>
  <c r="O159" i="2"/>
  <c r="G160" i="2"/>
  <c r="N160" i="2"/>
  <c r="O160" i="2"/>
  <c r="G161" i="2"/>
  <c r="N161" i="2"/>
  <c r="O161" i="2"/>
  <c r="G162" i="2"/>
  <c r="N162" i="2"/>
  <c r="O162" i="2"/>
  <c r="G163" i="2"/>
  <c r="N163" i="2"/>
  <c r="O163" i="2"/>
  <c r="G164" i="2"/>
  <c r="N164" i="2"/>
  <c r="O164" i="2"/>
  <c r="G165" i="2"/>
  <c r="N165" i="2"/>
  <c r="O165" i="2"/>
  <c r="G166" i="2"/>
  <c r="N166" i="2"/>
  <c r="O166" i="2"/>
  <c r="G167" i="2"/>
  <c r="N167" i="2"/>
  <c r="O167" i="2"/>
  <c r="G168" i="2"/>
  <c r="N168" i="2"/>
  <c r="O168" i="2"/>
  <c r="G169" i="2"/>
  <c r="N169" i="2"/>
  <c r="O169" i="2"/>
  <c r="G170" i="2"/>
  <c r="N170" i="2"/>
  <c r="O170" i="2"/>
  <c r="G171" i="2"/>
  <c r="N171" i="2"/>
  <c r="O171" i="2"/>
  <c r="G172" i="2"/>
  <c r="N172" i="2"/>
  <c r="O172" i="2"/>
  <c r="G173" i="2"/>
  <c r="N173" i="2"/>
  <c r="O173" i="2"/>
  <c r="G174" i="2"/>
  <c r="N174" i="2"/>
  <c r="O174" i="2"/>
  <c r="G175" i="2"/>
  <c r="N175" i="2"/>
  <c r="O175" i="2"/>
  <c r="G176" i="2"/>
  <c r="N176" i="2"/>
  <c r="O176" i="2"/>
  <c r="G177" i="2"/>
  <c r="N177" i="2"/>
  <c r="O177" i="2"/>
  <c r="G178" i="2"/>
  <c r="N178" i="2"/>
  <c r="O178" i="2"/>
  <c r="G179" i="2"/>
  <c r="N179" i="2"/>
  <c r="O179" i="2"/>
  <c r="G180" i="2"/>
  <c r="N180" i="2"/>
  <c r="O180" i="2"/>
  <c r="G181" i="2"/>
  <c r="N181" i="2"/>
  <c r="O181" i="2"/>
  <c r="G182" i="2"/>
  <c r="N182" i="2"/>
  <c r="O182" i="2"/>
  <c r="G183" i="2"/>
  <c r="N183" i="2"/>
  <c r="O183" i="2"/>
  <c r="G184" i="2"/>
  <c r="N184" i="2"/>
  <c r="O184" i="2"/>
  <c r="G185" i="2"/>
  <c r="N185" i="2"/>
  <c r="O185" i="2"/>
  <c r="G186" i="2"/>
  <c r="N186" i="2"/>
  <c r="O186" i="2"/>
  <c r="G187" i="2"/>
  <c r="N187" i="2"/>
  <c r="O187" i="2"/>
  <c r="G188" i="2"/>
  <c r="N188" i="2"/>
  <c r="O188" i="2"/>
  <c r="G189" i="2"/>
  <c r="N189" i="2"/>
  <c r="O189" i="2"/>
  <c r="G190" i="2"/>
  <c r="N190" i="2"/>
  <c r="O190" i="2"/>
  <c r="G191" i="2"/>
  <c r="N191" i="2"/>
  <c r="O191" i="2"/>
  <c r="G192" i="2"/>
  <c r="N192" i="2"/>
  <c r="O192" i="2"/>
  <c r="G193" i="2"/>
  <c r="N193" i="2"/>
  <c r="O193" i="2"/>
  <c r="G194" i="2"/>
  <c r="N194" i="2"/>
  <c r="O194" i="2"/>
  <c r="G195" i="2"/>
  <c r="N195" i="2"/>
  <c r="O195" i="2"/>
  <c r="G196" i="2"/>
  <c r="N196" i="2"/>
  <c r="O196" i="2"/>
  <c r="G197" i="2"/>
  <c r="N197" i="2"/>
  <c r="O197" i="2"/>
  <c r="G198" i="2"/>
  <c r="N198" i="2"/>
  <c r="O198" i="2"/>
  <c r="G199" i="2"/>
  <c r="N199" i="2"/>
  <c r="O199" i="2"/>
  <c r="G200" i="2"/>
  <c r="N200" i="2"/>
  <c r="O200" i="2"/>
  <c r="G201" i="2"/>
  <c r="N201" i="2"/>
  <c r="O201" i="2"/>
  <c r="G202" i="2"/>
  <c r="N202" i="2"/>
  <c r="O202" i="2"/>
  <c r="G203" i="2"/>
  <c r="N203" i="2"/>
  <c r="O203" i="2"/>
  <c r="G204" i="2"/>
  <c r="N204" i="2"/>
  <c r="O204" i="2"/>
  <c r="G205" i="2"/>
  <c r="N205" i="2"/>
  <c r="O205" i="2"/>
  <c r="G206" i="2"/>
  <c r="N206" i="2"/>
  <c r="O206" i="2"/>
  <c r="G207" i="2"/>
  <c r="N207" i="2"/>
  <c r="O207" i="2"/>
  <c r="G208" i="2"/>
  <c r="N208" i="2"/>
  <c r="O208" i="2"/>
  <c r="G209" i="2"/>
  <c r="N209" i="2"/>
  <c r="O209" i="2"/>
  <c r="G210" i="2"/>
  <c r="N210" i="2"/>
  <c r="O210" i="2"/>
  <c r="G211" i="2"/>
  <c r="N211" i="2"/>
  <c r="O211" i="2"/>
  <c r="G212" i="2"/>
  <c r="N212" i="2"/>
  <c r="O212" i="2"/>
  <c r="G213" i="2"/>
  <c r="N213" i="2"/>
  <c r="O213" i="2"/>
  <c r="G214" i="2"/>
  <c r="N214" i="2"/>
  <c r="O214" i="2"/>
  <c r="G215" i="2"/>
  <c r="N215" i="2"/>
  <c r="O215" i="2"/>
  <c r="G216" i="2"/>
  <c r="N216" i="2"/>
  <c r="O216" i="2"/>
  <c r="G217" i="2"/>
  <c r="N217" i="2"/>
  <c r="O217" i="2"/>
  <c r="G218" i="2"/>
  <c r="N218" i="2"/>
  <c r="O218" i="2"/>
  <c r="G219" i="2"/>
  <c r="N219" i="2"/>
  <c r="O219" i="2"/>
  <c r="G220" i="2"/>
  <c r="N220" i="2"/>
  <c r="O220" i="2"/>
  <c r="G221" i="2"/>
  <c r="N221" i="2"/>
  <c r="O221" i="2"/>
  <c r="G222" i="2"/>
  <c r="N222" i="2"/>
  <c r="O222" i="2"/>
  <c r="G223" i="2"/>
  <c r="N223" i="2"/>
  <c r="O223" i="2"/>
  <c r="G224" i="2"/>
  <c r="N224" i="2"/>
  <c r="O224" i="2"/>
  <c r="G225" i="2"/>
  <c r="N225" i="2"/>
  <c r="O225" i="2"/>
  <c r="G226" i="2"/>
  <c r="N226" i="2"/>
  <c r="O226" i="2"/>
  <c r="G227" i="2"/>
  <c r="N227" i="2"/>
  <c r="O227" i="2"/>
  <c r="G228" i="2"/>
  <c r="N228" i="2"/>
  <c r="O228" i="2"/>
  <c r="G229" i="2"/>
  <c r="N229" i="2"/>
  <c r="O229" i="2"/>
  <c r="G230" i="2"/>
  <c r="N230" i="2"/>
  <c r="O230" i="2"/>
  <c r="G231" i="2"/>
  <c r="N231" i="2"/>
  <c r="O231" i="2"/>
  <c r="G232" i="2"/>
  <c r="N232" i="2"/>
  <c r="O232" i="2"/>
  <c r="G233" i="2"/>
  <c r="N233" i="2"/>
  <c r="O233" i="2"/>
  <c r="G234" i="2"/>
  <c r="N234" i="2"/>
  <c r="O234" i="2"/>
  <c r="G235" i="2"/>
  <c r="N235" i="2"/>
  <c r="O235" i="2"/>
  <c r="G236" i="2"/>
  <c r="N236" i="2"/>
  <c r="O236" i="2"/>
  <c r="G237" i="2"/>
  <c r="N237" i="2"/>
  <c r="O237" i="2"/>
  <c r="G238" i="2"/>
  <c r="N238" i="2"/>
  <c r="O238" i="2"/>
  <c r="G239" i="2"/>
  <c r="N239" i="2"/>
  <c r="O239" i="2"/>
  <c r="G240" i="2"/>
  <c r="N240" i="2"/>
  <c r="O240" i="2"/>
  <c r="G241" i="2"/>
  <c r="N241" i="2"/>
  <c r="O241" i="2"/>
  <c r="G242" i="2"/>
  <c r="N242" i="2"/>
  <c r="O242" i="2"/>
  <c r="G243" i="2"/>
  <c r="N243" i="2"/>
  <c r="O243" i="2"/>
  <c r="G244" i="2"/>
  <c r="N244" i="2"/>
  <c r="O244" i="2"/>
  <c r="G245" i="2"/>
  <c r="N245" i="2"/>
  <c r="O245" i="2"/>
  <c r="G246" i="2"/>
  <c r="N246" i="2"/>
  <c r="O246" i="2"/>
  <c r="G247" i="2"/>
  <c r="N247" i="2"/>
  <c r="O247" i="2"/>
  <c r="G248" i="2"/>
  <c r="N248" i="2"/>
  <c r="O248" i="2"/>
  <c r="G249" i="2"/>
  <c r="N249" i="2"/>
  <c r="O249" i="2"/>
  <c r="G250" i="2"/>
  <c r="N250" i="2"/>
  <c r="O250" i="2"/>
  <c r="G251" i="2"/>
  <c r="N251" i="2"/>
  <c r="O251" i="2"/>
  <c r="G252" i="2"/>
  <c r="N252" i="2"/>
  <c r="O252" i="2"/>
  <c r="G253" i="2"/>
  <c r="N253" i="2"/>
  <c r="O253" i="2"/>
  <c r="G254" i="2"/>
  <c r="N254" i="2"/>
  <c r="O254" i="2"/>
  <c r="G255" i="2"/>
  <c r="N255" i="2"/>
  <c r="O255" i="2"/>
  <c r="G256" i="2"/>
  <c r="N256" i="2"/>
  <c r="O256" i="2"/>
  <c r="G257" i="2"/>
  <c r="N257" i="2"/>
  <c r="O257" i="2"/>
  <c r="G258" i="2"/>
  <c r="N258" i="2"/>
  <c r="O258" i="2"/>
  <c r="G259" i="2"/>
  <c r="N259" i="2"/>
  <c r="O259" i="2"/>
  <c r="G260" i="2"/>
  <c r="N260" i="2"/>
  <c r="O260" i="2"/>
  <c r="G261" i="2"/>
  <c r="N261" i="2"/>
  <c r="O261" i="2"/>
  <c r="G262" i="2"/>
  <c r="N262" i="2"/>
  <c r="O262" i="2"/>
  <c r="G263" i="2"/>
  <c r="N263" i="2"/>
  <c r="O263" i="2"/>
  <c r="G264" i="2"/>
  <c r="N264" i="2"/>
  <c r="O264" i="2"/>
  <c r="G265" i="2"/>
  <c r="N265" i="2"/>
  <c r="O265" i="2"/>
  <c r="G266" i="2"/>
  <c r="N266" i="2"/>
  <c r="O266" i="2"/>
  <c r="G267" i="2"/>
  <c r="N267" i="2"/>
  <c r="O267" i="2"/>
  <c r="G268" i="2"/>
  <c r="N268" i="2"/>
  <c r="O268" i="2"/>
  <c r="G269" i="2"/>
  <c r="N269" i="2"/>
  <c r="O269" i="2"/>
  <c r="G270" i="2"/>
  <c r="N270" i="2"/>
  <c r="O270" i="2"/>
  <c r="G271" i="2"/>
  <c r="N271" i="2"/>
  <c r="O271" i="2"/>
  <c r="G272" i="2"/>
  <c r="N272" i="2"/>
  <c r="O272" i="2"/>
  <c r="G273" i="2"/>
  <c r="N273" i="2"/>
  <c r="O273" i="2"/>
  <c r="G274" i="2"/>
  <c r="N274" i="2"/>
  <c r="O274" i="2"/>
  <c r="G275" i="2"/>
  <c r="N275" i="2"/>
  <c r="O275" i="2"/>
  <c r="G276" i="2"/>
  <c r="N276" i="2"/>
  <c r="O276" i="2"/>
  <c r="G277" i="2"/>
  <c r="N277" i="2"/>
  <c r="O277" i="2"/>
  <c r="G278" i="2"/>
  <c r="N278" i="2"/>
  <c r="O278" i="2"/>
  <c r="G279" i="2"/>
  <c r="N279" i="2"/>
  <c r="O279" i="2"/>
  <c r="G280" i="2"/>
  <c r="N280" i="2"/>
  <c r="O280" i="2"/>
  <c r="G281" i="2"/>
  <c r="N281" i="2"/>
  <c r="O281" i="2"/>
  <c r="G282" i="2"/>
  <c r="N282" i="2"/>
  <c r="O282" i="2"/>
  <c r="G283" i="2"/>
  <c r="N283" i="2"/>
  <c r="O283" i="2"/>
  <c r="G284" i="2"/>
  <c r="N284" i="2"/>
  <c r="O284" i="2"/>
  <c r="G285" i="2"/>
  <c r="N285" i="2"/>
  <c r="O285" i="2"/>
  <c r="G286" i="2"/>
  <c r="N286" i="2"/>
  <c r="O286" i="2"/>
  <c r="G287" i="2"/>
  <c r="N287" i="2"/>
  <c r="O287" i="2"/>
  <c r="G288" i="2"/>
  <c r="N288" i="2"/>
  <c r="O288" i="2"/>
  <c r="G289" i="2"/>
  <c r="N289" i="2"/>
  <c r="O289" i="2"/>
  <c r="G290" i="2"/>
  <c r="N290" i="2"/>
  <c r="O290" i="2"/>
  <c r="G291" i="2"/>
  <c r="N291" i="2"/>
  <c r="O291" i="2"/>
  <c r="G292" i="2"/>
  <c r="N292" i="2"/>
  <c r="O292" i="2"/>
  <c r="G293" i="2"/>
  <c r="G294" i="2" s="1"/>
  <c r="G295" i="2" s="1"/>
  <c r="N293" i="2"/>
  <c r="N294" i="2" s="1"/>
  <c r="N295" i="2" s="1"/>
  <c r="O293" i="2"/>
  <c r="O294" i="2"/>
  <c r="O295" i="2"/>
  <c r="G296" i="2"/>
  <c r="N296" i="2"/>
  <c r="O296" i="2"/>
  <c r="G297" i="2"/>
  <c r="N297" i="2"/>
  <c r="O297" i="2"/>
  <c r="G298" i="2"/>
  <c r="N298" i="2"/>
  <c r="O298" i="2"/>
  <c r="G299" i="2"/>
  <c r="N299" i="2"/>
  <c r="O299" i="2"/>
  <c r="G300" i="2"/>
  <c r="N300" i="2"/>
  <c r="O300" i="2"/>
  <c r="G301" i="2"/>
  <c r="N301" i="2"/>
  <c r="O301" i="2"/>
  <c r="G302" i="2"/>
  <c r="N302" i="2"/>
  <c r="O302" i="2"/>
  <c r="G303" i="2"/>
  <c r="N303" i="2"/>
  <c r="O303" i="2"/>
  <c r="G304" i="2"/>
  <c r="N304" i="2"/>
  <c r="O304" i="2"/>
  <c r="G305" i="2"/>
  <c r="N305" i="2"/>
  <c r="O305" i="2"/>
  <c r="G306" i="2"/>
  <c r="N306" i="2"/>
  <c r="O306" i="2"/>
  <c r="G307" i="2"/>
  <c r="N307" i="2"/>
  <c r="O307" i="2"/>
  <c r="G308" i="2"/>
  <c r="N308" i="2"/>
  <c r="O308" i="2"/>
  <c r="G309" i="2"/>
  <c r="N309" i="2"/>
  <c r="O309" i="2"/>
  <c r="G310" i="2"/>
  <c r="N310" i="2"/>
  <c r="O310" i="2"/>
  <c r="G311" i="2"/>
  <c r="N311" i="2"/>
  <c r="O311" i="2"/>
  <c r="G312" i="2"/>
  <c r="N312" i="2"/>
  <c r="O312" i="2"/>
  <c r="G313" i="2"/>
  <c r="N313" i="2"/>
  <c r="O313" i="2"/>
  <c r="G314" i="2"/>
  <c r="N314" i="2"/>
  <c r="O314" i="2"/>
  <c r="G315" i="2"/>
  <c r="N315" i="2"/>
  <c r="O315" i="2"/>
  <c r="G316" i="2"/>
  <c r="N316" i="2"/>
  <c r="O316" i="2"/>
  <c r="G317" i="2"/>
  <c r="N317" i="2"/>
  <c r="O317" i="2"/>
  <c r="G318" i="2"/>
  <c r="N318" i="2"/>
  <c r="O318" i="2"/>
  <c r="G319" i="2"/>
  <c r="N319" i="2"/>
  <c r="O319" i="2"/>
  <c r="G320" i="2"/>
  <c r="N320" i="2"/>
  <c r="O320" i="2"/>
  <c r="G321" i="2"/>
  <c r="N321" i="2"/>
  <c r="O321" i="2"/>
  <c r="G322" i="2"/>
  <c r="N322" i="2"/>
  <c r="O322" i="2"/>
  <c r="G323" i="2"/>
  <c r="N323" i="2"/>
  <c r="O323" i="2"/>
  <c r="G324" i="2"/>
  <c r="N324" i="2"/>
  <c r="O324" i="2"/>
  <c r="G325" i="2"/>
  <c r="N325" i="2"/>
  <c r="O325" i="2"/>
  <c r="G326" i="2"/>
  <c r="N326" i="2"/>
  <c r="O326" i="2"/>
  <c r="G327" i="2"/>
  <c r="N327" i="2"/>
  <c r="O327" i="2"/>
  <c r="G328" i="2"/>
  <c r="N328" i="2"/>
  <c r="O328" i="2"/>
  <c r="G329" i="2"/>
  <c r="N329" i="2"/>
  <c r="O329" i="2"/>
  <c r="G330" i="2"/>
  <c r="N330" i="2"/>
  <c r="O330" i="2"/>
  <c r="G331" i="2"/>
  <c r="N331" i="2"/>
  <c r="O331" i="2"/>
  <c r="G332" i="2"/>
  <c r="N332" i="2"/>
  <c r="O332" i="2"/>
  <c r="G333" i="2"/>
  <c r="N333" i="2"/>
  <c r="O333" i="2"/>
  <c r="G334" i="2"/>
  <c r="N334" i="2"/>
  <c r="O334" i="2"/>
  <c r="G335" i="2"/>
  <c r="N335" i="2"/>
  <c r="O335" i="2"/>
  <c r="G336" i="2"/>
  <c r="N336" i="2"/>
  <c r="O336" i="2"/>
  <c r="G337" i="2"/>
  <c r="N337" i="2"/>
  <c r="O337" i="2"/>
  <c r="G338" i="2"/>
  <c r="N338" i="2"/>
  <c r="O338" i="2"/>
  <c r="G339" i="2"/>
  <c r="N339" i="2"/>
  <c r="O339" i="2"/>
  <c r="G340" i="2"/>
  <c r="N340" i="2"/>
  <c r="O340" i="2"/>
  <c r="G341" i="2"/>
  <c r="N341" i="2"/>
  <c r="O341" i="2"/>
  <c r="G342" i="2"/>
  <c r="N342" i="2"/>
  <c r="O342" i="2"/>
  <c r="G343" i="2"/>
  <c r="N343" i="2"/>
  <c r="O343" i="2"/>
  <c r="G344" i="2"/>
  <c r="N344" i="2"/>
  <c r="O344" i="2"/>
  <c r="G345" i="2"/>
  <c r="N345" i="2"/>
  <c r="O345" i="2"/>
  <c r="G346" i="2"/>
  <c r="N346" i="2"/>
  <c r="O346" i="2"/>
  <c r="G347" i="2"/>
  <c r="N347" i="2"/>
  <c r="O347" i="2"/>
  <c r="G348" i="2"/>
  <c r="N348" i="2"/>
  <c r="O348" i="2"/>
  <c r="G349" i="2"/>
  <c r="N349" i="2"/>
  <c r="O349" i="2"/>
  <c r="G350" i="2"/>
  <c r="N350" i="2"/>
  <c r="O350" i="2"/>
  <c r="G351" i="2"/>
  <c r="N351" i="2"/>
  <c r="O351" i="2"/>
  <c r="G352" i="2"/>
  <c r="N352" i="2"/>
  <c r="O352" i="2"/>
  <c r="G353" i="2"/>
  <c r="N353" i="2"/>
  <c r="O353" i="2"/>
  <c r="G354" i="2"/>
  <c r="N354" i="2"/>
  <c r="O354" i="2"/>
  <c r="G355" i="2"/>
  <c r="N355" i="2"/>
  <c r="O355" i="2"/>
  <c r="G356" i="2"/>
  <c r="N356" i="2"/>
  <c r="O356" i="2"/>
  <c r="G357" i="2"/>
  <c r="N357" i="2"/>
  <c r="O357" i="2"/>
  <c r="G358" i="2"/>
  <c r="N358" i="2"/>
  <c r="O358" i="2"/>
  <c r="G359" i="2"/>
  <c r="N359" i="2"/>
  <c r="O359" i="2"/>
  <c r="G360" i="2"/>
  <c r="N360" i="2"/>
  <c r="O360" i="2"/>
  <c r="G361" i="2"/>
  <c r="N361" i="2"/>
  <c r="O361" i="2"/>
  <c r="G362" i="2"/>
  <c r="N362" i="2"/>
  <c r="O362" i="2"/>
  <c r="G363" i="2"/>
  <c r="N363" i="2"/>
  <c r="O363" i="2"/>
  <c r="G364" i="2"/>
  <c r="N364" i="2"/>
  <c r="O364" i="2"/>
  <c r="G365" i="2"/>
  <c r="N365" i="2"/>
  <c r="O365" i="2"/>
  <c r="G366" i="2"/>
  <c r="N366" i="2"/>
  <c r="O366" i="2"/>
  <c r="G367" i="2"/>
  <c r="N367" i="2"/>
  <c r="O367" i="2"/>
  <c r="G368" i="2"/>
  <c r="N368" i="2"/>
  <c r="O368" i="2"/>
  <c r="G369" i="2"/>
  <c r="N369" i="2"/>
  <c r="O369" i="2"/>
  <c r="G370" i="2"/>
  <c r="N370" i="2"/>
  <c r="O370" i="2"/>
  <c r="G371" i="2"/>
  <c r="N371" i="2"/>
  <c r="O371" i="2"/>
  <c r="G372" i="2"/>
  <c r="N372" i="2"/>
  <c r="O372" i="2"/>
  <c r="G373" i="2"/>
  <c r="N373" i="2"/>
  <c r="O373" i="2"/>
  <c r="G374" i="2"/>
  <c r="N374" i="2"/>
  <c r="O374" i="2"/>
  <c r="G375" i="2"/>
  <c r="N375" i="2"/>
  <c r="O375" i="2"/>
  <c r="G376" i="2"/>
  <c r="N376" i="2"/>
  <c r="O376" i="2"/>
  <c r="G377" i="2"/>
  <c r="N377" i="2"/>
  <c r="O377" i="2"/>
  <c r="G378" i="2"/>
  <c r="N378" i="2"/>
  <c r="O378" i="2"/>
  <c r="G379" i="2"/>
  <c r="N379" i="2"/>
  <c r="O379" i="2"/>
  <c r="G380" i="2"/>
  <c r="N380" i="2"/>
  <c r="O380" i="2"/>
  <c r="G381" i="2"/>
  <c r="N381" i="2"/>
  <c r="O381" i="2"/>
  <c r="G382" i="2"/>
  <c r="N382" i="2"/>
  <c r="O382" i="2"/>
  <c r="G383" i="2"/>
  <c r="N383" i="2"/>
  <c r="O383" i="2"/>
  <c r="G384" i="2"/>
  <c r="N384" i="2"/>
  <c r="O384" i="2"/>
  <c r="G385" i="2"/>
  <c r="N385" i="2"/>
  <c r="O385" i="2"/>
  <c r="G386" i="2"/>
  <c r="N386" i="2"/>
  <c r="O386" i="2"/>
  <c r="G387" i="2"/>
  <c r="N387" i="2"/>
  <c r="O387" i="2"/>
  <c r="G388" i="2"/>
  <c r="N388" i="2"/>
  <c r="O388" i="2"/>
  <c r="G389" i="2"/>
  <c r="N389" i="2"/>
  <c r="O389" i="2"/>
  <c r="G390" i="2"/>
  <c r="N390" i="2"/>
  <c r="O390" i="2"/>
  <c r="G391" i="2"/>
  <c r="N391" i="2"/>
  <c r="O391" i="2"/>
  <c r="G392" i="2"/>
  <c r="N392" i="2"/>
  <c r="O392" i="2"/>
  <c r="G393" i="2"/>
  <c r="N393" i="2"/>
  <c r="O393" i="2"/>
  <c r="G394" i="2"/>
  <c r="N394" i="2"/>
  <c r="O394" i="2"/>
  <c r="G395" i="2"/>
  <c r="N395" i="2"/>
  <c r="O395" i="2"/>
  <c r="G396" i="2"/>
  <c r="N396" i="2"/>
  <c r="O396" i="2"/>
  <c r="G397" i="2"/>
  <c r="N397" i="2"/>
  <c r="O397" i="2"/>
  <c r="G398" i="2"/>
  <c r="N398" i="2"/>
  <c r="O398" i="2"/>
  <c r="G399" i="2"/>
  <c r="N399" i="2"/>
  <c r="O399" i="2"/>
  <c r="G400" i="2"/>
  <c r="N400" i="2"/>
  <c r="O400" i="2"/>
  <c r="G401" i="2"/>
  <c r="N401" i="2"/>
  <c r="O401" i="2"/>
  <c r="G402" i="2"/>
  <c r="N402" i="2"/>
  <c r="O402" i="2"/>
  <c r="G403" i="2"/>
  <c r="N403" i="2"/>
  <c r="O403" i="2"/>
  <c r="G404" i="2"/>
  <c r="N404" i="2"/>
  <c r="O404" i="2"/>
  <c r="G405" i="2"/>
  <c r="N405" i="2"/>
  <c r="O405" i="2"/>
  <c r="G406" i="2"/>
  <c r="N406" i="2"/>
  <c r="O406" i="2"/>
  <c r="G407" i="2"/>
  <c r="N407" i="2"/>
  <c r="O407" i="2"/>
  <c r="G408" i="2"/>
  <c r="N408" i="2"/>
  <c r="O408" i="2"/>
  <c r="G409" i="2"/>
  <c r="N409" i="2"/>
  <c r="O409" i="2"/>
  <c r="G410" i="2"/>
  <c r="N410" i="2"/>
  <c r="O410" i="2"/>
  <c r="G411" i="2"/>
  <c r="N411" i="2"/>
  <c r="O411" i="2"/>
  <c r="G412" i="2"/>
  <c r="N412" i="2"/>
  <c r="O412" i="2"/>
  <c r="G413" i="2"/>
  <c r="N413" i="2"/>
  <c r="O413" i="2"/>
  <c r="G414" i="2"/>
  <c r="N414" i="2"/>
  <c r="O414" i="2"/>
  <c r="G415" i="2"/>
  <c r="N415" i="2"/>
  <c r="O415" i="2"/>
  <c r="G416" i="2"/>
  <c r="N416" i="2"/>
  <c r="O416" i="2"/>
  <c r="G417" i="2"/>
  <c r="N417" i="2"/>
  <c r="O417" i="2"/>
  <c r="G418" i="2"/>
  <c r="N418" i="2"/>
  <c r="O418" i="2"/>
  <c r="G419" i="2"/>
  <c r="N419" i="2"/>
  <c r="O419" i="2"/>
  <c r="G420" i="2"/>
  <c r="N420" i="2"/>
  <c r="O420" i="2"/>
  <c r="G421" i="2"/>
  <c r="N421" i="2"/>
  <c r="O421" i="2"/>
  <c r="G422" i="2"/>
  <c r="N422" i="2"/>
  <c r="O422" i="2"/>
  <c r="G423" i="2"/>
  <c r="N423" i="2"/>
  <c r="O423" i="2"/>
  <c r="G424" i="2"/>
  <c r="N424" i="2"/>
  <c r="O424" i="2"/>
  <c r="G425" i="2"/>
  <c r="N425" i="2"/>
  <c r="O425" i="2"/>
  <c r="G426" i="2"/>
  <c r="N426" i="2"/>
  <c r="O426" i="2"/>
  <c r="G427" i="2"/>
  <c r="N427" i="2"/>
  <c r="O427" i="2"/>
  <c r="G428" i="2"/>
  <c r="N428" i="2"/>
  <c r="O428" i="2"/>
  <c r="G429" i="2"/>
  <c r="N429" i="2"/>
  <c r="O429" i="2"/>
  <c r="G430" i="2"/>
  <c r="N430" i="2"/>
  <c r="O430" i="2"/>
  <c r="G431" i="2"/>
  <c r="N431" i="2"/>
  <c r="O431" i="2"/>
  <c r="G432" i="2"/>
  <c r="N432" i="2"/>
  <c r="O432" i="2"/>
  <c r="G433" i="2"/>
  <c r="N433" i="2"/>
  <c r="O433" i="2"/>
  <c r="G434" i="2"/>
  <c r="N434" i="2"/>
  <c r="O434" i="2"/>
  <c r="G435" i="2"/>
  <c r="N435" i="2"/>
  <c r="O435" i="2"/>
  <c r="G436" i="2"/>
  <c r="N436" i="2"/>
  <c r="O436" i="2"/>
  <c r="G437" i="2"/>
  <c r="N437" i="2"/>
  <c r="O437" i="2"/>
  <c r="G438" i="2"/>
  <c r="N438" i="2"/>
  <c r="O438" i="2"/>
  <c r="G439" i="2"/>
  <c r="N439" i="2"/>
  <c r="O439" i="2"/>
  <c r="G440" i="2"/>
  <c r="N440" i="2"/>
  <c r="O440" i="2"/>
  <c r="G441" i="2"/>
  <c r="N441" i="2"/>
  <c r="O441" i="2"/>
  <c r="G442" i="2"/>
  <c r="N442" i="2"/>
  <c r="O442" i="2"/>
  <c r="G443" i="2"/>
  <c r="N443" i="2"/>
  <c r="O443" i="2"/>
  <c r="G444" i="2"/>
  <c r="N444" i="2"/>
  <c r="O444" i="2"/>
  <c r="G445" i="2"/>
  <c r="N445" i="2"/>
  <c r="O445" i="2"/>
  <c r="G446" i="2"/>
  <c r="N446" i="2"/>
  <c r="O446" i="2"/>
  <c r="G447" i="2"/>
  <c r="N447" i="2"/>
  <c r="O447" i="2"/>
  <c r="G448" i="2"/>
  <c r="N448" i="2"/>
  <c r="O448" i="2"/>
  <c r="G449" i="2"/>
  <c r="N449" i="2"/>
  <c r="O449" i="2"/>
  <c r="G450" i="2"/>
  <c r="N450" i="2"/>
  <c r="O450" i="2"/>
  <c r="G451" i="2"/>
  <c r="N451" i="2"/>
  <c r="O451" i="2"/>
  <c r="G452" i="2"/>
  <c r="N452" i="2"/>
  <c r="O452" i="2"/>
  <c r="G453" i="2"/>
  <c r="N453" i="2"/>
  <c r="O453" i="2"/>
  <c r="G454" i="2"/>
  <c r="N454" i="2"/>
  <c r="O454" i="2"/>
  <c r="G455" i="2"/>
  <c r="N455" i="2"/>
  <c r="O455" i="2"/>
  <c r="G456" i="2"/>
  <c r="N456" i="2"/>
  <c r="O456" i="2"/>
  <c r="G457" i="2"/>
  <c r="N457" i="2"/>
  <c r="O457" i="2"/>
  <c r="G458" i="2"/>
  <c r="N458" i="2"/>
  <c r="O458" i="2"/>
  <c r="G459" i="2"/>
  <c r="N459" i="2"/>
  <c r="O459" i="2"/>
  <c r="G460" i="2"/>
  <c r="N460" i="2"/>
  <c r="O460" i="2"/>
  <c r="G461" i="2"/>
  <c r="N461" i="2"/>
  <c r="O461" i="2"/>
  <c r="G462" i="2"/>
  <c r="N462" i="2"/>
  <c r="O462" i="2"/>
  <c r="G463" i="2"/>
  <c r="N463" i="2"/>
  <c r="O463" i="2"/>
  <c r="G464" i="2"/>
  <c r="N464" i="2"/>
  <c r="O464" i="2"/>
  <c r="G465" i="2"/>
  <c r="N465" i="2"/>
  <c r="O465" i="2"/>
  <c r="G466" i="2"/>
  <c r="N466" i="2"/>
  <c r="O466" i="2"/>
  <c r="G467" i="2"/>
  <c r="N467" i="2"/>
  <c r="O467" i="2"/>
  <c r="G468" i="2"/>
  <c r="N468" i="2"/>
  <c r="O468" i="2"/>
  <c r="G469" i="2"/>
  <c r="N469" i="2"/>
  <c r="O469" i="2"/>
  <c r="G470" i="2"/>
  <c r="N470" i="2"/>
  <c r="O470" i="2"/>
  <c r="G471" i="2"/>
  <c r="N471" i="2"/>
  <c r="O471" i="2"/>
  <c r="G472" i="2"/>
  <c r="N472" i="2"/>
  <c r="O472" i="2"/>
  <c r="G473" i="2"/>
  <c r="N473" i="2"/>
  <c r="O473" i="2"/>
  <c r="G474" i="2"/>
  <c r="N474" i="2"/>
  <c r="O474" i="2"/>
  <c r="G475" i="2"/>
  <c r="N475" i="2"/>
  <c r="O475" i="2"/>
  <c r="G476" i="2"/>
  <c r="N476" i="2"/>
  <c r="O476" i="2"/>
  <c r="G477" i="2"/>
  <c r="N477" i="2"/>
  <c r="O477" i="2"/>
  <c r="G478" i="2"/>
  <c r="N478" i="2"/>
  <c r="O478" i="2"/>
  <c r="G479" i="2"/>
  <c r="N479" i="2"/>
  <c r="O479" i="2"/>
  <c r="G480" i="2"/>
  <c r="N480" i="2"/>
  <c r="O480" i="2"/>
  <c r="G481" i="2"/>
  <c r="N481" i="2"/>
  <c r="O481" i="2"/>
  <c r="G482" i="2"/>
  <c r="N482" i="2"/>
  <c r="O482" i="2"/>
  <c r="G483" i="2"/>
  <c r="N483" i="2"/>
  <c r="O483" i="2"/>
  <c r="G484" i="2"/>
  <c r="N484" i="2"/>
  <c r="O484" i="2"/>
  <c r="G485" i="2"/>
  <c r="N485" i="2"/>
  <c r="O485" i="2"/>
  <c r="G486" i="2"/>
  <c r="N486" i="2"/>
  <c r="O486" i="2"/>
  <c r="G487" i="2"/>
  <c r="N487" i="2"/>
  <c r="O487" i="2"/>
  <c r="G488" i="2"/>
  <c r="N488" i="2"/>
  <c r="O488" i="2"/>
  <c r="G489" i="2"/>
  <c r="N489" i="2"/>
  <c r="O489" i="2"/>
  <c r="G490" i="2"/>
  <c r="N490" i="2"/>
  <c r="O490" i="2"/>
  <c r="G491" i="2"/>
  <c r="N491" i="2"/>
  <c r="O491" i="2"/>
  <c r="G492" i="2"/>
  <c r="N492" i="2"/>
  <c r="O492" i="2"/>
  <c r="G493" i="2"/>
  <c r="N493" i="2"/>
  <c r="O493" i="2"/>
  <c r="G494" i="2"/>
  <c r="N494" i="2"/>
  <c r="O494" i="2"/>
  <c r="G495" i="2"/>
  <c r="N495" i="2"/>
  <c r="O495" i="2"/>
  <c r="G496" i="2"/>
  <c r="N496" i="2"/>
  <c r="O496" i="2"/>
  <c r="G497" i="2"/>
  <c r="N497" i="2"/>
  <c r="O497" i="2"/>
  <c r="G498" i="2"/>
  <c r="N498" i="2"/>
  <c r="O498" i="2"/>
  <c r="G499" i="2"/>
  <c r="N499" i="2"/>
  <c r="O499" i="2"/>
  <c r="G500" i="2"/>
  <c r="N500" i="2"/>
  <c r="O500" i="2"/>
  <c r="L33" i="2" l="1"/>
  <c r="L79" i="2"/>
  <c r="L42" i="2"/>
  <c r="L50" i="2"/>
  <c r="L66" i="2"/>
  <c r="L51" i="2"/>
  <c r="L67" i="2"/>
  <c r="L60" i="2"/>
  <c r="L68" i="2"/>
  <c r="L64" i="2"/>
  <c r="L45" i="2"/>
  <c r="L61" i="2"/>
  <c r="L69" i="2"/>
  <c r="L56" i="2"/>
  <c r="L54" i="2"/>
  <c r="L62" i="2"/>
  <c r="L70" i="2"/>
  <c r="L63" i="2"/>
  <c r="L57" i="2"/>
  <c r="L30" i="2"/>
  <c r="L24" i="2"/>
  <c r="L32" i="2"/>
  <c r="E7" i="2"/>
  <c r="I28" i="1" l="1"/>
  <c r="R6" i="2"/>
  <c r="L21" i="2"/>
  <c r="L19" i="2"/>
  <c r="L65" i="2"/>
  <c r="L36" i="2"/>
  <c r="L16" i="2"/>
  <c r="L13" i="2"/>
  <c r="L11" i="2"/>
  <c r="L55" i="2"/>
  <c r="L31" i="2"/>
  <c r="L22" i="2"/>
  <c r="L49" i="2"/>
  <c r="L40" i="2"/>
  <c r="L47" i="2"/>
  <c r="L58" i="2"/>
  <c r="L27" i="2"/>
  <c r="L41" i="2"/>
  <c r="L39" i="2"/>
  <c r="L59" i="2"/>
  <c r="L29" i="2"/>
  <c r="L26" i="2"/>
  <c r="L53" i="2"/>
  <c r="L9" i="2"/>
  <c r="L23" i="2"/>
  <c r="L15" i="2"/>
  <c r="L25" i="2"/>
  <c r="L48" i="2"/>
  <c r="L46" i="2"/>
  <c r="L43" i="2"/>
  <c r="L34" i="2"/>
  <c r="L71" i="2"/>
  <c r="L44" i="2"/>
  <c r="L28" i="2"/>
  <c r="L20" i="2"/>
  <c r="L12" i="2"/>
  <c r="L18" i="2"/>
  <c r="L14" i="2"/>
  <c r="L17" i="2"/>
  <c r="L10" i="2"/>
  <c r="L38" i="2"/>
  <c r="L37" i="2"/>
  <c r="L52" i="2"/>
  <c r="L35" i="2"/>
  <c r="L78" i="2"/>
  <c r="L80" i="2"/>
  <c r="L81" i="2"/>
  <c r="L76" i="2"/>
  <c r="L77" i="2"/>
  <c r="L82" i="2"/>
  <c r="P5" i="2" l="1"/>
  <c r="I3" i="1"/>
  <c r="V5" i="3" l="1"/>
  <c r="V372" i="3" l="1"/>
  <c r="W372" i="3"/>
  <c r="V180" i="3"/>
  <c r="W164" i="3"/>
  <c r="B3" i="3" s="1"/>
  <c r="G2" i="3" s="1"/>
  <c r="S4" i="2" l="1"/>
  <c r="R4" i="2"/>
  <c r="N6" i="2"/>
  <c r="G5" i="2" l="1"/>
  <c r="G6" i="2" s="1"/>
  <c r="G7" i="2" s="1"/>
  <c r="G8" i="2" l="1"/>
  <c r="G9" i="2" s="1"/>
  <c r="C27" i="1" l="1"/>
  <c r="B2" i="3"/>
  <c r="C2" i="3"/>
  <c r="T4" i="2"/>
  <c r="M8" i="2" l="1"/>
  <c r="M16" i="2"/>
  <c r="M24" i="2"/>
  <c r="M32" i="2"/>
  <c r="M40" i="2"/>
  <c r="M48" i="2"/>
  <c r="M56" i="2"/>
  <c r="M64" i="2"/>
  <c r="M55" i="2"/>
  <c r="M9" i="2"/>
  <c r="M17" i="2"/>
  <c r="M25" i="2"/>
  <c r="M33" i="2"/>
  <c r="M41" i="2"/>
  <c r="M49" i="2"/>
  <c r="M57" i="2"/>
  <c r="M65" i="2"/>
  <c r="M23" i="2"/>
  <c r="M10" i="2"/>
  <c r="M18" i="2"/>
  <c r="M26" i="2"/>
  <c r="M34" i="2"/>
  <c r="M42" i="2"/>
  <c r="M50" i="2"/>
  <c r="M58" i="2"/>
  <c r="M66" i="2"/>
  <c r="M39" i="2"/>
  <c r="M71" i="2"/>
  <c r="M11" i="2"/>
  <c r="M19" i="2"/>
  <c r="M27" i="2"/>
  <c r="M35" i="2"/>
  <c r="M43" i="2"/>
  <c r="M51" i="2"/>
  <c r="M59" i="2"/>
  <c r="M67" i="2"/>
  <c r="M31" i="2"/>
  <c r="M12" i="2"/>
  <c r="M20" i="2"/>
  <c r="M28" i="2"/>
  <c r="M36" i="2"/>
  <c r="M44" i="2"/>
  <c r="M52" i="2"/>
  <c r="M60" i="2"/>
  <c r="M68" i="2"/>
  <c r="M15" i="2"/>
  <c r="M13" i="2"/>
  <c r="M21" i="2"/>
  <c r="M29" i="2"/>
  <c r="M37" i="2"/>
  <c r="M45" i="2"/>
  <c r="M53" i="2"/>
  <c r="M61" i="2"/>
  <c r="M69" i="2"/>
  <c r="M47" i="2"/>
  <c r="M14" i="2"/>
  <c r="M22" i="2"/>
  <c r="M30" i="2"/>
  <c r="M38" i="2"/>
  <c r="M46" i="2"/>
  <c r="M54" i="2"/>
  <c r="M62" i="2"/>
  <c r="M70" i="2"/>
  <c r="M63" i="2"/>
  <c r="M75" i="2"/>
  <c r="M77" i="2"/>
  <c r="M72" i="2"/>
  <c r="M74" i="2"/>
  <c r="M76" i="2"/>
  <c r="M78" i="2"/>
  <c r="M73" i="2"/>
  <c r="M85" i="2"/>
  <c r="M82" i="2"/>
  <c r="M84" i="2"/>
  <c r="M81" i="2"/>
  <c r="M83" i="2"/>
  <c r="M80" i="2"/>
  <c r="M79" i="2"/>
  <c r="M86" i="2"/>
  <c r="M87" i="2"/>
  <c r="M98" i="2"/>
  <c r="M110" i="2"/>
  <c r="M122" i="2"/>
  <c r="M139" i="2"/>
  <c r="M150" i="2"/>
  <c r="M155" i="2"/>
  <c r="M99" i="2"/>
  <c r="M111" i="2"/>
  <c r="M123" i="2"/>
  <c r="M134" i="2"/>
  <c r="M163" i="2"/>
  <c r="M167" i="2"/>
  <c r="M171" i="2"/>
  <c r="M175" i="2"/>
  <c r="M179" i="2"/>
  <c r="M183" i="2"/>
  <c r="M187" i="2"/>
  <c r="M191" i="2"/>
  <c r="M195" i="2"/>
  <c r="M236" i="2"/>
  <c r="M118" i="2"/>
  <c r="M135" i="2"/>
  <c r="M146" i="2"/>
  <c r="M151" i="2"/>
  <c r="M156" i="2"/>
  <c r="M158" i="2"/>
  <c r="M199" i="2"/>
  <c r="M248" i="2"/>
  <c r="M261" i="2"/>
  <c r="M94" i="2"/>
  <c r="M106" i="2"/>
  <c r="M119" i="2"/>
  <c r="M130" i="2"/>
  <c r="M159" i="2"/>
  <c r="M193" i="2"/>
  <c r="M203" i="2"/>
  <c r="M232" i="2"/>
  <c r="M95" i="2"/>
  <c r="M107" i="2"/>
  <c r="M131" i="2"/>
  <c r="M142" i="2"/>
  <c r="M147" i="2"/>
  <c r="M165" i="2"/>
  <c r="M169" i="2"/>
  <c r="M173" i="2"/>
  <c r="M177" i="2"/>
  <c r="M181" i="2"/>
  <c r="M185" i="2"/>
  <c r="M189" i="2"/>
  <c r="M197" i="2"/>
  <c r="M229" i="2"/>
  <c r="M245" i="2"/>
  <c r="M90" i="2"/>
  <c r="M114" i="2"/>
  <c r="M160" i="2"/>
  <c r="M201" i="2"/>
  <c r="M207" i="2"/>
  <c r="M209" i="2"/>
  <c r="M228" i="2"/>
  <c r="M244" i="2"/>
  <c r="M91" i="2"/>
  <c r="M102" i="2"/>
  <c r="M115" i="2"/>
  <c r="M126" i="2"/>
  <c r="M143" i="2"/>
  <c r="M205" i="2"/>
  <c r="M103" i="2"/>
  <c r="M127" i="2"/>
  <c r="M138" i="2"/>
  <c r="M154" i="2"/>
  <c r="M224" i="2"/>
  <c r="M240" i="2"/>
  <c r="M252" i="2"/>
  <c r="M264" i="2"/>
  <c r="M339" i="2"/>
  <c r="M351" i="2"/>
  <c r="M367" i="2"/>
  <c r="M383" i="2"/>
  <c r="M448" i="2"/>
  <c r="M450" i="2"/>
  <c r="M451" i="2"/>
  <c r="M291" i="2"/>
  <c r="M303" i="2"/>
  <c r="M364" i="2"/>
  <c r="M380" i="2"/>
  <c r="M396" i="2"/>
  <c r="M452" i="2"/>
  <c r="M454" i="2"/>
  <c r="M455" i="2"/>
  <c r="M331" i="2"/>
  <c r="M334" i="2"/>
  <c r="M335" i="2"/>
  <c r="M349" i="2"/>
  <c r="M363" i="2"/>
  <c r="M379" i="2"/>
  <c r="M395" i="2"/>
  <c r="M407" i="2"/>
  <c r="M415" i="2"/>
  <c r="M418" i="2"/>
  <c r="M419" i="2"/>
  <c r="M456" i="2"/>
  <c r="M458" i="2"/>
  <c r="M260" i="2"/>
  <c r="M268" i="2"/>
  <c r="M276" i="2"/>
  <c r="M287" i="2"/>
  <c r="M315" i="2"/>
  <c r="M318" i="2"/>
  <c r="M360" i="2"/>
  <c r="M376" i="2"/>
  <c r="M404" i="2"/>
  <c r="M412" i="2"/>
  <c r="M420" i="2"/>
  <c r="M422" i="2"/>
  <c r="M423" i="2"/>
  <c r="M424" i="2"/>
  <c r="M426" i="2"/>
  <c r="M427" i="2"/>
  <c r="M314" i="2"/>
  <c r="M346" i="2"/>
  <c r="M359" i="2"/>
  <c r="M375" i="2"/>
  <c r="M391" i="2"/>
  <c r="M392" i="2"/>
  <c r="M403" i="2"/>
  <c r="M411" i="2"/>
  <c r="M428" i="2"/>
  <c r="M430" i="2"/>
  <c r="M431" i="2"/>
  <c r="M356" i="2"/>
  <c r="M372" i="2"/>
  <c r="M388" i="2"/>
  <c r="M432" i="2"/>
  <c r="M434" i="2"/>
  <c r="M435" i="2"/>
  <c r="M256" i="2"/>
  <c r="M257" i="2"/>
  <c r="M272" i="2"/>
  <c r="M295" i="2"/>
  <c r="M352" i="2"/>
  <c r="M368" i="2"/>
  <c r="M384" i="2"/>
  <c r="M399" i="2"/>
  <c r="M444" i="2"/>
  <c r="M446" i="2"/>
  <c r="M447" i="2"/>
  <c r="M310" i="2"/>
  <c r="M355" i="2"/>
  <c r="M387" i="2"/>
  <c r="M459" i="2"/>
  <c r="M476" i="2"/>
  <c r="M478" i="2"/>
  <c r="M491" i="2"/>
  <c r="M479" i="2"/>
  <c r="M486" i="2"/>
  <c r="M480" i="2"/>
  <c r="M482" i="2"/>
  <c r="M487" i="2"/>
  <c r="M498" i="2"/>
  <c r="M436" i="2"/>
  <c r="M440" i="2"/>
  <c r="M466" i="2"/>
  <c r="M483" i="2"/>
  <c r="M484" i="2"/>
  <c r="M281" i="2"/>
  <c r="M371" i="2"/>
  <c r="M400" i="2"/>
  <c r="M462" i="2"/>
  <c r="M467" i="2"/>
  <c r="M468" i="2"/>
  <c r="M470" i="2"/>
  <c r="M499" i="2"/>
  <c r="M500" i="2"/>
  <c r="M439" i="2"/>
  <c r="M443" i="2"/>
  <c r="M463" i="2"/>
  <c r="M464" i="2"/>
  <c r="M471" i="2"/>
  <c r="M494" i="2"/>
  <c r="M326" i="2"/>
  <c r="M343" i="2"/>
  <c r="M438" i="2"/>
  <c r="M442" i="2"/>
  <c r="M460" i="2"/>
  <c r="M475" i="2"/>
  <c r="M490" i="2"/>
  <c r="M495" i="2"/>
  <c r="M323" i="2"/>
  <c r="M474" i="2"/>
  <c r="M472" i="2"/>
  <c r="M370" i="2"/>
  <c r="M341" i="2"/>
  <c r="M374" i="2"/>
  <c r="M313" i="2"/>
  <c r="M378" i="2"/>
  <c r="M288" i="2"/>
  <c r="M305" i="2"/>
  <c r="M406" i="2"/>
  <c r="M304" i="2"/>
  <c r="M234" i="2"/>
  <c r="M92" i="2"/>
  <c r="M242" i="2"/>
  <c r="M230" i="2"/>
  <c r="M157" i="2"/>
  <c r="M196" i="2"/>
  <c r="M180" i="2"/>
  <c r="M164" i="2"/>
  <c r="M296" i="2"/>
  <c r="M488" i="2"/>
  <c r="M340" i="2"/>
  <c r="M385" i="2"/>
  <c r="M311" i="2"/>
  <c r="M402" i="2"/>
  <c r="M337" i="2"/>
  <c r="M297" i="2"/>
  <c r="M218" i="2"/>
  <c r="M239" i="2"/>
  <c r="M208" i="2"/>
  <c r="M212" i="2"/>
  <c r="M309" i="2"/>
  <c r="M316" i="2"/>
  <c r="M273" i="2"/>
  <c r="M344" i="2"/>
  <c r="M345" i="2"/>
  <c r="M300" i="2"/>
  <c r="M373" i="2"/>
  <c r="M347" i="2"/>
  <c r="M417" i="2"/>
  <c r="M366" i="2"/>
  <c r="M279" i="2"/>
  <c r="M220" i="2"/>
  <c r="M223" i="2"/>
  <c r="M210" i="2"/>
  <c r="M120" i="2"/>
  <c r="M231" i="2"/>
  <c r="M263" i="2"/>
  <c r="M188" i="2"/>
  <c r="M172" i="2"/>
  <c r="M285" i="2"/>
  <c r="M271" i="2"/>
  <c r="M410" i="2"/>
  <c r="M328" i="2"/>
  <c r="M289" i="2"/>
  <c r="M357" i="2"/>
  <c r="M394" i="2"/>
  <c r="M324" i="2"/>
  <c r="M250" i="2"/>
  <c r="M222" i="2"/>
  <c r="M116" i="2"/>
  <c r="M132" i="2"/>
  <c r="M108" i="2"/>
  <c r="M214" i="2"/>
  <c r="M249" i="2"/>
  <c r="M354" i="2"/>
  <c r="M353" i="2"/>
  <c r="M389" i="2"/>
  <c r="M88" i="2"/>
  <c r="M161" i="2"/>
  <c r="M265" i="2"/>
  <c r="M492" i="2"/>
  <c r="M381" i="2"/>
  <c r="M332" i="2"/>
  <c r="M327" i="2"/>
  <c r="M348" i="2"/>
  <c r="M321" i="2"/>
  <c r="M350" i="2"/>
  <c r="M253" i="2"/>
  <c r="M96" i="2"/>
  <c r="M365" i="2"/>
  <c r="M329" i="2"/>
  <c r="M317" i="2"/>
  <c r="M333" i="2"/>
  <c r="M293" i="2"/>
  <c r="M319" i="2"/>
  <c r="M320" i="2"/>
  <c r="M251" i="2"/>
  <c r="M243" i="2"/>
  <c r="M216" i="2"/>
  <c r="M308" i="2"/>
  <c r="M312" i="2"/>
  <c r="M277" i="2"/>
  <c r="M292" i="2"/>
  <c r="M238" i="2"/>
  <c r="M227" i="2"/>
  <c r="M259" i="2"/>
  <c r="M192" i="2"/>
  <c r="M124" i="2"/>
  <c r="M398" i="2"/>
  <c r="M325" i="2"/>
  <c r="M258" i="2"/>
  <c r="M301" i="2"/>
  <c r="M254" i="2"/>
  <c r="M226" i="2"/>
  <c r="M100" i="2"/>
  <c r="M282" i="2"/>
  <c r="M390" i="2"/>
  <c r="M286" i="2"/>
  <c r="M377" i="2"/>
  <c r="M414" i="2"/>
  <c r="M128" i="2"/>
  <c r="M255" i="2"/>
  <c r="M200" i="2"/>
  <c r="M284" i="2"/>
  <c r="M361" i="2"/>
  <c r="M235" i="2"/>
  <c r="M104" i="2"/>
  <c r="M246" i="2"/>
  <c r="M386" i="2"/>
  <c r="M369" i="2"/>
  <c r="M358" i="2"/>
  <c r="M362" i="2"/>
  <c r="M336" i="2"/>
  <c r="M382" i="2"/>
  <c r="M112" i="2"/>
  <c r="M204" i="2"/>
  <c r="M136" i="2"/>
  <c r="M176" i="2"/>
  <c r="M247" i="2"/>
  <c r="M437" i="2"/>
  <c r="M489" i="2"/>
  <c r="M473" i="2"/>
  <c r="M461" i="2"/>
  <c r="M184" i="2"/>
  <c r="M497" i="2"/>
  <c r="M168" i="2"/>
  <c r="M465" i="2"/>
  <c r="M477" i="2"/>
  <c r="M485" i="2"/>
  <c r="M425" i="2"/>
  <c r="M393" i="2"/>
  <c r="M275" i="2"/>
  <c r="M219" i="2"/>
  <c r="M241" i="2"/>
  <c r="M174" i="2"/>
  <c r="M237" i="2"/>
  <c r="M433" i="2"/>
  <c r="M429" i="2"/>
  <c r="M481" i="2"/>
  <c r="M441" i="2"/>
  <c r="M413" i="2"/>
  <c r="M307" i="2"/>
  <c r="M101" i="2"/>
  <c r="M453" i="2"/>
  <c r="M496" i="2"/>
  <c r="M493" i="2"/>
  <c r="M409" i="2"/>
  <c r="M306" i="2"/>
  <c r="M280" i="2"/>
  <c r="M290" i="2"/>
  <c r="M322" i="2"/>
  <c r="M217" i="2"/>
  <c r="M215" i="2"/>
  <c r="M262" i="2"/>
  <c r="M299" i="2"/>
  <c r="M338" i="2"/>
  <c r="M302" i="2"/>
  <c r="M269" i="2"/>
  <c r="M202" i="2"/>
  <c r="M133" i="2"/>
  <c r="M152" i="2"/>
  <c r="M109" i="2"/>
  <c r="M145" i="2"/>
  <c r="M153" i="2"/>
  <c r="M405" i="2"/>
  <c r="M221" i="2"/>
  <c r="M266" i="2"/>
  <c r="M278" i="2"/>
  <c r="M198" i="2"/>
  <c r="M186" i="2"/>
  <c r="M166" i="2"/>
  <c r="M97" i="2"/>
  <c r="M105" i="2"/>
  <c r="M125" i="2"/>
  <c r="M190" i="2"/>
  <c r="M330" i="2"/>
  <c r="M213" i="2"/>
  <c r="M121" i="2"/>
  <c r="M270" i="2"/>
  <c r="M206" i="2"/>
  <c r="M401" i="2"/>
  <c r="M294" i="2"/>
  <c r="M170" i="2"/>
  <c r="M141" i="2"/>
  <c r="M397" i="2"/>
  <c r="M225" i="2"/>
  <c r="M129" i="2"/>
  <c r="M137" i="2"/>
  <c r="M148" i="2"/>
  <c r="M449" i="2"/>
  <c r="M416" i="2"/>
  <c r="M140" i="2"/>
  <c r="M194" i="2"/>
  <c r="M178" i="2"/>
  <c r="M89" i="2"/>
  <c r="M117" i="2"/>
  <c r="M342" i="2"/>
  <c r="M233" i="2"/>
  <c r="M182" i="2"/>
  <c r="M149" i="2"/>
  <c r="M445" i="2"/>
  <c r="M469" i="2"/>
  <c r="M457" i="2"/>
  <c r="M298" i="2"/>
  <c r="M283" i="2"/>
  <c r="M211" i="2"/>
  <c r="M113" i="2"/>
  <c r="M144" i="2"/>
  <c r="M421" i="2"/>
  <c r="M408" i="2"/>
  <c r="M267" i="2"/>
  <c r="M274" i="2"/>
  <c r="M162" i="2"/>
  <c r="M93" i="2"/>
  <c r="B7" i="2"/>
  <c r="D24" i="1"/>
  <c r="D32" i="1"/>
  <c r="D27" i="1"/>
  <c r="D28" i="1"/>
  <c r="D31" i="1"/>
  <c r="D25" i="1"/>
  <c r="D23" i="1"/>
  <c r="D29" i="1"/>
  <c r="D26" i="1"/>
  <c r="D30" i="1"/>
  <c r="C25" i="1"/>
  <c r="C23" i="1"/>
  <c r="C26" i="1"/>
  <c r="C28" i="1"/>
  <c r="C29" i="1"/>
  <c r="C31" i="1"/>
  <c r="C32" i="1"/>
  <c r="C30" i="1"/>
  <c r="C24" i="1"/>
  <c r="C3" i="3"/>
  <c r="G4" i="3" s="1"/>
  <c r="B1" i="3"/>
  <c r="D13" i="2"/>
  <c r="D11" i="2"/>
  <c r="Q4" i="3" l="1"/>
  <c r="D7" i="2"/>
  <c r="B5" i="2"/>
  <c r="N4" i="3"/>
  <c r="I2" i="2"/>
  <c r="I10" i="2"/>
  <c r="I3" i="2"/>
  <c r="I11" i="2"/>
  <c r="I4" i="2"/>
  <c r="I12" i="2"/>
  <c r="Y11" i="1" s="1"/>
  <c r="I5" i="2"/>
  <c r="I13" i="2"/>
  <c r="Z11" i="1" s="1"/>
  <c r="I9" i="2"/>
  <c r="I6" i="2"/>
  <c r="I14" i="2"/>
  <c r="AA11" i="1" s="1"/>
  <c r="I7" i="2"/>
  <c r="I15" i="2"/>
  <c r="AB11" i="1" s="1"/>
  <c r="I16" i="2"/>
  <c r="I8" i="2"/>
  <c r="I1" i="2"/>
  <c r="L8" i="2"/>
  <c r="L153" i="2"/>
  <c r="L112" i="2"/>
  <c r="L109" i="2"/>
  <c r="L219" i="2"/>
  <c r="L210" i="2"/>
  <c r="L152" i="2"/>
  <c r="L104" i="2"/>
  <c r="L190" i="2"/>
  <c r="L191" i="2"/>
  <c r="L203" i="2"/>
  <c r="L126" i="2"/>
  <c r="L223" i="2"/>
  <c r="L161" i="2"/>
  <c r="L130" i="2"/>
  <c r="L95" i="2"/>
  <c r="L184" i="2"/>
  <c r="L151" i="2"/>
  <c r="L122" i="2"/>
  <c r="L144" i="2"/>
  <c r="L93" i="2"/>
  <c r="L113" i="2"/>
  <c r="L89" i="2"/>
  <c r="L213" i="2"/>
  <c r="L136" i="2"/>
  <c r="L166" i="2"/>
  <c r="L121" i="2"/>
  <c r="L183" i="2"/>
  <c r="L220" i="2"/>
  <c r="L209" i="2"/>
  <c r="L204" i="2"/>
  <c r="L94" i="2"/>
  <c r="L180" i="2"/>
  <c r="L135" i="2"/>
  <c r="L189" i="2"/>
  <c r="L173" i="2"/>
  <c r="L150" i="2"/>
  <c r="L99" i="2"/>
  <c r="L139" i="2"/>
  <c r="L101" i="2"/>
  <c r="L178" i="2"/>
  <c r="L85" i="2"/>
  <c r="L199" i="2"/>
  <c r="L171" i="2"/>
  <c r="L154" i="2"/>
  <c r="L208" i="2"/>
  <c r="L159" i="2"/>
  <c r="L212" i="2"/>
  <c r="L176" i="2"/>
  <c r="L134" i="2"/>
  <c r="L98" i="2"/>
  <c r="L138" i="2"/>
  <c r="L133" i="2"/>
  <c r="L88" i="2"/>
  <c r="L194" i="2"/>
  <c r="L141" i="2"/>
  <c r="L226" i="2"/>
  <c r="L105" i="2"/>
  <c r="L186" i="2"/>
  <c r="L225" i="2"/>
  <c r="L187" i="2"/>
  <c r="L163" i="2"/>
  <c r="L218" i="2"/>
  <c r="L103" i="2"/>
  <c r="L115" i="2"/>
  <c r="L157" i="2"/>
  <c r="L201" i="2"/>
  <c r="L172" i="2"/>
  <c r="L185" i="2"/>
  <c r="L169" i="2"/>
  <c r="L111" i="2"/>
  <c r="L155" i="2"/>
  <c r="L202" i="2"/>
  <c r="L149" i="2"/>
  <c r="L217" i="2"/>
  <c r="L120" i="2"/>
  <c r="L124" i="2"/>
  <c r="L206" i="2"/>
  <c r="L100" i="2"/>
  <c r="L160" i="2"/>
  <c r="L179" i="2"/>
  <c r="L102" i="2"/>
  <c r="L114" i="2"/>
  <c r="L143" i="2"/>
  <c r="L83" i="2"/>
  <c r="L107" i="2"/>
  <c r="L205" i="2"/>
  <c r="L168" i="2"/>
  <c r="L214" i="2"/>
  <c r="L110" i="2"/>
  <c r="L87" i="2"/>
  <c r="L162" i="2"/>
  <c r="L84" i="2"/>
  <c r="L92" i="2"/>
  <c r="L137" i="2"/>
  <c r="L170" i="2"/>
  <c r="L125" i="2"/>
  <c r="L97" i="2"/>
  <c r="L221" i="2"/>
  <c r="L195" i="2"/>
  <c r="L91" i="2"/>
  <c r="L222" i="2"/>
  <c r="L142" i="2"/>
  <c r="L106" i="2"/>
  <c r="L147" i="2"/>
  <c r="L119" i="2"/>
  <c r="L196" i="2"/>
  <c r="L164" i="2"/>
  <c r="L197" i="2"/>
  <c r="L181" i="2"/>
  <c r="L165" i="2"/>
  <c r="L86" i="2"/>
  <c r="L215" i="2"/>
  <c r="L140" i="2"/>
  <c r="L108" i="2"/>
  <c r="L116" i="2"/>
  <c r="L96" i="2"/>
  <c r="L174" i="2"/>
  <c r="L207" i="2"/>
  <c r="L167" i="2"/>
  <c r="L175" i="2"/>
  <c r="L156" i="2"/>
  <c r="L90" i="2"/>
  <c r="L200" i="2"/>
  <c r="L146" i="2"/>
  <c r="L118" i="2"/>
  <c r="L192" i="2"/>
  <c r="L216" i="2"/>
  <c r="L182" i="2"/>
  <c r="L145" i="2"/>
  <c r="L148" i="2"/>
  <c r="L211" i="2"/>
  <c r="L117" i="2"/>
  <c r="L129" i="2"/>
  <c r="L128" i="2"/>
  <c r="L132" i="2"/>
  <c r="L198" i="2"/>
  <c r="L127" i="2"/>
  <c r="L224" i="2"/>
  <c r="L131" i="2"/>
  <c r="L188" i="2"/>
  <c r="L158" i="2"/>
  <c r="L193" i="2"/>
  <c r="L177" i="2"/>
  <c r="L123" i="2"/>
  <c r="H24" i="1"/>
  <c r="M4" i="3"/>
  <c r="L75" i="2"/>
  <c r="L74" i="2"/>
  <c r="L72" i="2"/>
  <c r="L73" i="2"/>
  <c r="I34" i="1"/>
  <c r="D18" i="2"/>
  <c r="D15" i="2"/>
  <c r="D12" i="2"/>
  <c r="D9" i="2"/>
  <c r="D36" i="2"/>
  <c r="D48" i="2"/>
  <c r="D60" i="2"/>
  <c r="D30" i="2"/>
  <c r="D54" i="2"/>
  <c r="D27" i="2"/>
  <c r="D51" i="2"/>
  <c r="D24" i="2"/>
  <c r="D42" i="2"/>
  <c r="D74" i="2"/>
  <c r="D77" i="2"/>
  <c r="D81" i="2"/>
  <c r="D33" i="2"/>
  <c r="D79" i="2"/>
  <c r="D72" i="2"/>
  <c r="D66" i="2"/>
  <c r="D45" i="2"/>
  <c r="D57" i="2"/>
  <c r="D69" i="2"/>
  <c r="D39" i="2"/>
  <c r="D21" i="2"/>
  <c r="D63" i="2"/>
  <c r="AC10" i="1" l="1"/>
  <c r="AC5" i="1" s="1"/>
  <c r="AC11" i="1"/>
  <c r="AB10" i="1"/>
  <c r="AB5" i="1" s="1"/>
  <c r="AA10" i="1"/>
  <c r="AA5" i="1" s="1"/>
  <c r="Z10" i="1"/>
  <c r="Z5" i="1" s="1"/>
  <c r="Y10" i="1"/>
  <c r="Y5" i="1" s="1"/>
  <c r="X11" i="1"/>
  <c r="X10" i="1"/>
  <c r="W11" i="1"/>
  <c r="V11" i="1"/>
  <c r="G10" i="2"/>
  <c r="X5" i="1" l="1"/>
  <c r="G11" i="2"/>
  <c r="G12" i="2" l="1"/>
  <c r="G13" i="2" l="1"/>
  <c r="G14" i="2" l="1"/>
  <c r="G15" i="2" l="1"/>
  <c r="N78" i="2" l="1"/>
  <c r="G16" i="2"/>
  <c r="N79" i="2" l="1"/>
  <c r="I29" i="1"/>
  <c r="G17" i="2"/>
  <c r="N80" i="2" l="1"/>
  <c r="N81" i="2" s="1"/>
  <c r="N82" i="2" s="1"/>
  <c r="N83" i="2" s="1"/>
  <c r="N84" i="2" s="1"/>
  <c r="G18" i="2"/>
  <c r="N85" i="2" l="1"/>
  <c r="C1" i="3"/>
  <c r="G19" i="2"/>
  <c r="N86" i="2" l="1"/>
  <c r="N87" i="2" s="1"/>
  <c r="G20" i="2"/>
  <c r="N88" i="2" l="1"/>
  <c r="N89" i="2" s="1"/>
  <c r="G21" i="2"/>
  <c r="N90" i="2" l="1"/>
  <c r="N91" i="2" s="1"/>
  <c r="N92" i="2" s="1"/>
  <c r="G22" i="2"/>
  <c r="N93" i="2" l="1"/>
  <c r="N94" i="2" s="1"/>
  <c r="G23" i="2"/>
  <c r="N95" i="2" l="1"/>
  <c r="N96" i="2" s="1"/>
  <c r="G24" i="2"/>
  <c r="N97" i="2" l="1"/>
  <c r="N98" i="2" s="1"/>
  <c r="F24" i="1"/>
  <c r="G25" i="2"/>
  <c r="G26" i="2" l="1"/>
  <c r="G27" i="2" l="1"/>
  <c r="G28" i="2" l="1"/>
  <c r="G29" i="2" l="1"/>
  <c r="G30" i="2" l="1"/>
  <c r="G31" i="2" l="1"/>
  <c r="G32" i="2" l="1"/>
  <c r="G33" i="2" l="1"/>
  <c r="G34" i="2" l="1"/>
  <c r="G35" i="2" s="1"/>
  <c r="G36" i="2" l="1"/>
  <c r="G37" i="2" l="1"/>
  <c r="J38" i="2" l="1"/>
  <c r="G38" i="2"/>
  <c r="G39" i="2" l="1"/>
  <c r="G40" i="2" l="1"/>
  <c r="J39" i="2" s="1"/>
  <c r="G41" i="2" l="1"/>
  <c r="G42" i="2" s="1"/>
  <c r="G43" i="2" l="1"/>
  <c r="J40" i="2" l="1"/>
  <c r="G44" i="2"/>
  <c r="G45" i="2" l="1"/>
  <c r="G46" i="2" l="1"/>
  <c r="G47" i="2" l="1"/>
  <c r="G48" i="2" l="1"/>
  <c r="J47" i="2" s="1"/>
  <c r="G49" i="2" l="1"/>
  <c r="J41" i="2" l="1"/>
  <c r="G50" i="2"/>
  <c r="G51" i="2" l="1"/>
  <c r="J48" i="2" s="1"/>
  <c r="G52" i="2" l="1"/>
  <c r="J42" i="2" l="1"/>
  <c r="G53" i="2"/>
  <c r="G54" i="2" l="1"/>
  <c r="J49" i="2" s="1"/>
  <c r="G55" i="2" l="1"/>
  <c r="J50" i="2" s="1"/>
  <c r="J43" i="2" l="1"/>
  <c r="G56" i="2"/>
  <c r="G57" i="2" l="1"/>
  <c r="J51" i="2" s="1"/>
  <c r="G58" i="2" l="1"/>
  <c r="G59" i="2" l="1"/>
  <c r="G60" i="2" l="1"/>
  <c r="G61" i="2" l="1"/>
  <c r="J44" i="2" l="1"/>
  <c r="G62" i="2"/>
  <c r="J52" i="2" l="1"/>
  <c r="G63" i="2"/>
  <c r="G64" i="2" l="1"/>
  <c r="J45" i="2" s="1"/>
  <c r="G65" i="2" l="1"/>
  <c r="J53" i="2" s="1"/>
  <c r="G66" i="2" l="1"/>
  <c r="G67" i="2" l="1"/>
  <c r="G68" i="2" l="1"/>
  <c r="G69" i="2" l="1"/>
  <c r="G70" i="2" l="1"/>
  <c r="J46" i="2" s="1"/>
  <c r="G71" i="2" l="1"/>
  <c r="G72" i="2" l="1"/>
  <c r="J54" i="2"/>
  <c r="J55" i="2" l="1"/>
  <c r="G73" i="2"/>
  <c r="J56" i="2" l="1"/>
  <c r="G74" i="2"/>
  <c r="H27" i="1"/>
  <c r="J57" i="2" l="1"/>
  <c r="J58" i="2"/>
  <c r="G75" i="2"/>
  <c r="G76" i="2" l="1"/>
  <c r="G77" i="2" s="1"/>
  <c r="J59" i="2" s="1"/>
  <c r="G78" i="2" l="1"/>
  <c r="G79" i="2" s="1"/>
  <c r="G80" i="2" l="1"/>
  <c r="G81" i="2" l="1"/>
  <c r="G82" i="2" l="1"/>
  <c r="G83" i="2" l="1"/>
  <c r="G84" i="2" s="1"/>
  <c r="I27" i="1"/>
  <c r="L4" i="3" l="1"/>
  <c r="D21" i="1"/>
  <c r="W4" i="1"/>
  <c r="G85" i="2"/>
  <c r="U11" i="1"/>
  <c r="G86" i="2" l="1"/>
  <c r="X4" i="1"/>
  <c r="G87" i="2"/>
  <c r="H11" i="1"/>
  <c r="H4" i="1"/>
  <c r="H10" i="1"/>
  <c r="H5" i="1" s="1"/>
  <c r="C4" i="1"/>
  <c r="C11" i="1"/>
  <c r="C10" i="1"/>
  <c r="C5" i="1" s="1"/>
  <c r="V4" i="1"/>
  <c r="V10" i="1"/>
  <c r="V5" i="1" s="1"/>
  <c r="G11" i="1"/>
  <c r="G4" i="1"/>
  <c r="G10" i="1"/>
  <c r="G5" i="1" s="1"/>
  <c r="I11" i="1"/>
  <c r="I4" i="1"/>
  <c r="I10" i="1"/>
  <c r="I5" i="1" s="1"/>
  <c r="F4" i="1"/>
  <c r="F11" i="1"/>
  <c r="F10" i="1"/>
  <c r="F5" i="1" s="1"/>
  <c r="U4" i="1"/>
  <c r="U10" i="1"/>
  <c r="U6" i="1" s="1"/>
  <c r="D11" i="1"/>
  <c r="D4" i="1"/>
  <c r="D10" i="1"/>
  <c r="D5" i="1" s="1"/>
  <c r="E11" i="1"/>
  <c r="E4" i="1"/>
  <c r="E10" i="1"/>
  <c r="E5" i="1" s="1"/>
  <c r="W10" i="1"/>
  <c r="W5" i="1" s="1"/>
  <c r="G88" i="2" l="1"/>
  <c r="G89" i="2" s="1"/>
  <c r="U7" i="1"/>
  <c r="U5" i="1"/>
  <c r="G90" i="2" l="1"/>
  <c r="L253" i="2"/>
  <c r="L436" i="2"/>
  <c r="L287" i="2"/>
  <c r="L479" i="2"/>
  <c r="L243" i="2"/>
  <c r="L435" i="2"/>
  <c r="L295" i="2"/>
  <c r="L233" i="2"/>
  <c r="L269" i="2"/>
  <c r="L310" i="2"/>
  <c r="L473" i="2"/>
  <c r="L408" i="2"/>
  <c r="L320" i="2"/>
  <c r="L338" i="2"/>
  <c r="L468" i="2"/>
  <c r="L308" i="2"/>
  <c r="L415" i="2"/>
  <c r="L298" i="2"/>
  <c r="L231" i="2"/>
  <c r="L410" i="2"/>
  <c r="L484" i="2"/>
  <c r="L465" i="2"/>
  <c r="L500" i="2"/>
  <c r="L359" i="2"/>
  <c r="L251" i="2"/>
  <c r="L333" i="2"/>
  <c r="L425" i="2"/>
  <c r="L349" i="2"/>
  <c r="L397" i="2"/>
  <c r="L303" i="2"/>
  <c r="L236" i="2"/>
  <c r="L382" i="2"/>
  <c r="L419" i="2"/>
  <c r="L431" i="2"/>
  <c r="L283" i="2"/>
  <c r="L280" i="2"/>
  <c r="L313" i="2"/>
  <c r="L386" i="2"/>
  <c r="L364" i="2"/>
  <c r="L445" i="2"/>
  <c r="L491" i="2"/>
  <c r="L478" i="2"/>
  <c r="L377" i="2"/>
  <c r="L259" i="2"/>
  <c r="L446" i="2"/>
  <c r="L254" i="2"/>
  <c r="L288" i="2"/>
  <c r="L321" i="2"/>
  <c r="L242" i="2"/>
  <c r="L421" i="2"/>
  <c r="L424" i="2"/>
  <c r="L329" i="2"/>
  <c r="L475" i="2"/>
  <c r="L470" i="2"/>
  <c r="L395" i="2"/>
  <c r="L232" i="2"/>
  <c r="L324" i="2"/>
  <c r="L447" i="2"/>
  <c r="L403" i="2"/>
  <c r="L334" i="2"/>
  <c r="L250" i="2"/>
  <c r="L352" i="2"/>
  <c r="L252" i="2"/>
  <c r="L260" i="2"/>
  <c r="G91" i="2" l="1"/>
  <c r="G92" i="2" s="1"/>
  <c r="Y4" i="1"/>
  <c r="L267" i="2"/>
  <c r="L391" i="2"/>
  <c r="L450" i="2"/>
  <c r="L323" i="2"/>
  <c r="L297" i="2"/>
  <c r="L467" i="2"/>
  <c r="L350" i="2"/>
  <c r="L481" i="2"/>
  <c r="L265" i="2"/>
  <c r="L345" i="2"/>
  <c r="L389" i="2"/>
  <c r="L255" i="2"/>
  <c r="L474" i="2"/>
  <c r="L368" i="2"/>
  <c r="L496" i="2"/>
  <c r="L247" i="2"/>
  <c r="L401" i="2"/>
  <c r="L342" i="2"/>
  <c r="L469" i="2"/>
  <c r="L486" i="2"/>
  <c r="L299" i="2"/>
  <c r="L488" i="2"/>
  <c r="L234" i="2"/>
  <c r="L336" i="2"/>
  <c r="L335" i="2"/>
  <c r="L343" i="2"/>
  <c r="L249" i="2"/>
  <c r="L326" i="2"/>
  <c r="L439" i="2"/>
  <c r="L458" i="2"/>
  <c r="L383" i="2"/>
  <c r="L228" i="2"/>
  <c r="L286" i="2"/>
  <c r="L305" i="2"/>
  <c r="L494" i="2"/>
  <c r="L455" i="2"/>
  <c r="L487" i="2"/>
  <c r="L411" i="2"/>
  <c r="L457" i="2"/>
  <c r="L380" i="2"/>
  <c r="L449" i="2"/>
  <c r="L396" i="2"/>
  <c r="L354" i="2"/>
  <c r="L261" i="2"/>
  <c r="L365" i="2"/>
  <c r="L271" i="2"/>
  <c r="L463" i="2"/>
  <c r="L244" i="2"/>
  <c r="L441" i="2"/>
  <c r="L379" i="2"/>
  <c r="L442" i="2"/>
  <c r="L339" i="2"/>
  <c r="L319" i="2"/>
  <c r="L414" i="2"/>
  <c r="L452" i="2"/>
  <c r="L314" i="2"/>
  <c r="L398" i="2"/>
  <c r="L444" i="2"/>
  <c r="L498" i="2"/>
  <c r="L257" i="2"/>
  <c r="L301" i="2"/>
  <c r="L327" i="2"/>
  <c r="L270" i="2"/>
  <c r="L432" i="2"/>
  <c r="L443" i="2"/>
  <c r="L490" i="2"/>
  <c r="L318" i="2"/>
  <c r="L347" i="2"/>
  <c r="L344" i="2"/>
  <c r="L348" i="2"/>
  <c r="L263" i="2"/>
  <c r="L304" i="2"/>
  <c r="L485" i="2"/>
  <c r="L306" i="2"/>
  <c r="L360" i="2"/>
  <c r="L273" i="2"/>
  <c r="L460" i="2"/>
  <c r="L388" i="2"/>
  <c r="L262" i="2"/>
  <c r="L428" i="2"/>
  <c r="L495" i="2"/>
  <c r="L454" i="2"/>
  <c r="L477" i="2"/>
  <c r="L451" i="2"/>
  <c r="L237" i="2"/>
  <c r="L355" i="2"/>
  <c r="L393" i="2"/>
  <c r="L341" i="2"/>
  <c r="L346" i="2"/>
  <c r="L378" i="2"/>
  <c r="L357" i="2"/>
  <c r="L480" i="2"/>
  <c r="L412" i="2"/>
  <c r="L440" i="2"/>
  <c r="L429" i="2"/>
  <c r="L239" i="2"/>
  <c r="L332" i="2"/>
  <c r="L362" i="2"/>
  <c r="L373" i="2"/>
  <c r="L246" i="2"/>
  <c r="L300" i="2"/>
  <c r="L272" i="2"/>
  <c r="L405" i="2"/>
  <c r="L433" i="2"/>
  <c r="L307" i="2"/>
  <c r="L278" i="2"/>
  <c r="L275" i="2"/>
  <c r="L258" i="2"/>
  <c r="L353" i="2"/>
  <c r="L482" i="2"/>
  <c r="L284" i="2"/>
  <c r="L266" i="2"/>
  <c r="L238" i="2"/>
  <c r="L369" i="2"/>
  <c r="L400" i="2"/>
  <c r="L245" i="2"/>
  <c r="L493" i="2"/>
  <c r="L293" i="2"/>
  <c r="L385" i="2"/>
  <c r="L497" i="2"/>
  <c r="L316" i="2"/>
  <c r="L416" i="2"/>
  <c r="L367" i="2"/>
  <c r="L351" i="2"/>
  <c r="L296" i="2"/>
  <c r="L462" i="2"/>
  <c r="L229" i="2"/>
  <c r="L372" i="2"/>
  <c r="L277" i="2"/>
  <c r="L292" i="2"/>
  <c r="L291" i="2"/>
  <c r="L437" i="2"/>
  <c r="L387" i="2"/>
  <c r="L337" i="2"/>
  <c r="L227" i="2"/>
  <c r="K4" i="3"/>
  <c r="L434" i="2"/>
  <c r="L420" i="2"/>
  <c r="L492" i="2"/>
  <c r="L483" i="2"/>
  <c r="L461" i="2"/>
  <c r="L276" i="2"/>
  <c r="L370" i="2"/>
  <c r="L309" i="2"/>
  <c r="L418" i="2"/>
  <c r="L392" i="2"/>
  <c r="L241" i="2"/>
  <c r="L464" i="2"/>
  <c r="L374" i="2"/>
  <c r="L453" i="2"/>
  <c r="L472" i="2"/>
  <c r="L476" i="2"/>
  <c r="L371" i="2"/>
  <c r="L406" i="2"/>
  <c r="L294" i="2"/>
  <c r="L394" i="2"/>
  <c r="L281" i="2"/>
  <c r="L459" i="2"/>
  <c r="L404" i="2"/>
  <c r="L361" i="2"/>
  <c r="L322" i="2"/>
  <c r="L427" i="2"/>
  <c r="L471" i="2"/>
  <c r="L256" i="2"/>
  <c r="L317" i="2"/>
  <c r="L426" i="2"/>
  <c r="L413" i="2"/>
  <c r="L356" i="2"/>
  <c r="L282" i="2"/>
  <c r="L384" i="2"/>
  <c r="L331" i="2"/>
  <c r="L340" i="2"/>
  <c r="L376" i="2"/>
  <c r="L285" i="2"/>
  <c r="L409" i="2"/>
  <c r="L268" i="2"/>
  <c r="L230" i="2"/>
  <c r="L330" i="2"/>
  <c r="L312" i="2"/>
  <c r="L456" i="2"/>
  <c r="L430" i="2"/>
  <c r="L325" i="2"/>
  <c r="L417" i="2"/>
  <c r="L240" i="2"/>
  <c r="L366" i="2"/>
  <c r="L466" i="2"/>
  <c r="L448" i="2"/>
  <c r="L438" i="2"/>
  <c r="L315" i="2"/>
  <c r="L423" i="2"/>
  <c r="L422" i="2"/>
  <c r="L235" i="2"/>
  <c r="L279" i="2"/>
  <c r="L499" i="2"/>
  <c r="L358" i="2"/>
  <c r="L311" i="2"/>
  <c r="L489" i="2"/>
  <c r="L302" i="2"/>
  <c r="L402" i="2"/>
  <c r="L390" i="2"/>
  <c r="L381" i="2"/>
  <c r="L290" i="2"/>
  <c r="L399" i="2"/>
  <c r="L274" i="2"/>
  <c r="L375" i="2"/>
  <c r="L363" i="2"/>
  <c r="L407" i="2"/>
  <c r="L264" i="2"/>
  <c r="L328" i="2"/>
  <c r="L289" i="2"/>
  <c r="L248" i="2"/>
  <c r="I27" i="2" l="1"/>
  <c r="J27" i="2" s="1"/>
  <c r="I26" i="2"/>
  <c r="J26" i="2" s="1"/>
  <c r="I34" i="2"/>
  <c r="H34" i="2" s="1"/>
  <c r="I20" i="2"/>
  <c r="I25" i="2"/>
  <c r="I23" i="2"/>
  <c r="I21" i="2"/>
  <c r="I36" i="2"/>
  <c r="I37" i="2"/>
  <c r="J37" i="2" s="1"/>
  <c r="I32" i="2"/>
  <c r="H32" i="2" s="1"/>
  <c r="I22" i="2"/>
  <c r="I31" i="2"/>
  <c r="H31" i="2" s="1"/>
  <c r="I24" i="2"/>
  <c r="I35" i="2"/>
  <c r="I19" i="2"/>
  <c r="I33" i="2"/>
  <c r="H33" i="2" s="1"/>
  <c r="I28" i="2"/>
  <c r="I30" i="2"/>
  <c r="I29" i="2"/>
  <c r="I18" i="2"/>
  <c r="G93" i="2"/>
  <c r="AA4" i="1"/>
  <c r="G94" i="2"/>
  <c r="G95" i="2" s="1"/>
  <c r="D2" i="3"/>
  <c r="H28" i="2" l="1"/>
  <c r="J28" i="2"/>
  <c r="J31" i="2"/>
  <c r="J36" i="2"/>
  <c r="H36" i="2"/>
  <c r="H19" i="2"/>
  <c r="J19" i="2"/>
  <c r="H21" i="2"/>
  <c r="J21" i="2"/>
  <c r="H27" i="2"/>
  <c r="J35" i="2"/>
  <c r="H35" i="2"/>
  <c r="H23" i="2"/>
  <c r="J23" i="2"/>
  <c r="H29" i="2"/>
  <c r="J29" i="2"/>
  <c r="H24" i="2"/>
  <c r="J24" i="2"/>
  <c r="H25" i="2"/>
  <c r="J25" i="2"/>
  <c r="H30" i="2"/>
  <c r="J30" i="2"/>
  <c r="H20" i="2"/>
  <c r="J20" i="2"/>
  <c r="H26" i="2"/>
  <c r="H22" i="2"/>
  <c r="J22" i="2"/>
  <c r="H18" i="2"/>
  <c r="J18" i="2"/>
  <c r="J32" i="2"/>
  <c r="AB4" i="1"/>
  <c r="G96" i="2"/>
  <c r="G97" i="2" s="1"/>
  <c r="T6" i="2" l="1"/>
  <c r="J33" i="2"/>
  <c r="AC4" i="1"/>
  <c r="AC8" i="1"/>
  <c r="AC9" i="1"/>
  <c r="AB8" i="1"/>
  <c r="AB9" i="1"/>
  <c r="AA8" i="1"/>
  <c r="AA9" i="1"/>
  <c r="Y8" i="1"/>
  <c r="Y9" i="1"/>
  <c r="Z8" i="1"/>
  <c r="Z9" i="1"/>
  <c r="X8" i="1"/>
  <c r="X9" i="1"/>
  <c r="W8" i="1"/>
  <c r="W9" i="1"/>
  <c r="G98" i="2"/>
  <c r="J34" i="2"/>
  <c r="Z4" i="1"/>
  <c r="V8" i="1"/>
  <c r="U8" i="1"/>
  <c r="D8" i="1"/>
  <c r="E8" i="1"/>
  <c r="F8" i="1"/>
  <c r="C8" i="1"/>
  <c r="G8" i="1"/>
  <c r="H8" i="1"/>
  <c r="I8" i="1"/>
  <c r="D1" i="3" l="1"/>
  <c r="E9" i="1"/>
  <c r="C9" i="1"/>
  <c r="D9" i="1"/>
  <c r="V9" i="1"/>
  <c r="G9" i="1"/>
  <c r="H9" i="1"/>
  <c r="F9" i="1"/>
  <c r="U9" i="1"/>
  <c r="S6" i="2"/>
  <c r="E27" i="1" s="1"/>
  <c r="E32" i="1" s="1"/>
  <c r="I9" i="1"/>
  <c r="I31" i="1"/>
  <c r="I32" i="1" s="1"/>
  <c r="I4" i="3"/>
  <c r="E31" i="1" l="1"/>
  <c r="E28" i="1"/>
  <c r="F27" i="1"/>
  <c r="G31" i="1"/>
  <c r="G34" i="1" s="1"/>
  <c r="F31" i="1"/>
  <c r="G27" i="1"/>
  <c r="G28" i="1" s="1"/>
  <c r="F28" i="1" l="1"/>
  <c r="E24" i="1"/>
  <c r="F34" i="1"/>
  <c r="G24" i="1"/>
  <c r="E34" i="1"/>
  <c r="H34" i="1" s="1"/>
  <c r="H31" i="1"/>
  <c r="I24" i="1"/>
  <c r="E35" i="1" l="1"/>
  <c r="V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mir</author>
  </authors>
  <commentList>
    <comment ref="R3" authorId="0" shapeId="0" xr:uid="{1BF8A260-9DA2-441C-982F-CA09AAC8843C}">
      <text>
        <r>
          <rPr>
            <sz val="16"/>
            <color indexed="81"/>
            <rFont val="Calibri"/>
            <family val="2"/>
            <scheme val="minor"/>
          </rPr>
          <t xml:space="preserve">Data Import/Export. 
This only backs up the data you´ve entered. 
You´ll need it if you fatfingered your entries or want to update your STAKULATOR.
(Or if Staky Baby crashes.)
</t>
        </r>
      </text>
    </comment>
    <comment ref="S3" authorId="0" shapeId="0" xr:uid="{0D02883E-17A8-4580-96B4-F6B7788DA58B}">
      <text>
        <r>
          <rPr>
            <sz val="16"/>
            <color indexed="81"/>
            <rFont val="Calibri"/>
            <family val="2"/>
            <scheme val="minor"/>
          </rPr>
          <t>CSV or Excel export.
You´ll need it for your tax declaration.</t>
        </r>
      </text>
    </comment>
    <comment ref="E14" authorId="0" shapeId="0" xr:uid="{EA59C358-9E69-4639-BE89-4703562FB556}">
      <text>
        <r>
          <rPr>
            <sz val="16"/>
            <color indexed="81"/>
            <rFont val="Calibri"/>
            <family val="2"/>
            <scheme val="minor"/>
          </rPr>
          <t xml:space="preserve">
</t>
        </r>
        <r>
          <rPr>
            <b/>
            <sz val="16"/>
            <color indexed="81"/>
            <rFont val="Calibri"/>
            <family val="2"/>
            <scheme val="minor"/>
          </rPr>
          <t xml:space="preserve">To get started:
! </t>
        </r>
        <r>
          <rPr>
            <sz val="16"/>
            <color indexed="81"/>
            <rFont val="Calibri"/>
            <family val="2"/>
            <scheme val="minor"/>
          </rPr>
          <t>For full functionality, an internet connection is required (needed for the Load, Reward, and p buttons).
If you want to use the STAKULATOR offline, you can also copy paste the data from the explorer into the
respective fields !
1. Begin with one account.
2. Enter all your staking events by pasting their transaction digests into the white Digest field.
     Make sure to follow the same chronological order as shown in your wallet’s activity view.
3. Click “Load”, then “Send it.”
4. Repeat this process for your other accounts.
5. To continue, check the comment boxes in the dashboard section below.
If requested by your tax authority, please enter "c" here to perform the year end closing (virtual claiming on Dec. 31st)
 and click "Load".
A function to create year-start entries is planned for the 2026 edition.
! Problem with staked vested tokens.
If you enter the digest of staked vested tokens only the reward will be shown correctly in the Staking Event Log — 
not the actual amount! (Don´t worry your tax report isn' t effected by this). 
Also you can always enter the correct amounts from the IOTA explorer after clicking the "Load" button and before clicking "Send it".
And why is that?
Because some things suck and a workaround ain´t worth it 'cos it´s a fading issue.</t>
        </r>
        <r>
          <rPr>
            <b/>
            <sz val="16"/>
            <color indexed="81"/>
            <rFont val="Calibri"/>
            <family val="2"/>
            <scheme val="minor"/>
          </rPr>
          <t xml:space="preserve">
</t>
        </r>
      </text>
    </comment>
    <comment ref="H17" authorId="0" shapeId="0" xr:uid="{8066AB82-02C6-4CDC-9C9E-DAFC1FA546B8}">
      <text>
        <r>
          <rPr>
            <sz val="16"/>
            <color indexed="81"/>
            <rFont val="Calibri"/>
            <family val="2"/>
            <scheme val="minor"/>
          </rPr>
          <t>Entries can only be deleted in the order in which they were entered.</t>
        </r>
      </text>
    </comment>
    <comment ref="I18" authorId="0" shapeId="0" xr:uid="{B997C34F-4D9B-4462-9D66-204C40338090}">
      <text>
        <r>
          <rPr>
            <sz val="16"/>
            <color indexed="81"/>
            <rFont val="Calibri"/>
            <family val="2"/>
            <scheme val="minor"/>
          </rPr>
          <t>To modify past entries:
1. Re-enter the Digest (copy paste). 
2. Click "Load".
3. Make your changes.
4. Click "Send it"
5. Review changes and click OK.
6. Done</t>
        </r>
      </text>
    </comment>
    <comment ref="D20" authorId="0" shapeId="0" xr:uid="{A146445B-30C5-4CAF-9FCC-137E441657E3}">
      <text>
        <r>
          <rPr>
            <sz val="16"/>
            <color indexed="81"/>
            <rFont val="Tahoma"/>
            <family val="2"/>
          </rPr>
          <t>Enter the reward of the date shown to the left for the account below. Your STAKULATOR will guesstimate the rest - 
or (here comes the kicker) click 'Reward' to fetch all life rewards from the IOTA network and then click "Enter".
Remember, you can only access your reward information from the IOTA network for the current epoch.
If you missed one or more epochs just click "-" and your STAKULATOR will "do something".</t>
        </r>
      </text>
    </comment>
    <comment ref="H20" authorId="0" shapeId="0" xr:uid="{2DF75098-6A21-4BFE-93A6-EB824A33C4AE}">
      <text>
        <r>
          <rPr>
            <sz val="16"/>
            <color indexed="81"/>
            <rFont val="Calibri"/>
            <family val="2"/>
            <scheme val="minor"/>
          </rPr>
          <t xml:space="preserve">Enter the amount of not staked tokens to ensure accurate total balance calculation.
</t>
        </r>
      </text>
    </comment>
    <comment ref="I20" authorId="0" shapeId="0" xr:uid="{A5C5C4BE-B408-49DD-9F0A-0E735653B444}">
      <text>
        <r>
          <rPr>
            <sz val="16"/>
            <color indexed="81"/>
            <rFont val="Calibri"/>
            <family val="2"/>
            <scheme val="minor"/>
          </rPr>
          <t>Input your tax rate to enable correct calculation of key metrics like the NCB, BreakEven, NewBE and other tax related metrics.
For all the German girls and bois and theys, there's the “Calc” button, which calculates your tax rate – assuming your Stakulating Rewards are your only taxable income;-)
The calculation is based on the annualized values from the bottom row of the dashboard.</t>
        </r>
      </text>
    </comment>
    <comment ref="C21" authorId="0" shapeId="0" xr:uid="{0BB1C4CF-0AD3-47E0-82B7-9A8F378A50F2}">
      <text>
        <r>
          <rPr>
            <sz val="16"/>
            <color indexed="81"/>
            <rFont val="Calibri"/>
            <family val="2"/>
            <scheme val="minor"/>
          </rPr>
          <t>Every morning a new epoch starts.
Press F9 to refresh.</t>
        </r>
      </text>
    </comment>
    <comment ref="E21" authorId="0" shapeId="0" xr:uid="{5DAF2DBE-FCA9-4355-92F5-C0D66FD7B33A}">
      <text>
        <r>
          <rPr>
            <sz val="16"/>
            <color indexed="81"/>
            <rFont val="Calibri"/>
            <family val="2"/>
            <scheme val="minor"/>
          </rPr>
          <t>Enter your dream and you will see the future.</t>
        </r>
      </text>
    </comment>
    <comment ref="I23" authorId="0" shapeId="0" xr:uid="{B8BCA682-6C91-448B-8E08-FFBB65F7CCC0}">
      <text>
        <r>
          <rPr>
            <b/>
            <sz val="16"/>
            <color indexed="81"/>
            <rFont val="Calibri"/>
            <family val="2"/>
            <scheme val="minor"/>
          </rPr>
          <t>This "p" button does what a "p" button does,
but with one fancy difference:
If the date in the dashboard bar is set to the actual day or to a date in the future, it will show you the current spot price.
If the date is set to a date in the past, it will show you the closing price of that day.
And if you "p" too hard, it will have to cool down for a 1 minute due to the limits of the free CoinGecko API the STAKULATOR uses.</t>
        </r>
        <r>
          <rPr>
            <b/>
            <sz val="9"/>
            <color indexed="81"/>
            <rFont val="Segoe UI"/>
            <family val="2"/>
          </rPr>
          <t xml:space="preserve">
</t>
        </r>
      </text>
    </comment>
    <comment ref="E24" authorId="0" shapeId="0" xr:uid="{1971BE10-9A0C-47D4-8647-A60E3AA7A3A2}">
      <text>
        <r>
          <rPr>
            <sz val="16"/>
            <color indexed="81"/>
            <rFont val="Calibri"/>
            <family val="2"/>
          </rPr>
          <t>The Net Claiming Benefit (NCB) calculates the net value of your rewards (claimed + unclaimed, after taxes) and compares it to the hypothetical value you would have had without claiming. 
It accounts for epoch loss, the token price at the time of claiming, and the token price at the current evaluation date.</t>
        </r>
      </text>
    </comment>
    <comment ref="F24" authorId="0" shapeId="0" xr:uid="{B964E9A7-CCBC-4DD5-A032-D6B920B03D07}">
      <text>
        <r>
          <rPr>
            <sz val="16"/>
            <color indexed="81"/>
            <rFont val="Calibri"/>
            <family val="2"/>
          </rPr>
          <t>This is the token price at which the NCB turns positive — meaning your previous claiming events become profitable.</t>
        </r>
      </text>
    </comment>
    <comment ref="G24" authorId="0" shapeId="0" xr:uid="{834117E3-E66F-4920-9987-269CD718A776}">
      <text>
        <r>
          <rPr>
            <sz val="16"/>
            <color indexed="81"/>
            <rFont val="Calibri"/>
            <family val="2"/>
          </rPr>
          <t>If you´re planning to claim all your staked tokens from all your accounts now, the NewBE is your friend. He shows your new Break Even.
The calculation assumes that only one epoch is missed and the tokens are restaked before the next epoch starts.</t>
        </r>
      </text>
    </comment>
    <comment ref="H24" authorId="0" shapeId="0" xr:uid="{D851462F-9AAC-43E0-8EE6-58CA924B8C65}">
      <text>
        <r>
          <rPr>
            <sz val="16"/>
            <color indexed="81"/>
            <rFont val="Calibri"/>
            <family val="2"/>
          </rPr>
          <t>Focusing only on the future? Then the BE Diff is key — it shows you how much the price must rise to make your next claiming of all staked tokens profitable.</t>
        </r>
      </text>
    </comment>
    <comment ref="I24" authorId="0" shapeId="0" xr:uid="{2C00C99D-F47D-4D4C-A30A-BB196EB1861E}">
      <text>
        <r>
          <rPr>
            <sz val="16"/>
            <color indexed="81"/>
            <rFont val="Calibri"/>
            <family val="2"/>
          </rPr>
          <t>The Accumulated Tax Rate calculates your effective tax rate assuming the year ends today, based on the current token price.
It accounts for epoch loss, the token price at the time of your claiming events, and the token price at the current evaluation date.</t>
        </r>
      </text>
    </comment>
    <comment ref="E27" authorId="0" shapeId="0" xr:uid="{FF92F3B9-A9FB-49A1-B9CF-7EAE3305C53A}">
      <text>
        <r>
          <rPr>
            <sz val="16"/>
            <color indexed="81"/>
            <rFont val="Calibri"/>
            <family val="2"/>
          </rPr>
          <t>Total daily rewards.</t>
        </r>
      </text>
    </comment>
    <comment ref="F27" authorId="0" shapeId="0" xr:uid="{B52EF6DB-5C37-4BBD-B1D6-BB5053D10691}">
      <text>
        <r>
          <rPr>
            <sz val="16"/>
            <color indexed="81"/>
            <rFont val="Calibri"/>
            <family val="2"/>
          </rPr>
          <t>Total rewards and...</t>
        </r>
      </text>
    </comment>
    <comment ref="G27" authorId="0" shapeId="0" xr:uid="{2353EE3C-64F8-41FD-B911-922FAD99F671}">
      <text>
        <r>
          <rPr>
            <sz val="16"/>
            <color indexed="81"/>
            <rFont val="Calibri"/>
            <family val="2"/>
          </rPr>
          <t>It is what it is.</t>
        </r>
      </text>
    </comment>
    <comment ref="H27" authorId="0" shapeId="0" xr:uid="{E7CD0DEC-0EB5-4A38-85E6-0B55FB145CD8}">
      <text>
        <r>
          <rPr>
            <sz val="16"/>
            <color indexed="81"/>
            <rFont val="Calibri"/>
            <family val="2"/>
          </rPr>
          <t>Annual Percentage Yield.</t>
        </r>
        <r>
          <rPr>
            <b/>
            <sz val="16"/>
            <color indexed="81"/>
            <rFont val="Calibri"/>
            <family val="2"/>
          </rPr>
          <t xml:space="preserve">
</t>
        </r>
      </text>
    </comment>
    <comment ref="I27" authorId="0" shapeId="0" xr:uid="{D0E8683B-66D9-407B-A8F4-840B3DB77AE5}">
      <text>
        <r>
          <rPr>
            <sz val="16"/>
            <color indexed="81"/>
            <rFont val="Calibri"/>
            <family val="2"/>
          </rPr>
          <t>You´re doing the right thing!</t>
        </r>
      </text>
    </comment>
    <comment ref="F28" authorId="0" shapeId="0" xr:uid="{0849E427-B05F-486E-B4ED-8E450ACE8CA5}">
      <text>
        <r>
          <rPr>
            <sz val="16"/>
            <color indexed="81"/>
            <rFont val="Calibri"/>
            <family val="2"/>
            <scheme val="minor"/>
          </rPr>
          <t>... their EUR value.</t>
        </r>
      </text>
    </comment>
    <comment ref="I28" authorId="0" shapeId="0" xr:uid="{F456BEA1-526A-466A-805A-CB76E0BF90F2}">
      <text>
        <r>
          <rPr>
            <sz val="16"/>
            <color indexed="81"/>
            <rFont val="Calibri"/>
            <family val="2"/>
            <scheme val="minor"/>
          </rPr>
          <t>Total Epoch Loss.
The number of tokens from epochs missed due to claiming.
Green: You made profits with claiming.
Yellow: You saved taxes, but lost more from Epoch Loss.
Red: Rekt.</t>
        </r>
      </text>
    </comment>
    <comment ref="I29" authorId="0" shapeId="0" xr:uid="{85AA34E5-C0AF-4D00-89C6-8E577601B0AD}">
      <text>
        <r>
          <rPr>
            <sz val="16"/>
            <color indexed="81"/>
            <rFont val="Calibri"/>
            <family val="2"/>
            <scheme val="minor"/>
          </rPr>
          <t xml:space="preserve">TEL EUR Value.
</t>
        </r>
      </text>
    </comment>
    <comment ref="E31" authorId="0" shapeId="0" xr:uid="{0E707D29-31AD-4E21-AEF4-48C7E45B8D2C}">
      <text>
        <r>
          <rPr>
            <sz val="16"/>
            <color indexed="81"/>
            <rFont val="Calibri"/>
            <family val="2"/>
          </rPr>
          <t>Monthly</t>
        </r>
      </text>
    </comment>
    <comment ref="F31" authorId="0" shapeId="0" xr:uid="{3013EEE2-8D38-4BC2-BA51-AB1E8B81C34F}">
      <text>
        <r>
          <rPr>
            <sz val="16"/>
            <color indexed="81"/>
            <rFont val="Calibri"/>
            <family val="2"/>
          </rPr>
          <t>Taxable profit = claimed tokens (at claim price) + unclaimed tokens (at current price).</t>
        </r>
      </text>
    </comment>
    <comment ref="G31" authorId="0" shapeId="0" xr:uid="{3509DE4E-CFF1-4796-8716-7B1597F73A7A}">
      <text>
        <r>
          <rPr>
            <sz val="16"/>
            <color indexed="81"/>
            <rFont val="Calibri"/>
            <family val="2"/>
          </rPr>
          <t>Total tax liability as of today if staking ends now.</t>
        </r>
      </text>
    </comment>
    <comment ref="H31" authorId="0" shapeId="0" xr:uid="{97BBA100-1F42-4F9A-B711-4233577A262D}">
      <text>
        <r>
          <rPr>
            <sz val="16"/>
            <color indexed="81"/>
            <rFont val="Calibri"/>
            <family val="2"/>
          </rPr>
          <t>There’s no such thing as free IOTAs. Well… almost. For your staked IOTAs, the only thing you pay is the tax. That tax, divided by your rewards, gives you the Accumulated IOTA Price.</t>
        </r>
        <r>
          <rPr>
            <b/>
            <sz val="10"/>
            <color indexed="81"/>
            <rFont val="Calibri"/>
            <family val="2"/>
          </rPr>
          <t xml:space="preserve">
</t>
        </r>
      </text>
    </comment>
    <comment ref="I31" authorId="0" shapeId="0" xr:uid="{CD9D7E24-842A-4D49-BF72-896B7105584E}">
      <text>
        <r>
          <rPr>
            <sz val="16"/>
            <color indexed="81"/>
            <rFont val="Calibri"/>
            <family val="2"/>
          </rPr>
          <t>If the gray dashed line is below the white dashed line, claiming your unclaimed tokens now will lower your BreakEven.</t>
        </r>
      </text>
    </comment>
    <comment ref="E34" authorId="0" shapeId="0" xr:uid="{71E2A558-B814-488E-9F24-F3F64DE2235B}">
      <text>
        <r>
          <rPr>
            <sz val="16"/>
            <color indexed="81"/>
            <rFont val="Calibri"/>
            <family val="2"/>
          </rPr>
          <t>Projected rewards for the full year at current APY.</t>
        </r>
      </text>
    </comment>
    <comment ref="F34" authorId="0" shapeId="0" xr:uid="{5CCDD870-7590-4C95-BDAB-73A1BACAADBB}">
      <text>
        <r>
          <rPr>
            <sz val="16"/>
            <color indexed="81"/>
            <rFont val="Calibri"/>
            <family val="2"/>
          </rPr>
          <t>Projected taxable profit for the full current year, based on current APY and year-end price.</t>
        </r>
      </text>
    </comment>
    <comment ref="G34" authorId="0" shapeId="0" xr:uid="{14B77D7A-4F45-41EA-AA1D-5AF19018D535}">
      <text>
        <r>
          <rPr>
            <sz val="16"/>
            <color indexed="81"/>
            <rFont val="Calibri"/>
            <family val="2"/>
          </rPr>
          <t>Projected tax burden for the full current year, based on current values, assuming constant APY and current price at year-end.</t>
        </r>
      </text>
    </comment>
    <comment ref="H34" authorId="0" shapeId="0" xr:uid="{81EE0641-F05A-4AE0-AAC4-11EF6F5F0A99}">
      <text>
        <r>
          <rPr>
            <sz val="16"/>
            <color indexed="81"/>
            <rFont val="Calibri"/>
            <family val="2"/>
            <scheme val="minor"/>
          </rPr>
          <t>If you,ve STAKULATED well this will be below your tax rate.</t>
        </r>
      </text>
    </comment>
    <comment ref="I34" authorId="0" shapeId="0" xr:uid="{1BD9456C-121F-47C5-8C0A-1C38E2DF277E}">
      <text>
        <r>
          <rPr>
            <sz val="16"/>
            <color indexed="81"/>
            <rFont val="Calibri"/>
            <family val="2"/>
            <scheme val="minor"/>
          </rPr>
          <t>Days until we hit $4.</t>
        </r>
      </text>
    </comment>
    <comment ref="E35" authorId="0" shapeId="0" xr:uid="{09C82050-7370-4C4B-97D5-3C7416A40417}">
      <text>
        <r>
          <rPr>
            <sz val="16"/>
            <color indexed="81"/>
            <rFont val="Calibri"/>
            <family val="2"/>
            <scheme val="minor"/>
          </rPr>
          <t>Yet to fly  this year.</t>
        </r>
      </text>
    </comment>
    <comment ref="C36" authorId="0" shapeId="0" xr:uid="{23052E0E-6C93-446A-B149-39092BB98960}">
      <text>
        <r>
          <rPr>
            <b/>
            <sz val="16"/>
            <color indexed="81"/>
            <rFont val="Calibri"/>
            <family val="2"/>
            <scheme val="minor"/>
          </rPr>
          <t>If you enjoyed STAKULATING and want to say thank you but not sure how – just use this address :-)
Thank you!</t>
        </r>
      </text>
    </comment>
    <comment ref="D70" authorId="0" shapeId="0" xr:uid="{D1C3F406-99F6-4032-9AC7-64E4D5EC8E29}">
      <text>
        <r>
          <rPr>
            <sz val="16"/>
            <color indexed="81"/>
            <rFont val="Calibri"/>
            <family val="2"/>
            <scheme val="minor"/>
          </rPr>
          <t>If you unstake your main account with the largest balance for only one day, this line will smooth out that day.
It just looks better!!</t>
        </r>
      </text>
    </comment>
    <comment ref="D71" authorId="0" shapeId="0" xr:uid="{603C9B85-82B6-4F7F-A7EE-010C560067FC}">
      <text>
        <r>
          <rPr>
            <sz val="16"/>
            <color indexed="81"/>
            <rFont val="Calibri"/>
            <family val="2"/>
            <scheme val="minor"/>
          </rPr>
          <t>The APY line shows the development of the APY over time. The curve is not scaled. It starts at the beginning of the year with the same value as the reward and is intended purely for visual illustration. The differences from the yellow curve, “Daily Total Rewards,” are caused by changes in the staked balance and by the auto-compounding effect.</t>
        </r>
      </text>
    </comment>
  </commentList>
</comments>
</file>

<file path=xl/sharedStrings.xml><?xml version="1.0" encoding="utf-8"?>
<sst xmlns="http://schemas.openxmlformats.org/spreadsheetml/2006/main" count="117" uniqueCount="77">
  <si>
    <t>APY</t>
  </si>
  <si>
    <t>Tax</t>
  </si>
  <si>
    <t>Staked</t>
  </si>
  <si>
    <t>ratio</t>
  </si>
  <si>
    <t>proxy</t>
  </si>
  <si>
    <t>Claimed</t>
  </si>
  <si>
    <t>Uncl.</t>
  </si>
  <si>
    <t>account</t>
  </si>
  <si>
    <t>adpy</t>
  </si>
  <si>
    <t>count-</t>
  </si>
  <si>
    <t>Account</t>
  </si>
  <si>
    <t>open claim</t>
  </si>
  <si>
    <t>open stake</t>
  </si>
  <si>
    <t>Digest</t>
  </si>
  <si>
    <t xml:space="preserve"> </t>
  </si>
  <si>
    <t>Gas Fee</t>
  </si>
  <si>
    <t>Staking Event</t>
  </si>
  <si>
    <t>Fee</t>
  </si>
  <si>
    <t>Price (€)</t>
  </si>
  <si>
    <t>Reward</t>
  </si>
  <si>
    <t>Epoch</t>
  </si>
  <si>
    <t>Year</t>
  </si>
  <si>
    <t>Daily</t>
  </si>
  <si>
    <t>Total Rewards</t>
  </si>
  <si>
    <t>Total Balance</t>
  </si>
  <si>
    <t>Total Stake</t>
  </si>
  <si>
    <t>Monthly</t>
  </si>
  <si>
    <t>Taxable Profit</t>
  </si>
  <si>
    <t>Unclaimed</t>
  </si>
  <si>
    <t>Days to EOY</t>
  </si>
  <si>
    <t>Date</t>
  </si>
  <si>
    <t>Time</t>
  </si>
  <si>
    <t>Price</t>
  </si>
  <si>
    <t>Days</t>
  </si>
  <si>
    <t>EL</t>
  </si>
  <si>
    <t>TEL:</t>
  </si>
  <si>
    <t>Name</t>
  </si>
  <si>
    <t>Address</t>
  </si>
  <si>
    <t>TaxProfit (€)</t>
  </si>
  <si>
    <t>Tax Rate</t>
  </si>
  <si>
    <t>Not staked</t>
  </si>
  <si>
    <t>urow</t>
  </si>
  <si>
    <t>Taxable Profit (Year)</t>
  </si>
  <si>
    <t>Tax (Year)</t>
  </si>
  <si>
    <t>early</t>
  </si>
  <si>
    <t>row</t>
  </si>
  <si>
    <t>BE</t>
  </si>
  <si>
    <t>newBE</t>
  </si>
  <si>
    <t>EUR</t>
  </si>
  <si>
    <t>BE diff</t>
  </si>
  <si>
    <t>NCB</t>
  </si>
  <si>
    <t>BE Diff.</t>
  </si>
  <si>
    <t>daily proxy</t>
  </si>
  <si>
    <t>daily total</t>
  </si>
  <si>
    <t>Chart APY</t>
  </si>
  <si>
    <t>Chart Reward</t>
  </si>
  <si>
    <t>staked total</t>
  </si>
  <si>
    <t>Claimed total</t>
  </si>
  <si>
    <t>Tax Profit total</t>
  </si>
  <si>
    <t>unclaimed total</t>
  </si>
  <si>
    <t>NewBE  (€)</t>
  </si>
  <si>
    <t>Break Even (BE)  (€)</t>
  </si>
  <si>
    <t>Amount</t>
  </si>
  <si>
    <r>
      <rPr>
        <b/>
        <sz val="12"/>
        <color theme="0"/>
        <rFont val="Bahnschrift SemiBold"/>
        <family val="2"/>
      </rPr>
      <t>(</t>
    </r>
    <r>
      <rPr>
        <b/>
        <sz val="12"/>
        <color indexed="55"/>
        <rFont val="Bahnschrift SemiBold"/>
        <family val="2"/>
      </rPr>
      <t>- - - - -</t>
    </r>
    <r>
      <rPr>
        <b/>
        <sz val="12"/>
        <color theme="0"/>
        <rFont val="Bahnschrift SemiBold"/>
        <family val="2"/>
      </rPr>
      <t>) - - - - -</t>
    </r>
    <r>
      <rPr>
        <b/>
        <sz val="12"/>
        <rFont val="Bahnschrift SemiBold"/>
        <family val="2"/>
      </rPr>
      <t xml:space="preserve"> </t>
    </r>
  </si>
  <si>
    <t>reward colomn</t>
  </si>
  <si>
    <t>UTC</t>
  </si>
  <si>
    <t>0xc88d63f939c58b733ea6666e1675878e9556479ab4963957afc1d26284517401</t>
  </si>
  <si>
    <t>Acc. €/IOTA</t>
  </si>
  <si>
    <t>Acc Tax Rate (Year)</t>
  </si>
  <si>
    <t>Acc Tax Rate</t>
  </si>
  <si>
    <t>Stake</t>
  </si>
  <si>
    <t xml:space="preserve">            Staking Event Log</t>
  </si>
  <si>
    <t>Epoch/Date</t>
  </si>
  <si>
    <t/>
  </si>
  <si>
    <t>(New)BE</t>
  </si>
  <si>
    <t>Daily Total Rewards</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</si>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</sst>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7" formatCode="#,##0.00\ &quot;€&quot;;\-#,##0.00\ &quot;€&quot;"/>
    <numFmt numFmtId="164" formatCode="0.0000"/>
    <numFmt numFmtId="165" formatCode="0.0"/>
    <numFmt numFmtId="166" formatCode="#,##0.00\ &quot;€&quot;"/>
    <numFmt numFmtId="167" formatCode="#,##0.0"/>
    <numFmt numFmtId="168" formatCode="d/m/yy;@"/>
    <numFmt numFmtId="169" formatCode="#,##0.0000\ &quot;€&quot;"/>
    <numFmt numFmtId="170" formatCode="dd/mm/yy;@"/>
    <numFmt numFmtId="171" formatCode="0.0000000000"/>
    <numFmt numFmtId="172" formatCode="#,##0.0000\ _€"/>
    <numFmt numFmtId="173" formatCode="0.0000000"/>
    <numFmt numFmtId="174" formatCode="dd\.mm\.yy"/>
    <numFmt numFmtId="175" formatCode="[$-F400]h:mm:ss\ AM/PM"/>
    <numFmt numFmtId="176" formatCode="0.000000"/>
    <numFmt numFmtId="177" formatCode="0.00\ &quot;ct&quot;"/>
    <numFmt numFmtId="178" formatCode="#,##0.0000"/>
  </numFmts>
  <fonts count="162" x14ac:knownFonts="1">
    <font>
      <sz val="10"/>
      <name val="Arial"/>
      <family val="2"/>
    </font>
    <font>
      <sz val="11"/>
      <color theme="1"/>
      <name val="Calibri"/>
      <family val="2"/>
      <scheme val="minor"/>
    </font>
    <font>
      <sz val="11"/>
      <color theme="1"/>
      <name val="Calibri"/>
      <family val="2"/>
      <scheme val="minor"/>
    </font>
    <font>
      <b/>
      <sz val="14"/>
      <color indexed="8"/>
      <name val="Calibri"/>
      <family val="2"/>
      <charset val="1"/>
    </font>
    <font>
      <sz val="11"/>
      <name val="Calibri"/>
      <family val="2"/>
      <charset val="1"/>
    </font>
    <font>
      <b/>
      <sz val="11"/>
      <name val="Calibri"/>
      <family val="2"/>
    </font>
    <font>
      <b/>
      <sz val="12"/>
      <name val="Calibri"/>
      <family val="2"/>
      <charset val="1"/>
    </font>
    <font>
      <b/>
      <sz val="10"/>
      <color indexed="81"/>
      <name val="Calibri"/>
      <family val="2"/>
    </font>
    <font>
      <b/>
      <sz val="12"/>
      <name val="Bahnschrift SemiBold"/>
      <family val="2"/>
    </font>
    <font>
      <sz val="12"/>
      <name val="Calibri"/>
      <family val="2"/>
      <charset val="1"/>
    </font>
    <font>
      <b/>
      <sz val="12"/>
      <color indexed="55"/>
      <name val="Bahnschrift SemiBold"/>
      <family val="2"/>
    </font>
    <font>
      <b/>
      <sz val="11"/>
      <color indexed="8"/>
      <name val="Calibri"/>
      <family val="2"/>
    </font>
    <font>
      <sz val="11"/>
      <color theme="1"/>
      <name val="Calibri"/>
      <family val="2"/>
      <charset val="1"/>
    </font>
    <font>
      <b/>
      <sz val="11"/>
      <color theme="1"/>
      <name val="Calibri"/>
      <family val="2"/>
    </font>
    <font>
      <b/>
      <sz val="16"/>
      <color theme="1"/>
      <name val="Calibri"/>
      <family val="2"/>
    </font>
    <font>
      <b/>
      <sz val="14"/>
      <color theme="1"/>
      <name val="Calibri"/>
      <family val="2"/>
    </font>
    <font>
      <sz val="11"/>
      <color theme="1"/>
      <name val="Calibri"/>
      <family val="2"/>
    </font>
    <font>
      <sz val="11"/>
      <name val="Calibri"/>
      <family val="2"/>
      <scheme val="minor"/>
    </font>
    <font>
      <b/>
      <sz val="11"/>
      <name val="Calibri"/>
      <family val="2"/>
      <scheme val="minor"/>
    </font>
    <font>
      <sz val="12"/>
      <color theme="1"/>
      <name val="Calibri"/>
      <family val="2"/>
    </font>
    <font>
      <b/>
      <sz val="12"/>
      <color theme="1"/>
      <name val="Calibri"/>
      <family val="2"/>
      <scheme val="minor"/>
    </font>
    <font>
      <b/>
      <sz val="14"/>
      <color theme="1"/>
      <name val="Calibri"/>
      <family val="2"/>
      <charset val="1"/>
    </font>
    <font>
      <b/>
      <sz val="14"/>
      <color theme="1"/>
      <name val="Arial"/>
      <family val="2"/>
    </font>
    <font>
      <b/>
      <sz val="16"/>
      <color rgb="FF000000"/>
      <name val="Arial"/>
      <family val="2"/>
    </font>
    <font>
      <sz val="11"/>
      <color theme="0"/>
      <name val="Calibri"/>
      <family val="2"/>
      <scheme val="minor"/>
    </font>
    <font>
      <b/>
      <sz val="14"/>
      <name val="Calibri"/>
      <family val="2"/>
      <scheme val="minor"/>
    </font>
    <font>
      <b/>
      <sz val="26"/>
      <color theme="0"/>
      <name val="Calibri"/>
      <family val="2"/>
      <scheme val="minor"/>
    </font>
    <font>
      <b/>
      <sz val="26"/>
      <color theme="6" tint="0.79998168889431442"/>
      <name val="Calibri"/>
      <family val="2"/>
      <scheme val="minor"/>
    </font>
    <font>
      <b/>
      <sz val="14"/>
      <color theme="0"/>
      <name val="Calibri"/>
      <family val="2"/>
      <scheme val="minor"/>
    </font>
    <font>
      <b/>
      <sz val="12"/>
      <name val="Arial"/>
      <family val="2"/>
    </font>
    <font>
      <sz val="18"/>
      <color theme="0"/>
      <name val="Calibri"/>
      <family val="2"/>
      <scheme val="minor"/>
    </font>
    <font>
      <b/>
      <sz val="20"/>
      <color theme="0"/>
      <name val="Calibri"/>
      <family val="2"/>
      <scheme val="minor"/>
    </font>
    <font>
      <b/>
      <sz val="24"/>
      <color theme="0"/>
      <name val="Calibri"/>
      <family val="2"/>
      <scheme val="minor"/>
    </font>
    <font>
      <sz val="14"/>
      <color theme="8" tint="-0.249977111117893"/>
      <name val="Calibri"/>
      <family val="2"/>
      <scheme val="minor"/>
    </font>
    <font>
      <sz val="14"/>
      <color theme="8" tint="0.79998168889431442"/>
      <name val="Calibri"/>
      <family val="2"/>
      <charset val="1"/>
    </font>
    <font>
      <sz val="16"/>
      <color theme="8" tint="-0.249977111117893"/>
      <name val="Calibri"/>
      <family val="2"/>
      <scheme val="minor"/>
    </font>
    <font>
      <b/>
      <sz val="24"/>
      <color theme="0" tint="-0.14999847407452621"/>
      <name val="Calibri"/>
      <family val="2"/>
      <scheme val="minor"/>
    </font>
    <font>
      <b/>
      <sz val="16"/>
      <color theme="0" tint="-0.14999847407452621"/>
      <name val="Calibri"/>
      <family val="2"/>
      <scheme val="minor"/>
    </font>
    <font>
      <sz val="11"/>
      <color theme="0" tint="-0.14999847407452621"/>
      <name val="Calibri"/>
      <family val="2"/>
      <scheme val="minor"/>
    </font>
    <font>
      <b/>
      <sz val="11"/>
      <color theme="0" tint="-0.14999847407452621"/>
      <name val="Calibri"/>
      <family val="2"/>
      <scheme val="minor"/>
    </font>
    <font>
      <b/>
      <sz val="22"/>
      <color theme="0" tint="-0.14999847407452621"/>
      <name val="Calibri"/>
      <family val="2"/>
      <scheme val="minor"/>
    </font>
    <font>
      <sz val="18"/>
      <color rgb="FF000000"/>
      <name val="Arial"/>
      <family val="2"/>
    </font>
    <font>
      <b/>
      <sz val="20"/>
      <color rgb="FF000000"/>
      <name val="Calibri"/>
      <family val="2"/>
    </font>
    <font>
      <b/>
      <sz val="22"/>
      <color theme="1" tint="0.249977111117893"/>
      <name val="Calibri"/>
      <family val="2"/>
      <scheme val="minor"/>
    </font>
    <font>
      <b/>
      <sz val="22"/>
      <color theme="0" tint="-0.249977111117893"/>
      <name val="Calibri"/>
      <family val="2"/>
      <scheme val="minor"/>
    </font>
    <font>
      <b/>
      <sz val="36"/>
      <color rgb="FF000000"/>
      <name val="Wingdings 2"/>
      <family val="1"/>
      <charset val="2"/>
    </font>
    <font>
      <sz val="20"/>
      <color theme="4" tint="0.59999389629810485"/>
      <name val="Calibri"/>
      <family val="2"/>
      <scheme val="minor"/>
    </font>
    <font>
      <sz val="16"/>
      <color theme="4" tint="0.59999389629810485"/>
      <name val="Calibri"/>
      <family val="2"/>
      <scheme val="minor"/>
    </font>
    <font>
      <i/>
      <sz val="12"/>
      <color rgb="FFC00000"/>
      <name val="Calibri"/>
      <family val="2"/>
      <scheme val="minor"/>
    </font>
    <font>
      <b/>
      <i/>
      <sz val="16"/>
      <color rgb="FFC00000"/>
      <name val="Calibri"/>
      <family val="2"/>
      <scheme val="minor"/>
    </font>
    <font>
      <b/>
      <sz val="24"/>
      <color rgb="FF000000"/>
      <name val="Calibri"/>
      <family val="2"/>
    </font>
    <font>
      <b/>
      <sz val="24"/>
      <color rgb="FF000000"/>
      <name val="Calibri"/>
      <family val="2"/>
      <scheme val="minor"/>
    </font>
    <font>
      <sz val="11"/>
      <color rgb="FFDDD9C4"/>
      <name val="Calibri"/>
      <family val="2"/>
      <scheme val="minor"/>
    </font>
    <font>
      <sz val="26"/>
      <color rgb="FF000000"/>
      <name val="Calibri"/>
      <family val="2"/>
      <scheme val="minor"/>
    </font>
    <font>
      <sz val="11"/>
      <color rgb="FF000000"/>
      <name val="Calibri"/>
      <family val="2"/>
      <scheme val="minor"/>
    </font>
    <font>
      <sz val="11"/>
      <color rgb="FF000000"/>
      <name val="Calibri"/>
      <family val="2"/>
    </font>
    <font>
      <b/>
      <sz val="14"/>
      <color theme="8" tint="0.79998168889431442"/>
      <name val="Calibri"/>
      <family val="2"/>
      <charset val="1"/>
    </font>
    <font>
      <sz val="10"/>
      <color theme="8" tint="0.79998168889431442"/>
      <name val="Arial"/>
      <family val="2"/>
    </font>
    <font>
      <sz val="11"/>
      <name val="Calibri"/>
      <family val="2"/>
    </font>
    <font>
      <sz val="11"/>
      <name val="Arial"/>
      <family val="2"/>
    </font>
    <font>
      <b/>
      <sz val="27"/>
      <color rgb="FF000000"/>
      <name val="Calibri"/>
      <family val="2"/>
      <scheme val="minor"/>
    </font>
    <font>
      <sz val="28"/>
      <color rgb="FF000000"/>
      <name val="Arial"/>
      <family val="2"/>
    </font>
    <font>
      <b/>
      <i/>
      <sz val="18"/>
      <color theme="1" tint="0.34998626667073579"/>
      <name val="Calibri"/>
      <family val="2"/>
      <scheme val="minor"/>
    </font>
    <font>
      <b/>
      <sz val="24"/>
      <color rgb="FF000000"/>
      <name val="Segoe MDL2 Assets"/>
      <family val="1"/>
    </font>
    <font>
      <b/>
      <sz val="20"/>
      <color theme="8" tint="0.79998168889431442"/>
      <name val="Arial"/>
      <family val="2"/>
    </font>
    <font>
      <sz val="20"/>
      <color rgb="FFFFFFFF"/>
      <name val="Calibri"/>
      <family val="2"/>
      <scheme val="minor"/>
    </font>
    <font>
      <sz val="20"/>
      <color theme="0"/>
      <name val="Arial"/>
      <family val="2"/>
    </font>
    <font>
      <sz val="14"/>
      <color theme="8" tint="0.39997558519241921"/>
      <name val="Calibri"/>
      <family val="2"/>
      <scheme val="minor"/>
    </font>
    <font>
      <b/>
      <sz val="20"/>
      <color theme="0" tint="-0.249977111117893"/>
      <name val="Calibri"/>
      <family val="2"/>
      <scheme val="minor"/>
    </font>
    <font>
      <b/>
      <sz val="16"/>
      <color theme="0" tint="-0.249977111117893"/>
      <name val="Calibri"/>
      <family val="2"/>
      <scheme val="minor"/>
    </font>
    <font>
      <sz val="11"/>
      <color theme="0" tint="-0.249977111117893"/>
      <name val="Calibri"/>
      <family val="2"/>
      <scheme val="minor"/>
    </font>
    <font>
      <b/>
      <sz val="14"/>
      <color theme="0"/>
      <name val="Calibri"/>
      <family val="2"/>
    </font>
    <font>
      <b/>
      <sz val="16"/>
      <color theme="0"/>
      <name val="Calibri"/>
      <family val="2"/>
    </font>
    <font>
      <sz val="10"/>
      <color theme="0"/>
      <name val="Arial"/>
      <family val="2"/>
    </font>
    <font>
      <b/>
      <sz val="16"/>
      <color rgb="FFFF0000"/>
      <name val="Calibri"/>
      <family val="2"/>
      <scheme val="minor"/>
    </font>
    <font>
      <sz val="11"/>
      <color theme="0"/>
      <name val="Calibri"/>
      <family val="2"/>
      <charset val="1"/>
    </font>
    <font>
      <b/>
      <sz val="14"/>
      <color theme="8" tint="0.79998168889431442"/>
      <name val="Calibri"/>
      <family val="2"/>
      <scheme val="minor"/>
    </font>
    <font>
      <sz val="14"/>
      <color theme="0"/>
      <name val="Calibri"/>
      <family val="2"/>
      <charset val="1"/>
    </font>
    <font>
      <b/>
      <sz val="14"/>
      <color theme="0"/>
      <name val="Arial"/>
      <family val="2"/>
    </font>
    <font>
      <sz val="14"/>
      <color theme="0"/>
      <name val="Calibri"/>
      <family val="2"/>
      <scheme val="minor"/>
    </font>
    <font>
      <sz val="10"/>
      <color rgb="FF000000"/>
      <name val="Arial"/>
      <family val="2"/>
    </font>
    <font>
      <b/>
      <sz val="20"/>
      <color theme="9" tint="-0.249977111117893"/>
      <name val="Calibri"/>
      <family val="2"/>
      <scheme val="minor"/>
    </font>
    <font>
      <b/>
      <sz val="18"/>
      <color rgb="FF000000"/>
      <name val="Calibri"/>
      <family val="2"/>
    </font>
    <font>
      <b/>
      <sz val="24"/>
      <color rgb="FFD9D9D9"/>
      <name val="Calibri"/>
      <family val="2"/>
      <scheme val="minor"/>
    </font>
    <font>
      <b/>
      <i/>
      <sz val="28"/>
      <color theme="5" tint="-0.499984740745262"/>
      <name val="Calibri"/>
      <family val="2"/>
      <scheme val="minor"/>
    </font>
    <font>
      <sz val="14"/>
      <color theme="1" tint="0.249977111117893"/>
      <name val="Calibri"/>
      <family val="2"/>
      <scheme val="minor"/>
    </font>
    <font>
      <sz val="16"/>
      <color theme="0" tint="-0.249977111117893"/>
      <name val="Arial"/>
      <family val="2"/>
    </font>
    <font>
      <sz val="16"/>
      <color theme="0"/>
      <name val="Calibri"/>
      <family val="2"/>
      <scheme val="minor"/>
    </font>
    <font>
      <b/>
      <sz val="14"/>
      <color theme="8" tint="-0.249977111117893"/>
      <name val="Calibri"/>
      <family val="2"/>
      <scheme val="minor"/>
    </font>
    <font>
      <sz val="20"/>
      <color theme="0" tint="-4.9989318521683403E-2"/>
      <name val="Calibri"/>
      <family val="2"/>
      <scheme val="minor"/>
    </font>
    <font>
      <b/>
      <sz val="16"/>
      <color indexed="81"/>
      <name val="Calibri"/>
      <family val="2"/>
      <scheme val="minor"/>
    </font>
    <font>
      <sz val="16"/>
      <color indexed="81"/>
      <name val="Calibri"/>
      <family val="2"/>
      <scheme val="minor"/>
    </font>
    <font>
      <b/>
      <sz val="16"/>
      <color theme="1"/>
      <name val="Calibri"/>
      <family val="2"/>
      <scheme val="minor"/>
    </font>
    <font>
      <b/>
      <sz val="22"/>
      <color theme="0" tint="-0.34998626667073579"/>
      <name val="Calibri"/>
      <family val="2"/>
      <scheme val="minor"/>
    </font>
    <font>
      <b/>
      <sz val="22"/>
      <color theme="1" tint="0.34998626667073579"/>
      <name val="Calibri"/>
      <family val="2"/>
      <scheme val="minor"/>
    </font>
    <font>
      <b/>
      <sz val="22"/>
      <color theme="1" tint="0.14999847407452621"/>
      <name val="Calibri"/>
      <family val="2"/>
      <scheme val="minor"/>
    </font>
    <font>
      <b/>
      <sz val="22"/>
      <color rgb="FF323232"/>
      <name val="Calibri"/>
      <family val="2"/>
      <scheme val="minor"/>
    </font>
    <font>
      <b/>
      <sz val="22"/>
      <color rgb="FF6F6F6F"/>
      <name val="Calibri"/>
      <family val="2"/>
      <scheme val="minor"/>
    </font>
    <font>
      <b/>
      <sz val="16"/>
      <name val="Calibri"/>
      <family val="2"/>
      <scheme val="minor"/>
    </font>
    <font>
      <b/>
      <sz val="22"/>
      <color rgb="FF888888"/>
      <name val="Calibri"/>
      <family val="2"/>
      <scheme val="minor"/>
    </font>
    <font>
      <b/>
      <sz val="22"/>
      <color rgb="FFA1A1A1"/>
      <name val="Calibri"/>
      <family val="2"/>
      <scheme val="minor"/>
    </font>
    <font>
      <b/>
      <sz val="16"/>
      <color theme="1" tint="0.499984740745262"/>
      <name val="Calibri"/>
      <family val="2"/>
      <charset val="1"/>
    </font>
    <font>
      <b/>
      <sz val="16"/>
      <color theme="1" tint="0.14999847407452621"/>
      <name val="Calibri"/>
      <family val="2"/>
      <charset val="1"/>
    </font>
    <font>
      <b/>
      <sz val="16"/>
      <color theme="0" tint="-0.499984740745262"/>
      <name val="Calibri"/>
      <family val="2"/>
      <scheme val="minor"/>
    </font>
    <font>
      <b/>
      <sz val="16"/>
      <color theme="0" tint="-0.499984740745262"/>
      <name val="Calibri"/>
      <family val="2"/>
    </font>
    <font>
      <b/>
      <sz val="16"/>
      <color indexed="81"/>
      <name val="Calibri"/>
      <family val="2"/>
    </font>
    <font>
      <b/>
      <sz val="16"/>
      <color theme="1"/>
      <name val="Calibri"/>
      <family val="2"/>
      <charset val="1"/>
    </font>
    <font>
      <b/>
      <sz val="16"/>
      <color theme="1"/>
      <name val="Arial"/>
      <family val="2"/>
    </font>
    <font>
      <b/>
      <sz val="27"/>
      <color rgb="FF000000"/>
      <name val="Calibri"/>
      <family val="2"/>
    </font>
    <font>
      <b/>
      <sz val="11"/>
      <color theme="4"/>
      <name val="Calibri"/>
      <family val="2"/>
      <scheme val="minor"/>
    </font>
    <font>
      <sz val="11"/>
      <color theme="4"/>
      <name val="Calibri"/>
      <family val="2"/>
      <scheme val="minor"/>
    </font>
    <font>
      <sz val="16"/>
      <name val="Calibri"/>
      <family val="2"/>
      <scheme val="minor"/>
    </font>
    <font>
      <b/>
      <sz val="12"/>
      <color theme="0"/>
      <name val="Bahnschrift SemiBold"/>
      <family val="2"/>
    </font>
    <font>
      <b/>
      <sz val="14"/>
      <color rgb="FF091729"/>
      <name val="Calibri"/>
      <family val="2"/>
    </font>
    <font>
      <b/>
      <sz val="26"/>
      <color theme="0"/>
      <name val="Calibri"/>
      <family val="2"/>
    </font>
    <font>
      <b/>
      <sz val="14"/>
      <color rgb="FF081422"/>
      <name val="Calibri"/>
      <family val="2"/>
    </font>
    <font>
      <b/>
      <sz val="22"/>
      <color rgb="FFDAEEF3"/>
      <name val="Calibri"/>
      <family val="2"/>
    </font>
    <font>
      <b/>
      <sz val="16"/>
      <color rgb="FFFF0000"/>
      <name val="Calibri"/>
      <family val="2"/>
    </font>
    <font>
      <sz val="16"/>
      <color theme="8" tint="0.79998168889431442"/>
      <name val="Arial"/>
      <family val="2"/>
    </font>
    <font>
      <sz val="16"/>
      <name val="Arial"/>
      <family val="2"/>
    </font>
    <font>
      <b/>
      <sz val="18"/>
      <color theme="0"/>
      <name val="Calibri"/>
      <family val="2"/>
      <scheme val="minor"/>
    </font>
    <font>
      <sz val="16"/>
      <color theme="0"/>
      <name val="Arial"/>
      <family val="2"/>
    </font>
    <font>
      <i/>
      <sz val="16"/>
      <color theme="0"/>
      <name val="Calibri"/>
      <family val="2"/>
    </font>
    <font>
      <b/>
      <sz val="16"/>
      <color rgb="FF808080"/>
      <name val="Calibri"/>
      <family val="2"/>
      <scheme val="minor"/>
    </font>
    <font>
      <sz val="16"/>
      <color indexed="81"/>
      <name val="Tahoma"/>
      <family val="2"/>
    </font>
    <font>
      <sz val="16"/>
      <color indexed="81"/>
      <name val="Calibri"/>
      <family val="2"/>
    </font>
    <font>
      <sz val="16"/>
      <color rgb="FF31869B"/>
      <name val="Calibri"/>
      <family val="2"/>
      <scheme val="minor"/>
    </font>
    <font>
      <sz val="16"/>
      <color theme="8" tint="0.39997558519241921"/>
      <name val="Calibri"/>
      <family val="2"/>
      <scheme val="minor"/>
    </font>
    <font>
      <sz val="10"/>
      <color rgb="FF000000"/>
      <name val="Calibri"/>
      <family val="2"/>
    </font>
    <font>
      <b/>
      <sz val="22"/>
      <color theme="0"/>
      <name val="Calibri"/>
      <family val="2"/>
      <scheme val="minor"/>
    </font>
    <font>
      <sz val="20"/>
      <color rgb="FF215967"/>
      <name val="Arial"/>
      <family val="2"/>
    </font>
    <font>
      <sz val="10"/>
      <color theme="1"/>
      <name val="Arial"/>
      <family val="2"/>
    </font>
    <font>
      <b/>
      <sz val="14"/>
      <name val="Arial"/>
      <family val="2"/>
    </font>
    <font>
      <b/>
      <sz val="14"/>
      <color indexed="8"/>
      <name val="Calibri"/>
      <family val="2"/>
    </font>
    <font>
      <b/>
      <sz val="14"/>
      <name val="Calibri"/>
      <family val="2"/>
    </font>
    <font>
      <sz val="14"/>
      <name val="Calibri"/>
      <family val="2"/>
      <scheme val="minor"/>
    </font>
    <font>
      <sz val="14"/>
      <color theme="1"/>
      <name val="Calibri"/>
      <family val="2"/>
      <scheme val="minor"/>
    </font>
    <font>
      <sz val="10"/>
      <color indexed="8"/>
      <name val="Arial"/>
      <family val="2"/>
    </font>
    <font>
      <b/>
      <sz val="18"/>
      <name val="Calibri"/>
      <family val="2"/>
      <scheme val="minor"/>
    </font>
    <font>
      <b/>
      <sz val="14"/>
      <color rgb="FF92CDDC"/>
      <name val="Calibri"/>
      <family val="2"/>
      <scheme val="minor"/>
    </font>
    <font>
      <b/>
      <sz val="9"/>
      <color indexed="81"/>
      <name val="Segoe UI"/>
      <family val="2"/>
    </font>
    <font>
      <b/>
      <sz val="16"/>
      <color theme="8" tint="0.79998168889431442"/>
      <name val="Calibri"/>
      <family val="2"/>
    </font>
    <font>
      <b/>
      <sz val="16"/>
      <color theme="0" tint="-0.249977111117893"/>
      <name val="Calibri"/>
      <family val="2"/>
    </font>
    <font>
      <sz val="16"/>
      <color theme="0" tint="-0.249977111117893"/>
      <name val="Calibri"/>
      <family val="2"/>
    </font>
    <font>
      <sz val="16"/>
      <color theme="0" tint="-0.249977111117893"/>
      <name val="Calibri"/>
      <family val="2"/>
      <scheme val="minor"/>
    </font>
    <font>
      <sz val="16"/>
      <color theme="0" tint="-0.249977111117893"/>
      <name val="Calibri"/>
      <family val="2"/>
      <charset val="1"/>
    </font>
    <font>
      <sz val="20"/>
      <color theme="8" tint="0.79998168889431442"/>
      <name val="Arial"/>
      <family val="2"/>
    </font>
    <font>
      <b/>
      <sz val="20"/>
      <color theme="8" tint="0.79998168889431442"/>
      <name val="Calibri"/>
      <family val="2"/>
      <scheme val="minor"/>
    </font>
    <font>
      <b/>
      <sz val="22"/>
      <color rgb="FFFF0000"/>
      <name val="Calibri"/>
      <family val="2"/>
      <scheme val="minor"/>
    </font>
    <font>
      <b/>
      <strike/>
      <sz val="18"/>
      <color rgb="FFFFFF00"/>
      <name val="Segoe UI Symbol"/>
      <family val="2"/>
    </font>
    <font>
      <b/>
      <strike/>
      <sz val="18"/>
      <color theme="6" tint="-0.499984740745262"/>
      <name val="Segoe UI Symbol"/>
      <family val="2"/>
    </font>
    <font>
      <b/>
      <strike/>
      <sz val="18"/>
      <color theme="9" tint="-0.249977111117893"/>
      <name val="Segoe UI Symbol"/>
      <family val="2"/>
    </font>
    <font>
      <b/>
      <strike/>
      <sz val="18"/>
      <color rgb="FF00B0F0"/>
      <name val="Segoe UI Symbol"/>
      <family val="2"/>
    </font>
    <font>
      <b/>
      <sz val="16"/>
      <color theme="8" tint="0.79998168889431442"/>
      <name val="Calibri"/>
      <family val="2"/>
      <scheme val="minor"/>
    </font>
    <font>
      <b/>
      <sz val="16"/>
      <name val="Calibri"/>
      <family val="2"/>
    </font>
    <font>
      <sz val="16"/>
      <color theme="0" tint="-0.249977111117893"/>
      <name val="Arial"/>
      <family val="2"/>
      <charset val="1"/>
    </font>
    <font>
      <b/>
      <sz val="18"/>
      <color theme="0"/>
      <name val="Calibri"/>
      <family val="2"/>
    </font>
    <font>
      <b/>
      <sz val="12"/>
      <color theme="1"/>
      <name val="Calibri"/>
      <family val="2"/>
    </font>
    <font>
      <b/>
      <sz val="16"/>
      <color theme="0" tint="-0.249977111117893"/>
      <name val="Arial"/>
      <family val="2"/>
    </font>
    <font>
      <b/>
      <sz val="16"/>
      <color theme="8" tint="0.79998168889431442"/>
      <name val="Arial"/>
      <family val="2"/>
    </font>
    <font>
      <b/>
      <sz val="16"/>
      <name val="Arial"/>
      <family val="2"/>
    </font>
    <font>
      <b/>
      <sz val="24"/>
      <color theme="0" tint="-4.9989318521683403E-2"/>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8" tint="0.39997558519241921"/>
        <bgColor indexed="64"/>
      </patternFill>
    </fill>
    <fill>
      <patternFill patternType="solid">
        <fgColor rgb="FF0A192C"/>
        <bgColor indexed="64"/>
      </patternFill>
    </fill>
    <fill>
      <patternFill patternType="solid">
        <fgColor rgb="FF92CDDC"/>
        <bgColor indexed="64"/>
      </patternFill>
    </fill>
    <fill>
      <patternFill patternType="solid">
        <fgColor rgb="FFDAEEF3"/>
        <bgColor indexed="64"/>
      </patternFill>
    </fill>
    <fill>
      <patternFill patternType="solid">
        <fgColor rgb="FF081422"/>
        <bgColor indexed="64"/>
      </patternFill>
    </fill>
    <fill>
      <patternFill patternType="solid">
        <fgColor theme="8" tint="-0.499984740745262"/>
        <bgColor indexed="64"/>
      </patternFill>
    </fill>
    <fill>
      <patternFill patternType="solid">
        <fgColor rgb="FF091729"/>
        <bgColor indexed="64"/>
      </patternFill>
    </fill>
    <fill>
      <patternFill patternType="solid">
        <fgColor rgb="FF215967"/>
        <bgColor indexed="64"/>
      </patternFill>
    </fill>
    <fill>
      <patternFill patternType="solid">
        <fgColor rgb="FFF2F2F2"/>
        <bgColor indexed="64"/>
      </patternFill>
    </fill>
    <fill>
      <patternFill patternType="solid">
        <fgColor rgb="FF000000"/>
        <bgColor indexed="64"/>
      </patternFill>
    </fill>
    <fill>
      <patternFill patternType="solid">
        <fgColor rgb="FFB7DEE8"/>
        <bgColor indexed="64"/>
      </patternFill>
    </fill>
  </fills>
  <borders count="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475">
    <xf numFmtId="0" fontId="0" fillId="0" borderId="0" xfId="0"/>
    <xf numFmtId="0" fontId="0" fillId="0" borderId="0" xfId="0"/>
    <xf numFmtId="0" fontId="11" fillId="0" borderId="0" xfId="0" applyFont="1"/>
    <xf numFmtId="0" fontId="0" fillId="0" borderId="0" xfId="0" applyFill="1"/>
    <xf numFmtId="2" fontId="0" fillId="0" borderId="0" xfId="0" applyNumberFormat="1" applyFill="1"/>
    <xf numFmtId="2" fontId="6" fillId="0" borderId="0" xfId="0" applyNumberFormat="1" applyFont="1" applyFill="1" applyAlignment="1" applyProtection="1">
      <alignment horizontal="center"/>
      <protection locked="0"/>
    </xf>
    <xf numFmtId="2" fontId="6" fillId="0" borderId="0" xfId="0" applyNumberFormat="1" applyFont="1" applyFill="1" applyAlignment="1" applyProtection="1">
      <alignment horizontal="left"/>
      <protection locked="0"/>
    </xf>
    <xf numFmtId="2" fontId="4" fillId="0" borderId="0" xfId="0" applyNumberFormat="1" applyFont="1" applyFill="1" applyAlignment="1" applyProtection="1">
      <alignment horizontal="center"/>
      <protection locked="0"/>
    </xf>
    <xf numFmtId="2" fontId="4" fillId="0" borderId="0" xfId="0" applyNumberFormat="1" applyFont="1" applyFill="1" applyProtection="1">
      <protection locked="0"/>
    </xf>
    <xf numFmtId="0" fontId="16" fillId="0" borderId="0" xfId="0" applyFont="1" applyFill="1" applyAlignment="1" applyProtection="1">
      <alignment horizontal="center"/>
    </xf>
    <xf numFmtId="2" fontId="18" fillId="0" borderId="0" xfId="0" applyNumberFormat="1" applyFont="1" applyFill="1" applyAlignment="1" applyProtection="1">
      <alignment horizontal="center"/>
      <protection locked="0"/>
    </xf>
    <xf numFmtId="4" fontId="18" fillId="0" borderId="0" xfId="0" applyNumberFormat="1" applyFont="1" applyFill="1" applyAlignment="1" applyProtection="1">
      <alignment horizontal="center"/>
      <protection locked="0"/>
    </xf>
    <xf numFmtId="2" fontId="17" fillId="0" borderId="0" xfId="0" applyNumberFormat="1" applyFont="1" applyFill="1" applyAlignment="1" applyProtection="1">
      <alignment horizontal="center"/>
      <protection locked="0"/>
    </xf>
    <xf numFmtId="4" fontId="17" fillId="0" borderId="0" xfId="0" applyNumberFormat="1" applyFont="1" applyFill="1" applyAlignment="1" applyProtection="1">
      <alignment horizontal="center"/>
      <protection locked="0"/>
    </xf>
    <xf numFmtId="4" fontId="9" fillId="0" borderId="0" xfId="0" applyNumberFormat="1" applyFont="1" applyFill="1" applyBorder="1" applyAlignment="1" applyProtection="1">
      <alignment horizontal="right"/>
      <protection locked="0"/>
    </xf>
    <xf numFmtId="164" fontId="0" fillId="0" borderId="0" xfId="0" applyNumberFormat="1" applyFill="1"/>
    <xf numFmtId="164" fontId="6" fillId="0" borderId="0" xfId="0" applyNumberFormat="1" applyFont="1" applyFill="1" applyAlignment="1" applyProtection="1">
      <alignment horizontal="center"/>
      <protection locked="0"/>
    </xf>
    <xf numFmtId="164" fontId="18" fillId="0" borderId="0" xfId="0" applyNumberFormat="1" applyFont="1" applyFill="1" applyAlignment="1" applyProtection="1">
      <alignment horizontal="center"/>
      <protection locked="0"/>
    </xf>
    <xf numFmtId="164" fontId="17" fillId="0" borderId="0" xfId="0" applyNumberFormat="1" applyFont="1" applyFill="1" applyAlignment="1" applyProtection="1">
      <alignment horizontal="center"/>
      <protection locked="0"/>
    </xf>
    <xf numFmtId="171" fontId="0" fillId="0" borderId="0" xfId="0" applyNumberFormat="1" applyFill="1"/>
    <xf numFmtId="171" fontId="6" fillId="0" borderId="0" xfId="0" applyNumberFormat="1" applyFont="1" applyFill="1" applyAlignment="1" applyProtection="1">
      <alignment horizontal="center"/>
      <protection locked="0"/>
    </xf>
    <xf numFmtId="171" fontId="18" fillId="0" borderId="0" xfId="0" applyNumberFormat="1" applyFont="1" applyFill="1" applyAlignment="1" applyProtection="1">
      <alignment horizontal="center"/>
      <protection locked="0"/>
    </xf>
    <xf numFmtId="171" fontId="17" fillId="0" borderId="0" xfId="0" applyNumberFormat="1" applyFont="1" applyFill="1" applyAlignment="1" applyProtection="1">
      <alignment horizontal="center"/>
      <protection locked="0"/>
    </xf>
    <xf numFmtId="4" fontId="19" fillId="0" borderId="0" xfId="0" applyNumberFormat="1" applyFont="1" applyFill="1" applyBorder="1" applyAlignment="1" applyProtection="1">
      <alignment horizontal="center"/>
      <protection locked="0"/>
    </xf>
    <xf numFmtId="3" fontId="19" fillId="0" borderId="0" xfId="0" applyNumberFormat="1" applyFont="1" applyFill="1" applyBorder="1" applyAlignment="1" applyProtection="1">
      <alignment horizontal="center"/>
      <protection locked="0"/>
    </xf>
    <xf numFmtId="0" fontId="12" fillId="0" borderId="0" xfId="0" applyFont="1" applyFill="1" applyBorder="1" applyAlignment="1" applyProtection="1">
      <alignment horizontal="center"/>
      <protection locked="0"/>
    </xf>
    <xf numFmtId="3" fontId="12" fillId="0" borderId="0" xfId="0" applyNumberFormat="1" applyFont="1" applyFill="1" applyBorder="1" applyAlignment="1" applyProtection="1">
      <alignment horizontal="left"/>
    </xf>
    <xf numFmtId="4" fontId="12" fillId="0" borderId="0" xfId="0" applyNumberFormat="1" applyFont="1" applyFill="1" applyBorder="1" applyProtection="1"/>
    <xf numFmtId="1" fontId="12" fillId="0" borderId="0" xfId="0" applyNumberFormat="1" applyFont="1" applyFill="1" applyBorder="1" applyAlignment="1" applyProtection="1">
      <alignment horizontal="right"/>
      <protection locked="0"/>
    </xf>
    <xf numFmtId="0" fontId="16" fillId="0" borderId="0" xfId="0" applyFont="1" applyFill="1" applyBorder="1" applyAlignment="1" applyProtection="1">
      <alignment horizontal="right"/>
      <protection locked="0"/>
    </xf>
    <xf numFmtId="167" fontId="12" fillId="0" borderId="0" xfId="0" applyNumberFormat="1" applyFont="1" applyFill="1" applyBorder="1" applyAlignment="1" applyProtection="1">
      <alignment horizontal="center"/>
      <protection locked="0"/>
    </xf>
    <xf numFmtId="0" fontId="11" fillId="0" borderId="0" xfId="0" applyFont="1" applyFill="1" applyBorder="1"/>
    <xf numFmtId="0" fontId="0" fillId="0" borderId="0" xfId="0" applyFill="1" applyBorder="1"/>
    <xf numFmtId="170" fontId="0" fillId="0" borderId="0" xfId="0" applyNumberFormat="1" applyFill="1" applyBorder="1"/>
    <xf numFmtId="2" fontId="21" fillId="0" borderId="0" xfId="0" applyNumberFormat="1" applyFont="1" applyFill="1" applyBorder="1" applyAlignment="1" applyProtection="1">
      <alignment horizontal="center"/>
      <protection locked="0"/>
    </xf>
    <xf numFmtId="0" fontId="21" fillId="0" borderId="0" xfId="0" applyFont="1" applyFill="1" applyBorder="1" applyAlignment="1" applyProtection="1">
      <alignment horizontal="center"/>
      <protection locked="0"/>
    </xf>
    <xf numFmtId="0" fontId="22" fillId="0" borderId="0" xfId="0" applyFont="1" applyFill="1" applyBorder="1" applyAlignment="1" applyProtection="1">
      <alignment horizontal="center"/>
      <protection locked="0"/>
    </xf>
    <xf numFmtId="4" fontId="12" fillId="0" borderId="0" xfId="0" applyNumberFormat="1" applyFont="1" applyFill="1" applyBorder="1" applyAlignment="1" applyProtection="1">
      <alignment horizontal="left"/>
    </xf>
    <xf numFmtId="170" fontId="20" fillId="0" borderId="0" xfId="0" applyNumberFormat="1" applyFont="1" applyFill="1" applyBorder="1" applyAlignment="1" applyProtection="1">
      <alignment horizontal="center"/>
      <protection locked="0"/>
    </xf>
    <xf numFmtId="4" fontId="12" fillId="0" borderId="0" xfId="0" applyNumberFormat="1" applyFont="1" applyFill="1" applyBorder="1" applyAlignment="1" applyProtection="1">
      <alignment horizontal="center"/>
      <protection locked="0"/>
    </xf>
    <xf numFmtId="1" fontId="12" fillId="0" borderId="0" xfId="0" applyNumberFormat="1" applyFont="1" applyFill="1" applyBorder="1" applyAlignment="1" applyProtection="1">
      <alignment horizontal="center"/>
      <protection locked="0"/>
    </xf>
    <xf numFmtId="4" fontId="13" fillId="0" borderId="0" xfId="0" applyNumberFormat="1" applyFont="1" applyFill="1" applyBorder="1" applyAlignment="1" applyProtection="1">
      <alignment horizontal="right"/>
      <protection locked="0"/>
    </xf>
    <xf numFmtId="2" fontId="12" fillId="0" borderId="0" xfId="0" applyNumberFormat="1" applyFont="1" applyFill="1" applyBorder="1" applyAlignment="1" applyProtection="1">
      <alignment horizontal="center"/>
      <protection locked="0"/>
    </xf>
    <xf numFmtId="0" fontId="12" fillId="0" borderId="0" xfId="0" applyFont="1" applyFill="1" applyBorder="1" applyAlignment="1" applyProtection="1">
      <alignment horizontal="center"/>
    </xf>
    <xf numFmtId="173" fontId="17" fillId="0" borderId="0" xfId="0" applyNumberFormat="1" applyFont="1" applyFill="1" applyAlignment="1" applyProtection="1">
      <alignment horizontal="center"/>
      <protection locked="0"/>
    </xf>
    <xf numFmtId="0" fontId="59" fillId="0" borderId="0" xfId="0" applyFont="1" applyFill="1" applyBorder="1"/>
    <xf numFmtId="0" fontId="58" fillId="0" borderId="0" xfId="0" applyFont="1" applyFill="1" applyProtection="1"/>
    <xf numFmtId="0" fontId="0" fillId="0" borderId="0" xfId="0" applyFill="1" applyBorder="1" applyAlignment="1">
      <alignment horizontal="left"/>
    </xf>
    <xf numFmtId="0" fontId="58" fillId="0" borderId="0" xfId="0" applyFont="1" applyFill="1" applyAlignment="1" applyProtection="1">
      <alignment horizontal="left"/>
    </xf>
    <xf numFmtId="1" fontId="0" fillId="0" borderId="0" xfId="0" applyNumberFormat="1" applyFill="1"/>
    <xf numFmtId="175" fontId="0" fillId="0" borderId="0" xfId="0" applyNumberFormat="1" applyFill="1"/>
    <xf numFmtId="1" fontId="12" fillId="0" borderId="0" xfId="0" applyNumberFormat="1" applyFont="1" applyFill="1" applyBorder="1" applyProtection="1"/>
    <xf numFmtId="1" fontId="0" fillId="0" borderId="0" xfId="0" applyNumberFormat="1" applyFill="1" applyBorder="1"/>
    <xf numFmtId="0" fontId="5" fillId="0" borderId="0" xfId="0" applyFont="1" applyFill="1" applyAlignment="1" applyProtection="1">
      <alignment horizontal="right"/>
    </xf>
    <xf numFmtId="14" fontId="9" fillId="0" borderId="0" xfId="0" applyNumberFormat="1" applyFont="1" applyFill="1" applyBorder="1" applyAlignment="1" applyProtection="1">
      <alignment horizontal="center"/>
      <protection locked="0" hidden="1"/>
    </xf>
    <xf numFmtId="3" fontId="13" fillId="0" borderId="0" xfId="0" applyNumberFormat="1" applyFont="1" applyFill="1" applyBorder="1" applyAlignment="1" applyProtection="1">
      <alignment horizontal="right"/>
      <protection locked="0"/>
    </xf>
    <xf numFmtId="20" fontId="17" fillId="0" borderId="0" xfId="0" applyNumberFormat="1" applyFont="1" applyFill="1" applyAlignment="1" applyProtection="1">
      <alignment horizontal="center"/>
      <protection locked="0"/>
    </xf>
    <xf numFmtId="1" fontId="11" fillId="0" borderId="0" xfId="0" applyNumberFormat="1" applyFont="1" applyFill="1" applyBorder="1"/>
    <xf numFmtId="1" fontId="21" fillId="0" borderId="0" xfId="0" applyNumberFormat="1" applyFont="1" applyFill="1" applyBorder="1" applyAlignment="1" applyProtection="1">
      <alignment horizontal="center"/>
    </xf>
    <xf numFmtId="1" fontId="13" fillId="0" borderId="0" xfId="0" applyNumberFormat="1" applyFont="1" applyFill="1" applyBorder="1" applyAlignment="1" applyProtection="1">
      <alignment horizontal="right"/>
      <protection locked="0"/>
    </xf>
    <xf numFmtId="2" fontId="18" fillId="0" borderId="0" xfId="0" applyNumberFormat="1" applyFont="1" applyFill="1" applyAlignment="1" applyProtection="1">
      <alignment horizontal="center" wrapText="1"/>
      <protection locked="0"/>
    </xf>
    <xf numFmtId="167" fontId="58" fillId="0" borderId="0" xfId="0" applyNumberFormat="1" applyFont="1" applyFill="1" applyProtection="1"/>
    <xf numFmtId="164" fontId="6" fillId="0" borderId="0" xfId="0" quotePrefix="1" applyNumberFormat="1" applyFont="1" applyFill="1" applyAlignment="1" applyProtection="1">
      <alignment horizontal="center"/>
      <protection locked="0"/>
    </xf>
    <xf numFmtId="176" fontId="17" fillId="0" borderId="0" xfId="0" applyNumberFormat="1" applyFont="1" applyFill="1" applyAlignment="1" applyProtection="1">
      <alignment horizontal="center"/>
      <protection locked="0"/>
    </xf>
    <xf numFmtId="4" fontId="92" fillId="0" borderId="0" xfId="0" applyNumberFormat="1" applyFont="1" applyFill="1" applyBorder="1" applyAlignment="1" applyProtection="1">
      <alignment horizontal="right"/>
      <protection locked="0"/>
    </xf>
    <xf numFmtId="2" fontId="106" fillId="0" borderId="0" xfId="0" applyNumberFormat="1" applyFont="1" applyFill="1" applyBorder="1" applyAlignment="1" applyProtection="1">
      <alignment horizontal="center"/>
      <protection locked="0"/>
    </xf>
    <xf numFmtId="0" fontId="107" fillId="0" borderId="0" xfId="0" applyFont="1" applyFill="1" applyBorder="1" applyAlignment="1" applyProtection="1">
      <alignment horizontal="center"/>
      <protection locked="0"/>
    </xf>
    <xf numFmtId="167" fontId="106" fillId="0" borderId="0" xfId="0" applyNumberFormat="1" applyFont="1" applyFill="1" applyBorder="1" applyAlignment="1" applyProtection="1">
      <alignment horizontal="center"/>
      <protection locked="0"/>
    </xf>
    <xf numFmtId="4" fontId="14" fillId="0" borderId="0" xfId="0" applyNumberFormat="1" applyFont="1" applyFill="1" applyBorder="1" applyAlignment="1" applyProtection="1">
      <alignment horizontal="right"/>
      <protection locked="0"/>
    </xf>
    <xf numFmtId="164" fontId="4" fillId="0" borderId="0" xfId="0" applyNumberFormat="1" applyFont="1" applyFill="1" applyAlignment="1" applyProtection="1">
      <alignment horizontal="center"/>
      <protection locked="0"/>
    </xf>
    <xf numFmtId="178" fontId="0" fillId="0" borderId="0" xfId="0" applyNumberFormat="1" applyFill="1"/>
    <xf numFmtId="178" fontId="16" fillId="0" borderId="0" xfId="0" applyNumberFormat="1" applyFont="1" applyFill="1" applyAlignment="1" applyProtection="1">
      <alignment horizontal="center"/>
    </xf>
    <xf numFmtId="178" fontId="18" fillId="0" borderId="0" xfId="0" applyNumberFormat="1" applyFont="1" applyFill="1" applyAlignment="1" applyProtection="1">
      <alignment horizontal="center"/>
      <protection locked="0"/>
    </xf>
    <xf numFmtId="178" fontId="17" fillId="0" borderId="0" xfId="0" applyNumberFormat="1" applyFont="1" applyFill="1" applyAlignment="1" applyProtection="1">
      <alignment horizontal="center"/>
      <protection locked="0"/>
    </xf>
    <xf numFmtId="0" fontId="12" fillId="0" borderId="0" xfId="0" applyFont="1" applyFill="1" applyBorder="1" applyAlignment="1" applyProtection="1">
      <alignment horizontal="right"/>
      <protection locked="0"/>
    </xf>
    <xf numFmtId="4" fontId="13" fillId="0" borderId="0" xfId="0" applyNumberFormat="1" applyFont="1" applyFill="1" applyBorder="1" applyAlignment="1" applyProtection="1">
      <alignment horizontal="right"/>
    </xf>
    <xf numFmtId="14" fontId="0" fillId="0" borderId="0" xfId="0" applyNumberFormat="1"/>
    <xf numFmtId="21" fontId="0" fillId="0" borderId="0" xfId="0" applyNumberFormat="1"/>
    <xf numFmtId="14" fontId="0" fillId="0" borderId="0" xfId="0" applyNumberFormat="1" applyFill="1" applyBorder="1" applyAlignment="1">
      <alignment horizontal="left"/>
    </xf>
    <xf numFmtId="14" fontId="21" fillId="0" borderId="0" xfId="0" applyNumberFormat="1" applyFont="1" applyFill="1" applyBorder="1" applyAlignment="1" applyProtection="1">
      <alignment horizontal="left"/>
      <protection locked="0"/>
    </xf>
    <xf numFmtId="14" fontId="13" fillId="0" borderId="0" xfId="0" applyNumberFormat="1" applyFont="1" applyFill="1" applyBorder="1" applyAlignment="1" applyProtection="1">
      <alignment horizontal="left"/>
      <protection locked="0"/>
    </xf>
    <xf numFmtId="14" fontId="12" fillId="0" borderId="0" xfId="0" applyNumberFormat="1" applyFont="1" applyFill="1" applyBorder="1" applyAlignment="1" applyProtection="1">
      <alignment horizontal="left"/>
      <protection locked="0"/>
    </xf>
    <xf numFmtId="2" fontId="58" fillId="0" borderId="0" xfId="0" applyNumberFormat="1" applyFont="1" applyFill="1" applyProtection="1"/>
    <xf numFmtId="2" fontId="13" fillId="0" borderId="0" xfId="0" applyNumberFormat="1" applyFont="1" applyFill="1" applyBorder="1" applyAlignment="1" applyProtection="1">
      <alignment horizontal="right"/>
      <protection locked="0"/>
    </xf>
    <xf numFmtId="2" fontId="0" fillId="0" borderId="0" xfId="0" applyNumberFormat="1" applyFill="1" applyBorder="1"/>
    <xf numFmtId="2" fontId="11" fillId="0" borderId="0" xfId="0" applyNumberFormat="1" applyFont="1" applyFill="1" applyBorder="1"/>
    <xf numFmtId="176" fontId="12" fillId="0" borderId="0" xfId="0" applyNumberFormat="1" applyFont="1" applyFill="1" applyBorder="1" applyAlignment="1" applyProtection="1">
      <alignment horizontal="left"/>
      <protection locked="0"/>
    </xf>
    <xf numFmtId="2" fontId="12" fillId="0" borderId="0" xfId="0" applyNumberFormat="1" applyFont="1" applyFill="1" applyBorder="1" applyAlignment="1" applyProtection="1">
      <alignment horizontal="left"/>
      <protection locked="0"/>
    </xf>
    <xf numFmtId="2" fontId="4" fillId="0" borderId="0" xfId="0" applyNumberFormat="1" applyFont="1" applyFill="1" applyBorder="1" applyAlignment="1" applyProtection="1">
      <alignment horizontal="left"/>
      <protection locked="0"/>
    </xf>
    <xf numFmtId="1" fontId="128" fillId="0" borderId="0" xfId="0" applyNumberFormat="1" applyFont="1" applyAlignment="1">
      <alignment horizontal="left"/>
    </xf>
    <xf numFmtId="0" fontId="28" fillId="4" borderId="0" xfId="0" applyNumberFormat="1" applyFont="1" applyFill="1" applyAlignment="1" applyProtection="1">
      <alignment horizontal="left"/>
      <protection hidden="1"/>
    </xf>
    <xf numFmtId="4" fontId="28" fillId="4" borderId="0" xfId="0" applyNumberFormat="1" applyFont="1" applyFill="1" applyAlignment="1" applyProtection="1">
      <alignment horizontal="left"/>
      <protection hidden="1"/>
    </xf>
    <xf numFmtId="0" fontId="114" fillId="4" borderId="0" xfId="0" applyFont="1" applyFill="1" applyProtection="1">
      <protection hidden="1"/>
    </xf>
    <xf numFmtId="0" fontId="114" fillId="4" borderId="0" xfId="0" applyFont="1" applyFill="1" applyAlignment="1" applyProtection="1">
      <alignment horizontal="center"/>
      <protection hidden="1"/>
    </xf>
    <xf numFmtId="4" fontId="114" fillId="4" borderId="0" xfId="0" applyNumberFormat="1" applyFont="1" applyFill="1" applyAlignment="1" applyProtection="1">
      <alignment horizontal="right"/>
      <protection hidden="1"/>
    </xf>
    <xf numFmtId="2" fontId="114" fillId="4" borderId="0" xfId="0" applyNumberFormat="1" applyFont="1" applyFill="1" applyAlignment="1" applyProtection="1">
      <alignment horizontal="center"/>
      <protection hidden="1"/>
    </xf>
    <xf numFmtId="2" fontId="26" fillId="4" borderId="0" xfId="0" applyNumberFormat="1" applyFont="1" applyFill="1" applyAlignment="1" applyProtection="1">
      <alignment horizontal="left"/>
      <protection hidden="1"/>
    </xf>
    <xf numFmtId="1" fontId="73" fillId="4" borderId="0" xfId="0" applyNumberFormat="1" applyFont="1" applyFill="1" applyBorder="1" applyAlignment="1" applyProtection="1">
      <alignment horizontal="right"/>
      <protection hidden="1"/>
    </xf>
    <xf numFmtId="0" fontId="71" fillId="4" borderId="0" xfId="0" applyFont="1" applyFill="1" applyAlignment="1" applyProtection="1">
      <alignment horizontal="center"/>
      <protection hidden="1"/>
    </xf>
    <xf numFmtId="0" fontId="71" fillId="4" borderId="0" xfId="0" applyFont="1" applyFill="1" applyAlignment="1" applyProtection="1">
      <protection hidden="1"/>
    </xf>
    <xf numFmtId="0" fontId="71" fillId="4" borderId="0" xfId="0" applyFont="1" applyFill="1" applyProtection="1">
      <protection hidden="1"/>
    </xf>
    <xf numFmtId="4" fontId="28" fillId="4" borderId="0" xfId="0" applyNumberFormat="1" applyFont="1" applyFill="1" applyBorder="1" applyAlignment="1" applyProtection="1">
      <alignment horizontal="left"/>
      <protection hidden="1"/>
    </xf>
    <xf numFmtId="0" fontId="122" fillId="4" borderId="0" xfId="0" applyFont="1" applyFill="1" applyBorder="1" applyAlignment="1" applyProtection="1">
      <alignment horizontal="left"/>
      <protection hidden="1"/>
    </xf>
    <xf numFmtId="4" fontId="122" fillId="4" borderId="0" xfId="0" applyNumberFormat="1" applyFont="1" applyFill="1" applyBorder="1" applyAlignment="1" applyProtection="1">
      <alignment horizontal="left"/>
      <protection hidden="1"/>
    </xf>
    <xf numFmtId="14" fontId="122" fillId="4" borderId="0" xfId="0" applyNumberFormat="1" applyFont="1" applyFill="1" applyBorder="1" applyAlignment="1" applyProtection="1">
      <alignment horizontal="left"/>
      <protection hidden="1"/>
    </xf>
    <xf numFmtId="14" fontId="122" fillId="4" borderId="0" xfId="0" applyNumberFormat="1" applyFont="1" applyFill="1" applyAlignment="1" applyProtection="1">
      <alignment horizontal="left"/>
      <protection hidden="1"/>
    </xf>
    <xf numFmtId="2" fontId="87" fillId="4" borderId="0" xfId="0" applyNumberFormat="1" applyFont="1" applyFill="1" applyAlignment="1" applyProtection="1">
      <alignment horizontal="left"/>
      <protection hidden="1"/>
    </xf>
    <xf numFmtId="1" fontId="121" fillId="4" borderId="0" xfId="0" applyNumberFormat="1" applyFont="1" applyFill="1" applyBorder="1" applyAlignment="1" applyProtection="1">
      <alignment horizontal="left"/>
      <protection hidden="1"/>
    </xf>
    <xf numFmtId="0" fontId="72" fillId="4" borderId="0" xfId="0" applyFont="1" applyFill="1" applyAlignment="1" applyProtection="1">
      <alignment horizontal="left"/>
      <protection hidden="1"/>
    </xf>
    <xf numFmtId="0" fontId="72" fillId="4" borderId="0" xfId="0" applyFont="1" applyFill="1" applyAlignment="1" applyProtection="1">
      <protection hidden="1"/>
    </xf>
    <xf numFmtId="0" fontId="121" fillId="4" borderId="0" xfId="0" applyFont="1" applyFill="1" applyAlignment="1" applyProtection="1">
      <alignment horizontal="left"/>
      <protection hidden="1"/>
    </xf>
    <xf numFmtId="1" fontId="102" fillId="2" borderId="0" xfId="0" applyNumberFormat="1" applyFont="1" applyFill="1" applyBorder="1" applyAlignment="1" applyProtection="1">
      <alignment horizontal="left" vertical="top"/>
      <protection hidden="1"/>
    </xf>
    <xf numFmtId="1" fontId="102" fillId="2" borderId="0" xfId="0" applyNumberFormat="1" applyFont="1" applyFill="1" applyBorder="1" applyAlignment="1" applyProtection="1">
      <alignment horizontal="right" vertical="top"/>
      <protection hidden="1"/>
    </xf>
    <xf numFmtId="49" fontId="102" fillId="2" borderId="0" xfId="0" applyNumberFormat="1" applyFont="1" applyFill="1" applyBorder="1" applyAlignment="1" applyProtection="1">
      <alignment horizontal="left" vertical="top"/>
      <protection hidden="1"/>
    </xf>
    <xf numFmtId="1" fontId="101" fillId="2" borderId="0" xfId="0" applyNumberFormat="1" applyFont="1" applyFill="1" applyBorder="1" applyAlignment="1" applyProtection="1">
      <alignment horizontal="center" vertical="top"/>
      <protection hidden="1"/>
    </xf>
    <xf numFmtId="0" fontId="3" fillId="2" borderId="0" xfId="0" applyFont="1" applyFill="1" applyBorder="1" applyProtection="1">
      <protection hidden="1"/>
    </xf>
    <xf numFmtId="2" fontId="28" fillId="4" borderId="0" xfId="0" applyNumberFormat="1" applyFont="1" applyFill="1" applyProtection="1">
      <protection hidden="1"/>
    </xf>
    <xf numFmtId="1" fontId="29" fillId="4" borderId="0" xfId="0" applyNumberFormat="1" applyFont="1" applyFill="1" applyBorder="1" applyAlignment="1" applyProtection="1">
      <alignment horizontal="right"/>
      <protection hidden="1"/>
    </xf>
    <xf numFmtId="1" fontId="113" fillId="4" borderId="0" xfId="0" applyNumberFormat="1" applyFont="1" applyFill="1" applyProtection="1">
      <protection hidden="1"/>
    </xf>
    <xf numFmtId="0" fontId="56" fillId="4" borderId="0" xfId="0" applyFont="1" applyFill="1" applyProtection="1">
      <protection hidden="1"/>
    </xf>
    <xf numFmtId="0" fontId="3" fillId="4" borderId="0" xfId="0" applyFont="1" applyFill="1" applyProtection="1">
      <protection hidden="1"/>
    </xf>
    <xf numFmtId="0" fontId="26" fillId="2" borderId="0" xfId="0" applyNumberFormat="1" applyFont="1" applyFill="1" applyBorder="1" applyAlignment="1" applyProtection="1">
      <alignment horizontal="center"/>
      <protection hidden="1"/>
    </xf>
    <xf numFmtId="2" fontId="87" fillId="4" borderId="0" xfId="0" applyNumberFormat="1" applyFont="1" applyFill="1" applyAlignment="1" applyProtection="1">
      <alignment horizontal="right"/>
      <protection hidden="1"/>
    </xf>
    <xf numFmtId="0" fontId="57" fillId="4" borderId="0" xfId="0" applyFont="1" applyFill="1" applyProtection="1">
      <protection hidden="1"/>
    </xf>
    <xf numFmtId="0" fontId="0" fillId="4" borderId="0" xfId="0" applyFill="1" applyProtection="1">
      <protection hidden="1"/>
    </xf>
    <xf numFmtId="4" fontId="30" fillId="2" borderId="0" xfId="0" applyNumberFormat="1" applyFont="1" applyFill="1" applyBorder="1" applyAlignment="1" applyProtection="1">
      <alignment horizontal="center"/>
      <protection hidden="1"/>
    </xf>
    <xf numFmtId="4" fontId="30" fillId="4" borderId="0" xfId="0" applyNumberFormat="1" applyFont="1" applyFill="1" applyBorder="1" applyAlignment="1" applyProtection="1">
      <alignment horizontal="center"/>
      <protection hidden="1"/>
    </xf>
    <xf numFmtId="0" fontId="28" fillId="4" borderId="0" xfId="0" applyNumberFormat="1" applyFont="1" applyFill="1" applyBorder="1" applyAlignment="1" applyProtection="1">
      <alignment horizontal="left" vertical="center"/>
      <protection hidden="1"/>
    </xf>
    <xf numFmtId="4" fontId="28" fillId="4" borderId="0" xfId="0" applyNumberFormat="1" applyFont="1" applyFill="1" applyBorder="1" applyAlignment="1" applyProtection="1">
      <alignment horizontal="left" vertical="center"/>
      <protection hidden="1"/>
    </xf>
    <xf numFmtId="0" fontId="1" fillId="2" borderId="0" xfId="0" applyFont="1" applyFill="1" applyBorder="1" applyAlignment="1" applyProtection="1">
      <alignment horizontal="center"/>
      <protection hidden="1"/>
    </xf>
    <xf numFmtId="4" fontId="1" fillId="2" borderId="0" xfId="0" applyNumberFormat="1" applyFont="1" applyFill="1" applyBorder="1" applyAlignment="1" applyProtection="1">
      <alignment horizontal="center"/>
      <protection hidden="1"/>
    </xf>
    <xf numFmtId="14" fontId="1" fillId="2" borderId="0" xfId="0" applyNumberFormat="1" applyFont="1" applyFill="1" applyBorder="1" applyAlignment="1" applyProtection="1">
      <alignment horizontal="center"/>
      <protection hidden="1"/>
    </xf>
    <xf numFmtId="0" fontId="17" fillId="7" borderId="0" xfId="0" applyFont="1" applyFill="1" applyBorder="1" applyAlignment="1" applyProtection="1">
      <alignment horizontal="left"/>
      <protection hidden="1"/>
    </xf>
    <xf numFmtId="4" fontId="17" fillId="7" borderId="0" xfId="0" applyNumberFormat="1" applyFont="1" applyFill="1" applyBorder="1" applyAlignment="1" applyProtection="1">
      <alignment horizontal="left"/>
      <protection hidden="1"/>
    </xf>
    <xf numFmtId="0" fontId="17" fillId="7" borderId="0" xfId="0" applyFont="1" applyFill="1" applyBorder="1" applyAlignment="1" applyProtection="1">
      <alignment horizontal="center"/>
      <protection hidden="1"/>
    </xf>
    <xf numFmtId="1" fontId="17" fillId="7" borderId="0" xfId="0" applyNumberFormat="1" applyFont="1" applyFill="1" applyBorder="1" applyAlignment="1" applyProtection="1">
      <alignment horizontal="center"/>
      <protection hidden="1"/>
    </xf>
    <xf numFmtId="4" fontId="17" fillId="7" borderId="0" xfId="0" applyNumberFormat="1" applyFont="1" applyFill="1" applyBorder="1" applyAlignment="1" applyProtection="1">
      <alignment horizontal="right"/>
      <protection hidden="1"/>
    </xf>
    <xf numFmtId="14" fontId="17" fillId="7" borderId="0" xfId="0" applyNumberFormat="1" applyFont="1" applyFill="1" applyBorder="1" applyAlignment="1" applyProtection="1">
      <alignment horizontal="center"/>
      <protection hidden="1"/>
    </xf>
    <xf numFmtId="1" fontId="115" fillId="4" borderId="0" xfId="0" applyNumberFormat="1" applyFont="1" applyFill="1" applyAlignment="1" applyProtection="1">
      <alignment horizontal="center"/>
      <protection hidden="1"/>
    </xf>
    <xf numFmtId="167" fontId="129" fillId="7" borderId="0" xfId="0" applyNumberFormat="1" applyFont="1" applyFill="1" applyBorder="1" applyAlignment="1" applyProtection="1">
      <alignment horizontal="center"/>
      <protection hidden="1"/>
    </xf>
    <xf numFmtId="167" fontId="116" fillId="4" borderId="0" xfId="0" applyNumberFormat="1" applyFont="1" applyFill="1" applyAlignment="1" applyProtection="1">
      <alignment horizontal="center"/>
      <protection hidden="1"/>
    </xf>
    <xf numFmtId="4" fontId="68" fillId="7" borderId="0" xfId="0" applyNumberFormat="1" applyFont="1" applyFill="1" applyBorder="1" applyAlignment="1" applyProtection="1">
      <alignment horizontal="center"/>
      <protection hidden="1"/>
    </xf>
    <xf numFmtId="4" fontId="44" fillId="7" borderId="0" xfId="0" applyNumberFormat="1" applyFont="1" applyFill="1" applyBorder="1" applyAlignment="1" applyProtection="1">
      <alignment horizontal="center"/>
      <protection hidden="1"/>
    </xf>
    <xf numFmtId="0" fontId="86" fillId="7" borderId="0" xfId="0" applyFont="1" applyFill="1" applyBorder="1" applyAlignment="1" applyProtection="1">
      <alignment horizontal="left"/>
      <protection hidden="1"/>
    </xf>
    <xf numFmtId="1" fontId="78" fillId="4" borderId="0" xfId="0" applyNumberFormat="1" applyFont="1" applyFill="1" applyAlignment="1" applyProtection="1">
      <alignment horizontal="right"/>
      <protection hidden="1"/>
    </xf>
    <xf numFmtId="4" fontId="116" fillId="4" borderId="0" xfId="0" applyNumberFormat="1" applyFont="1" applyFill="1" applyAlignment="1" applyProtection="1">
      <alignment horizontal="center"/>
      <protection hidden="1"/>
    </xf>
    <xf numFmtId="1" fontId="74" fillId="7" borderId="0" xfId="0" applyNumberFormat="1" applyFont="1" applyFill="1" applyBorder="1" applyAlignment="1" applyProtection="1">
      <alignment horizontal="center" vertical="center"/>
      <protection hidden="1"/>
    </xf>
    <xf numFmtId="1" fontId="117" fillId="4" borderId="0" xfId="0" applyNumberFormat="1" applyFont="1" applyFill="1" applyAlignment="1" applyProtection="1">
      <alignment horizontal="center" vertical="center"/>
      <protection hidden="1"/>
    </xf>
    <xf numFmtId="0" fontId="118" fillId="4" borderId="0" xfId="0" applyFont="1" applyFill="1" applyAlignment="1" applyProtection="1">
      <alignment vertical="center"/>
      <protection hidden="1"/>
    </xf>
    <xf numFmtId="0" fontId="119" fillId="4" borderId="0" xfId="0" applyFont="1" applyFill="1" applyAlignment="1" applyProtection="1">
      <alignment vertical="center"/>
      <protection hidden="1"/>
    </xf>
    <xf numFmtId="3" fontId="103" fillId="7" borderId="0" xfId="0" applyNumberFormat="1" applyFont="1" applyFill="1" applyBorder="1" applyAlignment="1" applyProtection="1">
      <alignment horizontal="center"/>
      <protection hidden="1"/>
    </xf>
    <xf numFmtId="3" fontId="123" fillId="7" borderId="0" xfId="0" applyNumberFormat="1" applyFont="1" applyFill="1" applyBorder="1" applyAlignment="1" applyProtection="1">
      <alignment horizontal="center"/>
      <protection hidden="1"/>
    </xf>
    <xf numFmtId="3" fontId="104" fillId="4" borderId="0" xfId="0" applyNumberFormat="1" applyFont="1" applyFill="1" applyAlignment="1" applyProtection="1">
      <alignment horizontal="center"/>
      <protection hidden="1"/>
    </xf>
    <xf numFmtId="0" fontId="15" fillId="4" borderId="0" xfId="0" applyFont="1" applyFill="1" applyAlignment="1" applyProtection="1">
      <protection hidden="1"/>
    </xf>
    <xf numFmtId="0" fontId="15" fillId="4" borderId="0" xfId="0" applyFont="1" applyFill="1" applyProtection="1">
      <protection hidden="1"/>
    </xf>
    <xf numFmtId="0" fontId="98" fillId="8" borderId="0" xfId="0" applyFont="1" applyFill="1" applyBorder="1" applyAlignment="1" applyProtection="1">
      <alignment horizontal="center"/>
      <protection hidden="1"/>
    </xf>
    <xf numFmtId="4" fontId="25" fillId="8" borderId="0" xfId="0" applyNumberFormat="1" applyFont="1" applyFill="1" applyBorder="1" applyAlignment="1" applyProtection="1">
      <alignment horizontal="center"/>
      <protection hidden="1"/>
    </xf>
    <xf numFmtId="14" fontId="98" fillId="8" borderId="0" xfId="0" applyNumberFormat="1" applyFont="1" applyFill="1" applyBorder="1" applyAlignment="1" applyProtection="1">
      <alignment horizontal="center"/>
      <protection hidden="1"/>
    </xf>
    <xf numFmtId="4" fontId="98" fillId="8" borderId="0" xfId="0" applyNumberFormat="1" applyFont="1" applyFill="1" applyBorder="1" applyAlignment="1" applyProtection="1">
      <alignment horizontal="center"/>
      <protection hidden="1"/>
    </xf>
    <xf numFmtId="0" fontId="16" fillId="4" borderId="0" xfId="0" applyFont="1" applyFill="1" applyAlignment="1" applyProtection="1">
      <alignment horizontal="center"/>
      <protection hidden="1"/>
    </xf>
    <xf numFmtId="0" fontId="17" fillId="3" borderId="0" xfId="0" applyFont="1" applyFill="1" applyBorder="1" applyAlignment="1" applyProtection="1">
      <alignment horizontal="center"/>
      <protection hidden="1"/>
    </xf>
    <xf numFmtId="0" fontId="33" fillId="3" borderId="0" xfId="0" applyFont="1" applyFill="1" applyBorder="1" applyAlignment="1" applyProtection="1">
      <alignment horizontal="center" vertical="top"/>
      <protection hidden="1"/>
    </xf>
    <xf numFmtId="14" fontId="17" fillId="3" borderId="0" xfId="0" applyNumberFormat="1" applyFont="1" applyFill="1" applyBorder="1" applyAlignment="1" applyProtection="1">
      <alignment horizontal="center"/>
      <protection hidden="1"/>
    </xf>
    <xf numFmtId="4" fontId="17" fillId="3" borderId="0" xfId="0" applyNumberFormat="1" applyFont="1" applyFill="1" applyBorder="1" applyAlignment="1" applyProtection="1">
      <alignment horizontal="center"/>
      <protection hidden="1"/>
    </xf>
    <xf numFmtId="0" fontId="52" fillId="4" borderId="0" xfId="0" applyFont="1" applyFill="1" applyBorder="1" applyAlignment="1" applyProtection="1">
      <alignment horizontal="center"/>
      <protection hidden="1"/>
    </xf>
    <xf numFmtId="0" fontId="53" fillId="4" borderId="0" xfId="0" applyFont="1" applyFill="1" applyBorder="1" applyAlignment="1" applyProtection="1">
      <alignment horizontal="center" vertical="top"/>
      <protection hidden="1"/>
    </xf>
    <xf numFmtId="0" fontId="50" fillId="9" borderId="0" xfId="0" applyNumberFormat="1" applyFont="1" applyFill="1" applyBorder="1" applyAlignment="1" applyProtection="1">
      <alignment horizontal="left"/>
      <protection hidden="1"/>
    </xf>
    <xf numFmtId="0" fontId="54" fillId="4" borderId="0" xfId="0" applyFont="1" applyFill="1" applyBorder="1" applyAlignment="1" applyProtection="1">
      <alignment horizontal="left" vertical="top"/>
      <protection hidden="1"/>
    </xf>
    <xf numFmtId="0" fontId="54" fillId="4" borderId="0" xfId="0" applyFont="1" applyFill="1" applyBorder="1" applyAlignment="1" applyProtection="1">
      <alignment horizontal="center" vertical="top"/>
      <protection hidden="1"/>
    </xf>
    <xf numFmtId="14" fontId="54" fillId="4" borderId="0" xfId="0" applyNumberFormat="1" applyFont="1" applyFill="1" applyBorder="1" applyAlignment="1" applyProtection="1">
      <alignment horizontal="center" vertical="top"/>
      <protection hidden="1"/>
    </xf>
    <xf numFmtId="4" fontId="120" fillId="4" borderId="0" xfId="0" applyNumberFormat="1" applyFont="1" applyFill="1" applyBorder="1" applyAlignment="1" applyProtection="1">
      <alignment horizontal="left" vertical="center"/>
      <protection hidden="1"/>
    </xf>
    <xf numFmtId="0" fontId="65" fillId="4" borderId="0" xfId="0" applyFont="1" applyFill="1" applyBorder="1" applyAlignment="1" applyProtection="1">
      <alignment horizontal="left"/>
      <protection hidden="1"/>
    </xf>
    <xf numFmtId="14" fontId="54" fillId="4" borderId="0" xfId="0" applyNumberFormat="1" applyFont="1" applyFill="1" applyBorder="1" applyAlignment="1" applyProtection="1">
      <alignment horizontal="left"/>
      <protection hidden="1"/>
    </xf>
    <xf numFmtId="168" fontId="54" fillId="4" borderId="0" xfId="0" applyNumberFormat="1" applyFont="1" applyFill="1" applyBorder="1" applyAlignment="1" applyProtection="1">
      <alignment horizontal="right" vertical="center"/>
      <protection hidden="1"/>
    </xf>
    <xf numFmtId="0" fontId="55" fillId="4" borderId="0" xfId="0" applyFont="1" applyFill="1" applyAlignment="1" applyProtection="1">
      <alignment horizontal="center"/>
      <protection hidden="1"/>
    </xf>
    <xf numFmtId="14" fontId="55" fillId="4" borderId="0" xfId="0" applyNumberFormat="1" applyFont="1" applyFill="1" applyAlignment="1" applyProtection="1">
      <alignment horizontal="center"/>
      <protection hidden="1"/>
    </xf>
    <xf numFmtId="168" fontId="18" fillId="4" borderId="0" xfId="0" applyNumberFormat="1" applyFont="1" applyFill="1" applyBorder="1" applyAlignment="1" applyProtection="1">
      <alignment horizontal="center"/>
      <protection hidden="1"/>
    </xf>
    <xf numFmtId="3" fontId="109" fillId="4" borderId="0" xfId="0" applyNumberFormat="1" applyFont="1" applyFill="1" applyBorder="1" applyAlignment="1" applyProtection="1">
      <alignment horizontal="left"/>
      <protection hidden="1"/>
    </xf>
    <xf numFmtId="0" fontId="47" fillId="4" borderId="0" xfId="0" applyFont="1" applyFill="1" applyBorder="1" applyAlignment="1" applyProtection="1">
      <alignment horizontal="right"/>
      <protection hidden="1"/>
    </xf>
    <xf numFmtId="0" fontId="48" fillId="4" borderId="0" xfId="0" applyFont="1" applyFill="1" applyBorder="1" applyAlignment="1" applyProtection="1">
      <alignment horizontal="center"/>
      <protection hidden="1"/>
    </xf>
    <xf numFmtId="168" fontId="17" fillId="4" borderId="0" xfId="0" applyNumberFormat="1" applyFont="1" applyFill="1" applyBorder="1" applyAlignment="1" applyProtection="1">
      <alignment horizontal="right"/>
      <protection hidden="1"/>
    </xf>
    <xf numFmtId="0" fontId="4" fillId="4" borderId="0" xfId="0" applyFont="1" applyFill="1" applyAlignment="1" applyProtection="1">
      <alignment horizontal="center"/>
      <protection hidden="1"/>
    </xf>
    <xf numFmtId="14" fontId="75" fillId="4" borderId="0" xfId="0" applyNumberFormat="1" applyFont="1" applyFill="1" applyAlignment="1" applyProtection="1">
      <alignment horizontal="center"/>
      <protection hidden="1"/>
    </xf>
    <xf numFmtId="0" fontId="89" fillId="4" borderId="0" xfId="0" applyFont="1" applyFill="1" applyBorder="1" applyAlignment="1" applyProtection="1">
      <alignment horizontal="center" vertical="center"/>
      <protection hidden="1"/>
    </xf>
    <xf numFmtId="4" fontId="110" fillId="4" borderId="0" xfId="0" applyNumberFormat="1" applyFont="1" applyFill="1" applyBorder="1" applyAlignment="1" applyProtection="1">
      <alignment horizontal="left"/>
      <protection hidden="1"/>
    </xf>
    <xf numFmtId="0" fontId="46" fillId="4" borderId="0" xfId="0" applyFont="1" applyFill="1" applyBorder="1" applyAlignment="1" applyProtection="1">
      <alignment horizontal="center"/>
      <protection hidden="1"/>
    </xf>
    <xf numFmtId="0" fontId="62" fillId="4" borderId="0" xfId="0" applyFont="1" applyFill="1" applyBorder="1" applyAlignment="1" applyProtection="1">
      <alignment horizontal="left"/>
      <protection hidden="1"/>
    </xf>
    <xf numFmtId="4" fontId="17" fillId="4" borderId="0" xfId="0" applyNumberFormat="1" applyFont="1" applyFill="1" applyBorder="1" applyAlignment="1" applyProtection="1">
      <alignment horizontal="right"/>
      <protection hidden="1"/>
    </xf>
    <xf numFmtId="168" fontId="76" fillId="4" borderId="0" xfId="0" applyNumberFormat="1" applyFont="1" applyFill="1" applyBorder="1" applyAlignment="1" applyProtection="1">
      <alignment horizontal="left"/>
      <protection hidden="1"/>
    </xf>
    <xf numFmtId="2" fontId="28" fillId="4" borderId="0" xfId="0" applyNumberFormat="1" applyFont="1" applyFill="1" applyBorder="1" applyAlignment="1" applyProtection="1">
      <alignment horizontal="left"/>
      <protection hidden="1"/>
    </xf>
    <xf numFmtId="4" fontId="28" fillId="4" borderId="0" xfId="0" applyNumberFormat="1" applyFont="1" applyFill="1" applyBorder="1" applyAlignment="1" applyProtection="1">
      <alignment horizontal="center"/>
      <protection hidden="1"/>
    </xf>
    <xf numFmtId="4" fontId="24" fillId="4" borderId="0" xfId="0" applyNumberFormat="1" applyFont="1" applyFill="1" applyBorder="1" applyAlignment="1" applyProtection="1">
      <alignment horizontal="left"/>
      <protection hidden="1"/>
    </xf>
    <xf numFmtId="49" fontId="49" fillId="4" borderId="0" xfId="0" applyNumberFormat="1" applyFont="1" applyFill="1" applyBorder="1" applyAlignment="1" applyProtection="1">
      <alignment horizontal="center"/>
      <protection hidden="1"/>
    </xf>
    <xf numFmtId="14" fontId="17" fillId="4" borderId="0" xfId="0" applyNumberFormat="1" applyFont="1" applyFill="1" applyBorder="1" applyAlignment="1" applyProtection="1">
      <alignment horizontal="center"/>
      <protection hidden="1"/>
    </xf>
    <xf numFmtId="1" fontId="81" fillId="4" borderId="0" xfId="0" applyNumberFormat="1" applyFont="1" applyFill="1" applyBorder="1" applyAlignment="1" applyProtection="1">
      <alignment horizontal="center" vertical="top"/>
      <protection hidden="1"/>
    </xf>
    <xf numFmtId="0" fontId="32" fillId="4" borderId="0" xfId="0" applyNumberFormat="1" applyFont="1" applyFill="1" applyBorder="1" applyAlignment="1" applyProtection="1">
      <alignment horizontal="center"/>
      <protection hidden="1"/>
    </xf>
    <xf numFmtId="0" fontId="31" fillId="4" borderId="0" xfId="0" applyFont="1" applyFill="1" applyBorder="1" applyAlignment="1" applyProtection="1">
      <alignment horizontal="center"/>
      <protection hidden="1"/>
    </xf>
    <xf numFmtId="4" fontId="25" fillId="4" borderId="0" xfId="0" applyNumberFormat="1" applyFont="1" applyFill="1" applyBorder="1" applyAlignment="1" applyProtection="1">
      <alignment horizontal="center"/>
      <protection hidden="1"/>
    </xf>
    <xf numFmtId="0" fontId="17" fillId="4" borderId="0" xfId="0" applyFont="1" applyFill="1" applyBorder="1" applyAlignment="1" applyProtection="1">
      <alignment horizontal="center"/>
      <protection hidden="1"/>
    </xf>
    <xf numFmtId="1" fontId="28" fillId="4" borderId="0" xfId="0" applyNumberFormat="1" applyFont="1" applyFill="1" applyBorder="1" applyAlignment="1" applyProtection="1">
      <alignment horizontal="left" vertical="center"/>
      <protection hidden="1"/>
    </xf>
    <xf numFmtId="0" fontId="17" fillId="2" borderId="1" xfId="0" applyFont="1" applyFill="1" applyBorder="1" applyProtection="1">
      <protection hidden="1"/>
    </xf>
    <xf numFmtId="0" fontId="27" fillId="2" borderId="2" xfId="0" applyNumberFormat="1" applyFont="1" applyFill="1" applyBorder="1" applyAlignment="1" applyProtection="1">
      <alignment horizontal="right" vertical="center"/>
      <protection hidden="1"/>
    </xf>
    <xf numFmtId="0" fontId="27" fillId="2" borderId="3" xfId="0" applyNumberFormat="1" applyFont="1" applyFill="1" applyBorder="1" applyAlignment="1" applyProtection="1">
      <alignment horizontal="left" vertical="center"/>
      <protection hidden="1"/>
    </xf>
    <xf numFmtId="170" fontId="28" fillId="4" borderId="0" xfId="0" applyNumberFormat="1" applyFont="1" applyFill="1" applyBorder="1" applyAlignment="1" applyProtection="1">
      <alignment horizontal="left" vertical="center"/>
      <protection hidden="1"/>
    </xf>
    <xf numFmtId="168" fontId="40" fillId="7" borderId="0" xfId="0" applyNumberFormat="1" applyFont="1" applyFill="1" applyBorder="1" applyAlignment="1" applyProtection="1">
      <alignment horizontal="center"/>
      <protection hidden="1"/>
    </xf>
    <xf numFmtId="2" fontId="40" fillId="7" borderId="0" xfId="0" applyNumberFormat="1" applyFont="1" applyFill="1" applyBorder="1" applyAlignment="1" applyProtection="1">
      <alignment horizontal="center"/>
      <protection hidden="1"/>
    </xf>
    <xf numFmtId="2" fontId="35" fillId="7" borderId="0" xfId="0" applyNumberFormat="1" applyFont="1" applyFill="1" applyBorder="1" applyAlignment="1" applyProtection="1">
      <alignment horizontal="center"/>
      <protection hidden="1"/>
    </xf>
    <xf numFmtId="2" fontId="126" fillId="7" borderId="0" xfId="0" applyNumberFormat="1" applyFont="1" applyFill="1" applyBorder="1" applyAlignment="1" applyProtection="1">
      <alignment horizontal="center"/>
      <protection hidden="1"/>
    </xf>
    <xf numFmtId="168" fontId="44" fillId="7" borderId="0" xfId="0" applyNumberFormat="1" applyFont="1" applyFill="1" applyBorder="1" applyAlignment="1" applyProtection="1">
      <alignment horizontal="center"/>
      <protection hidden="1"/>
    </xf>
    <xf numFmtId="2" fontId="44" fillId="7" borderId="0" xfId="0" applyNumberFormat="1" applyFont="1" applyFill="1" applyBorder="1" applyAlignment="1" applyProtection="1">
      <alignment horizontal="center"/>
      <protection hidden="1"/>
    </xf>
    <xf numFmtId="166" fontId="36" fillId="7" borderId="0" xfId="0" applyNumberFormat="1" applyFont="1" applyFill="1" applyBorder="1" applyAlignment="1" applyProtection="1">
      <alignment horizontal="center" vertical="center"/>
      <protection hidden="1"/>
    </xf>
    <xf numFmtId="178" fontId="36" fillId="7" borderId="0" xfId="0" applyNumberFormat="1" applyFont="1" applyFill="1" applyBorder="1" applyAlignment="1" applyProtection="1">
      <alignment horizontal="center" vertical="center"/>
      <protection hidden="1"/>
    </xf>
    <xf numFmtId="164" fontId="36" fillId="7" borderId="0" xfId="0" applyNumberFormat="1" applyFont="1" applyFill="1" applyBorder="1" applyAlignment="1" applyProtection="1">
      <alignment horizontal="center" vertical="center"/>
      <protection hidden="1"/>
    </xf>
    <xf numFmtId="177" fontId="36" fillId="7" borderId="0" xfId="0" applyNumberFormat="1" applyFont="1" applyFill="1" applyBorder="1" applyAlignment="1" applyProtection="1">
      <alignment horizontal="center"/>
      <protection hidden="1"/>
    </xf>
    <xf numFmtId="10" fontId="36" fillId="7" borderId="0" xfId="0" applyNumberFormat="1" applyFont="1" applyFill="1" applyBorder="1" applyAlignment="1" applyProtection="1">
      <alignment horizontal="center" vertical="center"/>
      <protection hidden="1"/>
    </xf>
    <xf numFmtId="168" fontId="93" fillId="7" borderId="0" xfId="0" applyNumberFormat="1" applyFont="1" applyFill="1" applyBorder="1" applyAlignment="1" applyProtection="1">
      <alignment horizontal="center"/>
      <protection hidden="1"/>
    </xf>
    <xf numFmtId="2" fontId="93" fillId="7" borderId="0" xfId="0" applyNumberFormat="1" applyFont="1" applyFill="1" applyBorder="1" applyAlignment="1" applyProtection="1">
      <alignment horizontal="center"/>
      <protection hidden="1"/>
    </xf>
    <xf numFmtId="0" fontId="4" fillId="7" borderId="0" xfId="0" applyFont="1" applyFill="1" applyAlignment="1" applyProtection="1">
      <alignment horizontal="center"/>
      <protection hidden="1"/>
    </xf>
    <xf numFmtId="14" fontId="4" fillId="7" borderId="0" xfId="0" applyNumberFormat="1" applyFont="1" applyFill="1" applyAlignment="1" applyProtection="1">
      <alignment horizontal="center"/>
      <protection hidden="1"/>
    </xf>
    <xf numFmtId="4" fontId="4" fillId="7" borderId="0" xfId="0" applyNumberFormat="1" applyFont="1" applyFill="1" applyAlignment="1" applyProtection="1">
      <alignment horizontal="right"/>
      <protection hidden="1"/>
    </xf>
    <xf numFmtId="168" fontId="100" fillId="7" borderId="0" xfId="0" applyNumberFormat="1" applyFont="1" applyFill="1" applyBorder="1" applyAlignment="1" applyProtection="1">
      <alignment horizontal="center"/>
      <protection hidden="1"/>
    </xf>
    <xf numFmtId="2" fontId="100" fillId="7" borderId="0" xfId="0" applyNumberFormat="1" applyFont="1" applyFill="1" applyBorder="1" applyAlignment="1" applyProtection="1">
      <alignment horizontal="center"/>
      <protection hidden="1"/>
    </xf>
    <xf numFmtId="4" fontId="35" fillId="7" borderId="0" xfId="0" applyNumberFormat="1" applyFont="1" applyFill="1" applyBorder="1" applyAlignment="1" applyProtection="1">
      <alignment horizontal="center"/>
      <protection hidden="1"/>
    </xf>
    <xf numFmtId="168" fontId="99" fillId="7" borderId="0" xfId="0" applyNumberFormat="1" applyFont="1" applyFill="1" applyBorder="1" applyAlignment="1" applyProtection="1">
      <alignment horizontal="center"/>
      <protection hidden="1"/>
    </xf>
    <xf numFmtId="2" fontId="99" fillId="7" borderId="0" xfId="0" applyNumberFormat="1" applyFont="1" applyFill="1" applyBorder="1" applyAlignment="1" applyProtection="1">
      <alignment horizontal="center"/>
      <protection hidden="1"/>
    </xf>
    <xf numFmtId="165" fontId="26" fillId="7" borderId="0" xfId="0" applyNumberFormat="1" applyFont="1" applyFill="1" applyBorder="1" applyAlignment="1" applyProtection="1">
      <alignment horizontal="center"/>
      <protection hidden="1"/>
    </xf>
    <xf numFmtId="3" fontId="26" fillId="7" borderId="0" xfId="0" applyNumberFormat="1" applyFont="1" applyFill="1" applyBorder="1" applyAlignment="1" applyProtection="1">
      <alignment horizontal="center"/>
      <protection hidden="1"/>
    </xf>
    <xf numFmtId="3" fontId="40" fillId="7" borderId="0" xfId="0" applyNumberFormat="1" applyFont="1" applyFill="1" applyBorder="1" applyAlignment="1" applyProtection="1">
      <alignment horizontal="center" vertical="center"/>
      <protection hidden="1"/>
    </xf>
    <xf numFmtId="10" fontId="83" fillId="7" borderId="0" xfId="0" applyNumberFormat="1" applyFont="1" applyFill="1" applyBorder="1" applyAlignment="1" applyProtection="1">
      <alignment horizontal="center"/>
      <protection hidden="1"/>
    </xf>
    <xf numFmtId="3" fontId="36" fillId="7" borderId="0" xfId="0" applyNumberFormat="1" applyFont="1" applyFill="1" applyBorder="1" applyAlignment="1" applyProtection="1">
      <alignment horizontal="center" vertical="center"/>
      <protection hidden="1"/>
    </xf>
    <xf numFmtId="168" fontId="97" fillId="7" borderId="0" xfId="0" applyNumberFormat="1" applyFont="1" applyFill="1" applyBorder="1" applyAlignment="1" applyProtection="1">
      <alignment horizontal="center"/>
      <protection hidden="1"/>
    </xf>
    <xf numFmtId="2" fontId="97" fillId="7" borderId="0" xfId="0" applyNumberFormat="1" applyFont="1" applyFill="1" applyBorder="1" applyAlignment="1" applyProtection="1">
      <alignment horizontal="center"/>
      <protection hidden="1"/>
    </xf>
    <xf numFmtId="166" fontId="37" fillId="7" borderId="0" xfId="0" applyNumberFormat="1" applyFont="1" applyFill="1" applyBorder="1" applyAlignment="1" applyProtection="1">
      <alignment horizontal="center"/>
      <protection hidden="1"/>
    </xf>
    <xf numFmtId="166" fontId="37" fillId="7" borderId="0" xfId="0" applyNumberFormat="1" applyFont="1" applyFill="1" applyBorder="1" applyAlignment="1" applyProtection="1">
      <alignment horizontal="center" vertical="top"/>
      <protection hidden="1"/>
    </xf>
    <xf numFmtId="4" fontId="88" fillId="7" borderId="0" xfId="0" applyNumberFormat="1" applyFont="1" applyFill="1" applyBorder="1" applyAlignment="1" applyProtection="1">
      <alignment horizontal="right"/>
      <protection hidden="1"/>
    </xf>
    <xf numFmtId="4" fontId="37" fillId="7" borderId="0" xfId="0" applyNumberFormat="1" applyFont="1" applyFill="1" applyBorder="1" applyAlignment="1" applyProtection="1">
      <alignment horizontal="center"/>
      <protection hidden="1"/>
    </xf>
    <xf numFmtId="168" fontId="94" fillId="7" borderId="0" xfId="0" applyNumberFormat="1" applyFont="1" applyFill="1" applyBorder="1" applyAlignment="1" applyProtection="1">
      <alignment horizontal="center"/>
      <protection hidden="1"/>
    </xf>
    <xf numFmtId="2" fontId="94" fillId="7" borderId="0" xfId="0" applyNumberFormat="1" applyFont="1" applyFill="1" applyBorder="1" applyAlignment="1" applyProtection="1">
      <alignment horizontal="center"/>
      <protection hidden="1"/>
    </xf>
    <xf numFmtId="166" fontId="103" fillId="7" borderId="0" xfId="0" applyNumberFormat="1" applyFont="1" applyFill="1" applyBorder="1" applyAlignment="1" applyProtection="1">
      <alignment horizontal="center" vertical="top"/>
      <protection hidden="1"/>
    </xf>
    <xf numFmtId="168" fontId="43" fillId="7" borderId="0" xfId="0" applyNumberFormat="1" applyFont="1" applyFill="1" applyBorder="1" applyAlignment="1" applyProtection="1">
      <alignment horizontal="center"/>
      <protection hidden="1"/>
    </xf>
    <xf numFmtId="2" fontId="43" fillId="7" borderId="0" xfId="0" applyNumberFormat="1" applyFont="1" applyFill="1" applyBorder="1" applyAlignment="1" applyProtection="1">
      <alignment horizontal="center"/>
      <protection hidden="1"/>
    </xf>
    <xf numFmtId="168" fontId="96" fillId="7" borderId="0" xfId="0" applyNumberFormat="1" applyFont="1" applyFill="1" applyBorder="1" applyAlignment="1" applyProtection="1">
      <alignment horizontal="center"/>
      <protection hidden="1"/>
    </xf>
    <xf numFmtId="2" fontId="96" fillId="7" borderId="0" xfId="0" applyNumberFormat="1" applyFont="1" applyFill="1" applyBorder="1" applyAlignment="1" applyProtection="1">
      <alignment horizontal="center"/>
      <protection hidden="1"/>
    </xf>
    <xf numFmtId="166" fontId="36" fillId="7" borderId="0" xfId="0" applyNumberFormat="1" applyFont="1" applyFill="1" applyBorder="1" applyAlignment="1" applyProtection="1">
      <alignment horizontal="center"/>
      <protection hidden="1"/>
    </xf>
    <xf numFmtId="169" fontId="36" fillId="7" borderId="0" xfId="0" applyNumberFormat="1" applyFont="1" applyFill="1" applyBorder="1" applyAlignment="1" applyProtection="1">
      <alignment horizontal="center"/>
      <protection hidden="1"/>
    </xf>
    <xf numFmtId="4" fontId="36" fillId="7" borderId="0" xfId="0" applyNumberFormat="1" applyFont="1" applyFill="1" applyBorder="1" applyAlignment="1" applyProtection="1">
      <alignment horizontal="center"/>
      <protection hidden="1"/>
    </xf>
    <xf numFmtId="168" fontId="95" fillId="7" borderId="0" xfId="0" applyNumberFormat="1" applyFont="1" applyFill="1" applyBorder="1" applyAlignment="1" applyProtection="1">
      <alignment horizontal="center"/>
      <protection hidden="1"/>
    </xf>
    <xf numFmtId="2" fontId="95" fillId="7" borderId="0" xfId="0" applyNumberFormat="1" applyFont="1" applyFill="1" applyBorder="1" applyAlignment="1" applyProtection="1">
      <alignment horizontal="center"/>
      <protection hidden="1"/>
    </xf>
    <xf numFmtId="167" fontId="37" fillId="7" borderId="0" xfId="0" applyNumberFormat="1" applyFont="1" applyFill="1" applyBorder="1" applyAlignment="1" applyProtection="1">
      <alignment horizontal="center" vertical="top"/>
      <protection hidden="1"/>
    </xf>
    <xf numFmtId="2" fontId="38" fillId="7" borderId="0" xfId="0" applyNumberFormat="1" applyFont="1" applyFill="1" applyBorder="1" applyAlignment="1" applyProtection="1">
      <alignment horizontal="center"/>
      <protection hidden="1"/>
    </xf>
    <xf numFmtId="2" fontId="39" fillId="7" borderId="0" xfId="0" applyNumberFormat="1" applyFont="1" applyFill="1" applyBorder="1" applyAlignment="1" applyProtection="1">
      <alignment horizontal="center"/>
      <protection hidden="1"/>
    </xf>
    <xf numFmtId="168" fontId="43" fillId="2" borderId="0" xfId="0" applyNumberFormat="1" applyFont="1" applyFill="1" applyBorder="1" applyAlignment="1" applyProtection="1">
      <alignment horizontal="right"/>
      <protection hidden="1"/>
    </xf>
    <xf numFmtId="2" fontId="43" fillId="2" borderId="0" xfId="0" applyNumberFormat="1" applyFont="1" applyFill="1" applyBorder="1" applyAlignment="1" applyProtection="1">
      <alignment horizontal="left"/>
      <protection hidden="1"/>
    </xf>
    <xf numFmtId="164" fontId="127" fillId="2" borderId="0" xfId="0" applyNumberFormat="1" applyFont="1" applyFill="1" applyBorder="1" applyAlignment="1" applyProtection="1">
      <alignment horizontal="center"/>
      <protection hidden="1"/>
    </xf>
    <xf numFmtId="2" fontId="127" fillId="2" borderId="0" xfId="0" applyNumberFormat="1" applyFont="1" applyFill="1" applyBorder="1" applyAlignment="1" applyProtection="1">
      <alignment horizontal="center"/>
      <protection hidden="1"/>
    </xf>
    <xf numFmtId="167" fontId="67" fillId="2" borderId="0" xfId="0" applyNumberFormat="1" applyFont="1" applyFill="1" applyBorder="1" applyAlignment="1" applyProtection="1">
      <alignment horizontal="center"/>
      <protection hidden="1"/>
    </xf>
    <xf numFmtId="168" fontId="84" fillId="2" borderId="0" xfId="0" applyNumberFormat="1" applyFont="1" applyFill="1" applyBorder="1" applyAlignment="1" applyProtection="1">
      <alignment horizontal="right"/>
      <protection hidden="1"/>
    </xf>
    <xf numFmtId="2" fontId="84" fillId="2" borderId="0" xfId="0" applyNumberFormat="1" applyFont="1" applyFill="1" applyBorder="1" applyAlignment="1" applyProtection="1">
      <alignment horizontal="left"/>
      <protection hidden="1"/>
    </xf>
    <xf numFmtId="167" fontId="68" fillId="2" borderId="0" xfId="0" applyNumberFormat="1" applyFont="1" applyFill="1" applyBorder="1" applyAlignment="1" applyProtection="1">
      <alignment horizontal="center"/>
      <protection hidden="1"/>
    </xf>
    <xf numFmtId="7" fontId="68" fillId="2" borderId="0" xfId="0" applyNumberFormat="1" applyFont="1" applyFill="1" applyBorder="1" applyAlignment="1" applyProtection="1">
      <alignment horizontal="center"/>
      <protection hidden="1"/>
    </xf>
    <xf numFmtId="166" fontId="68" fillId="2" borderId="0" xfId="0" applyNumberFormat="1" applyFont="1" applyFill="1" applyBorder="1" applyAlignment="1" applyProtection="1">
      <alignment horizontal="center"/>
      <protection hidden="1"/>
    </xf>
    <xf numFmtId="10" fontId="68" fillId="2" borderId="0" xfId="0" applyNumberFormat="1" applyFont="1" applyFill="1" applyBorder="1" applyAlignment="1" applyProtection="1">
      <alignment horizontal="center"/>
      <protection hidden="1"/>
    </xf>
    <xf numFmtId="1" fontId="44" fillId="2" borderId="0" xfId="0" applyNumberFormat="1" applyFont="1" applyFill="1" applyBorder="1" applyAlignment="1" applyProtection="1">
      <alignment horizontal="center"/>
      <protection hidden="1"/>
    </xf>
    <xf numFmtId="0" fontId="85" fillId="2" borderId="0" xfId="0" applyNumberFormat="1" applyFont="1" applyFill="1" applyBorder="1" applyAlignment="1" applyProtection="1">
      <alignment horizontal="right" vertical="top"/>
      <protection hidden="1"/>
    </xf>
    <xf numFmtId="2" fontId="85" fillId="2" borderId="0" xfId="0" applyNumberFormat="1" applyFont="1" applyFill="1" applyBorder="1" applyAlignment="1" applyProtection="1">
      <alignment horizontal="left" vertical="top"/>
      <protection hidden="1"/>
    </xf>
    <xf numFmtId="167" fontId="69" fillId="2" borderId="0" xfId="0" applyNumberFormat="1" applyFont="1" applyFill="1" applyBorder="1" applyAlignment="1" applyProtection="1">
      <alignment horizontal="center" vertical="top"/>
      <protection hidden="1"/>
    </xf>
    <xf numFmtId="4" fontId="70" fillId="2" borderId="0" xfId="0" applyNumberFormat="1" applyFont="1" applyFill="1" applyBorder="1" applyAlignment="1" applyProtection="1">
      <alignment horizontal="center"/>
      <protection hidden="1"/>
    </xf>
    <xf numFmtId="0" fontId="70" fillId="2" borderId="0" xfId="0" applyFont="1" applyFill="1" applyBorder="1" applyAlignment="1" applyProtection="1">
      <alignment horizontal="center"/>
      <protection hidden="1"/>
    </xf>
    <xf numFmtId="14" fontId="70" fillId="2" borderId="0" xfId="0" applyNumberFormat="1" applyFont="1" applyFill="1" applyBorder="1" applyAlignment="1" applyProtection="1">
      <alignment horizontal="center"/>
      <protection hidden="1"/>
    </xf>
    <xf numFmtId="1" fontId="101" fillId="2" borderId="0" xfId="0" applyNumberFormat="1" applyFont="1" applyFill="1" applyBorder="1" applyAlignment="1" applyProtection="1">
      <alignment horizontal="right" vertical="top"/>
      <protection hidden="1"/>
    </xf>
    <xf numFmtId="0" fontId="66" fillId="4" borderId="0" xfId="0" applyFont="1" applyFill="1" applyProtection="1">
      <protection hidden="1"/>
    </xf>
    <xf numFmtId="0" fontId="66" fillId="4" borderId="0" xfId="0" applyNumberFormat="1" applyFont="1" applyFill="1" applyProtection="1">
      <protection hidden="1"/>
    </xf>
    <xf numFmtId="0" fontId="4" fillId="4" borderId="0" xfId="0" applyFont="1" applyFill="1" applyBorder="1" applyAlignment="1" applyProtection="1">
      <alignment horizontal="left"/>
      <protection hidden="1"/>
    </xf>
    <xf numFmtId="4" fontId="4" fillId="4" borderId="0" xfId="0" applyNumberFormat="1" applyFont="1" applyFill="1" applyBorder="1" applyAlignment="1" applyProtection="1">
      <alignment horizontal="left"/>
      <protection hidden="1"/>
    </xf>
    <xf numFmtId="0" fontId="4" fillId="4" borderId="0" xfId="0" applyFont="1" applyFill="1" applyBorder="1" applyAlignment="1" applyProtection="1">
      <alignment horizontal="center"/>
      <protection hidden="1"/>
    </xf>
    <xf numFmtId="14" fontId="4" fillId="4" borderId="0" xfId="0" applyNumberFormat="1" applyFont="1" applyFill="1" applyBorder="1" applyAlignment="1" applyProtection="1">
      <alignment horizontal="center"/>
      <protection hidden="1"/>
    </xf>
    <xf numFmtId="4" fontId="4" fillId="4" borderId="0" xfId="0" applyNumberFormat="1" applyFont="1" applyFill="1" applyBorder="1" applyAlignment="1" applyProtection="1">
      <alignment horizontal="right"/>
      <protection hidden="1"/>
    </xf>
    <xf numFmtId="14" fontId="4" fillId="4" borderId="0" xfId="0" applyNumberFormat="1" applyFont="1" applyFill="1" applyAlignment="1" applyProtection="1">
      <alignment horizontal="center"/>
      <protection hidden="1"/>
    </xf>
    <xf numFmtId="4" fontId="34" fillId="4" borderId="0" xfId="0" applyNumberFormat="1" applyFont="1" applyFill="1" applyAlignment="1" applyProtection="1">
      <alignment horizontal="left" vertical="center"/>
      <protection hidden="1"/>
    </xf>
    <xf numFmtId="4" fontId="4" fillId="4" borderId="0" xfId="0" applyNumberFormat="1" applyFont="1" applyFill="1" applyAlignment="1" applyProtection="1">
      <alignment horizontal="right"/>
      <protection hidden="1"/>
    </xf>
    <xf numFmtId="0" fontId="24" fillId="4" borderId="0" xfId="0" applyFont="1" applyFill="1" applyAlignment="1" applyProtection="1">
      <alignment horizontal="left"/>
      <protection hidden="1"/>
    </xf>
    <xf numFmtId="0" fontId="4" fillId="4" borderId="0" xfId="0" applyFont="1" applyFill="1" applyAlignment="1" applyProtection="1">
      <alignment horizontal="left"/>
      <protection hidden="1"/>
    </xf>
    <xf numFmtId="0" fontId="28" fillId="4" borderId="0" xfId="0" applyFont="1" applyFill="1" applyAlignment="1" applyProtection="1">
      <alignment horizontal="left"/>
      <protection hidden="1"/>
    </xf>
    <xf numFmtId="4" fontId="4" fillId="4" borderId="0" xfId="0" applyNumberFormat="1" applyFont="1" applyFill="1" applyAlignment="1" applyProtection="1">
      <alignment horizontal="left"/>
      <protection hidden="1"/>
    </xf>
    <xf numFmtId="2" fontId="9" fillId="4" borderId="0" xfId="0" applyNumberFormat="1" applyFont="1" applyFill="1" applyBorder="1" applyAlignment="1" applyProtection="1">
      <alignment horizontal="left"/>
      <protection hidden="1"/>
    </xf>
    <xf numFmtId="0" fontId="111" fillId="4" borderId="0" xfId="0" applyFont="1" applyFill="1" applyProtection="1">
      <protection hidden="1"/>
    </xf>
    <xf numFmtId="0" fontId="92" fillId="4" borderId="0" xfId="0" applyFont="1" applyFill="1" applyAlignment="1" applyProtection="1">
      <protection hidden="1"/>
    </xf>
    <xf numFmtId="0" fontId="92" fillId="4" borderId="0" xfId="0" applyFont="1" applyFill="1" applyProtection="1">
      <protection hidden="1"/>
    </xf>
    <xf numFmtId="2" fontId="86" fillId="4" borderId="0" xfId="0" applyNumberFormat="1" applyFont="1" applyFill="1" applyBorder="1" applyAlignment="1" applyProtection="1">
      <alignment horizontal="left"/>
      <protection hidden="1"/>
    </xf>
    <xf numFmtId="2" fontId="24" fillId="4" borderId="0" xfId="0" applyNumberFormat="1" applyFont="1" applyFill="1" applyAlignment="1" applyProtection="1">
      <alignment horizontal="left"/>
      <protection hidden="1"/>
    </xf>
    <xf numFmtId="0" fontId="28" fillId="4" borderId="0" xfId="0" applyNumberFormat="1" applyFont="1" applyFill="1" applyBorder="1" applyAlignment="1" applyProtection="1">
      <alignment horizontal="left"/>
      <protection hidden="1"/>
    </xf>
    <xf numFmtId="0" fontId="77" fillId="4" borderId="0" xfId="0" applyFont="1" applyFill="1" applyProtection="1">
      <protection hidden="1"/>
    </xf>
    <xf numFmtId="4" fontId="17" fillId="4" borderId="0" xfId="0" applyNumberFormat="1" applyFont="1" applyFill="1" applyAlignment="1" applyProtection="1">
      <alignment horizontal="right"/>
      <protection hidden="1"/>
    </xf>
    <xf numFmtId="14" fontId="17" fillId="4" borderId="0" xfId="0" applyNumberFormat="1" applyFont="1" applyFill="1" applyAlignment="1" applyProtection="1">
      <alignment horizontal="center"/>
      <protection hidden="1"/>
    </xf>
    <xf numFmtId="0" fontId="79" fillId="4" borderId="0" xfId="0" applyFont="1" applyFill="1" applyProtection="1">
      <protection hidden="1"/>
    </xf>
    <xf numFmtId="0" fontId="2" fillId="4" borderId="0" xfId="0" applyFont="1" applyFill="1" applyAlignment="1" applyProtection="1">
      <alignment horizontal="center"/>
      <protection hidden="1"/>
    </xf>
    <xf numFmtId="0" fontId="17" fillId="4" borderId="0" xfId="0" applyFont="1" applyFill="1" applyAlignment="1" applyProtection="1">
      <alignment horizontal="center"/>
      <protection hidden="1"/>
    </xf>
    <xf numFmtId="0" fontId="51" fillId="5" borderId="0" xfId="0" applyNumberFormat="1" applyFont="1" applyFill="1" applyBorder="1" applyAlignment="1" applyProtection="1">
      <alignment horizontal="center"/>
      <protection locked="0"/>
    </xf>
    <xf numFmtId="0" fontId="51" fillId="5" borderId="0" xfId="0" applyNumberFormat="1" applyFont="1" applyFill="1" applyBorder="1" applyAlignment="1" applyProtection="1">
      <alignment horizontal="left"/>
      <protection locked="0"/>
    </xf>
    <xf numFmtId="0" fontId="130" fillId="4" borderId="0" xfId="0" applyFont="1" applyFill="1" applyAlignment="1" applyProtection="1">
      <alignment vertical="center"/>
      <protection locked="0"/>
    </xf>
    <xf numFmtId="4" fontId="50" fillId="5" borderId="0" xfId="0" applyNumberFormat="1" applyFont="1" applyFill="1" applyBorder="1" applyAlignment="1" applyProtection="1">
      <alignment horizontal="center"/>
      <protection locked="0"/>
    </xf>
    <xf numFmtId="174" fontId="50" fillId="5" borderId="0" xfId="0" applyNumberFormat="1" applyFont="1" applyFill="1" applyBorder="1" applyAlignment="1" applyProtection="1">
      <alignment horizontal="center"/>
      <protection locked="0"/>
    </xf>
    <xf numFmtId="172" fontId="50" fillId="5" borderId="0" xfId="0" applyNumberFormat="1" applyFont="1" applyFill="1" applyBorder="1" applyAlignment="1" applyProtection="1">
      <alignment horizontal="center"/>
      <protection locked="0"/>
    </xf>
    <xf numFmtId="176" fontId="50" fillId="5" borderId="0" xfId="0" applyNumberFormat="1" applyFont="1" applyFill="1" applyBorder="1" applyAlignment="1" applyProtection="1">
      <alignment horizontal="center"/>
      <protection locked="0"/>
    </xf>
    <xf numFmtId="1" fontId="15" fillId="0" borderId="0" xfId="0" applyNumberFormat="1" applyFont="1" applyFill="1" applyBorder="1" applyAlignment="1" applyProtection="1">
      <alignment horizontal="right"/>
      <protection locked="0"/>
    </xf>
    <xf numFmtId="1" fontId="21" fillId="0" borderId="0" xfId="0" applyNumberFormat="1" applyFont="1" applyFill="1" applyBorder="1" applyAlignment="1" applyProtection="1">
      <alignment horizontal="center"/>
      <protection locked="0"/>
    </xf>
    <xf numFmtId="1" fontId="21" fillId="0" borderId="0" xfId="0" applyNumberFormat="1" applyFont="1" applyFill="1" applyBorder="1" applyAlignment="1" applyProtection="1">
      <alignment horizontal="left"/>
      <protection locked="0"/>
    </xf>
    <xf numFmtId="1" fontId="133" fillId="0" borderId="0" xfId="0" applyNumberFormat="1" applyFont="1" applyFill="1" applyBorder="1"/>
    <xf numFmtId="1" fontId="21" fillId="0" borderId="0" xfId="0" applyNumberFormat="1" applyFont="1" applyFill="1" applyBorder="1" applyProtection="1"/>
    <xf numFmtId="1" fontId="15" fillId="0" borderId="0" xfId="0" applyNumberFormat="1" applyFont="1" applyFill="1" applyBorder="1" applyAlignment="1" applyProtection="1">
      <alignment horizontal="center"/>
      <protection locked="0"/>
    </xf>
    <xf numFmtId="1" fontId="132" fillId="0" borderId="0" xfId="0" applyNumberFormat="1" applyFont="1" applyFill="1" applyBorder="1" applyAlignment="1">
      <alignment horizontal="left"/>
    </xf>
    <xf numFmtId="1" fontId="134" fillId="0" borderId="0" xfId="0" applyNumberFormat="1" applyFont="1" applyFill="1" applyAlignment="1" applyProtection="1">
      <alignment horizontal="left"/>
    </xf>
    <xf numFmtId="1" fontId="134" fillId="0" borderId="0" xfId="0" applyNumberFormat="1" applyFont="1" applyFill="1" applyProtection="1"/>
    <xf numFmtId="1" fontId="132" fillId="0" borderId="0" xfId="0" applyNumberFormat="1" applyFont="1" applyFill="1" applyBorder="1"/>
    <xf numFmtId="0" fontId="135" fillId="0" borderId="0" xfId="0" applyFont="1" applyFill="1" applyProtection="1"/>
    <xf numFmtId="3" fontId="136" fillId="0" borderId="0" xfId="0" applyNumberFormat="1" applyFont="1" applyFill="1" applyBorder="1" applyAlignment="1" applyProtection="1">
      <alignment horizontal="right"/>
      <protection locked="0"/>
    </xf>
    <xf numFmtId="0" fontId="135" fillId="0" borderId="0" xfId="0" applyFont="1" applyFill="1" applyAlignment="1" applyProtection="1">
      <alignment horizontal="right"/>
    </xf>
    <xf numFmtId="2" fontId="135" fillId="0" borderId="0" xfId="0" applyNumberFormat="1" applyFont="1" applyFill="1" applyProtection="1"/>
    <xf numFmtId="0" fontId="135" fillId="0" borderId="0" xfId="0" applyFont="1" applyFill="1" applyBorder="1"/>
    <xf numFmtId="167" fontId="131" fillId="0" borderId="0" xfId="0" applyNumberFormat="1" applyFont="1" applyFill="1" applyBorder="1" applyAlignment="1" applyProtection="1">
      <alignment horizontal="center"/>
      <protection locked="0"/>
    </xf>
    <xf numFmtId="14" fontId="131" fillId="0" borderId="0" xfId="0" applyNumberFormat="1" applyFont="1" applyFill="1" applyBorder="1" applyAlignment="1" applyProtection="1">
      <alignment horizontal="left"/>
      <protection locked="0"/>
    </xf>
    <xf numFmtId="0" fontId="137" fillId="0" borderId="0" xfId="0" applyFont="1" applyFill="1" applyBorder="1"/>
    <xf numFmtId="4" fontId="131" fillId="0" borderId="0" xfId="0" applyNumberFormat="1" applyFont="1" applyFill="1" applyBorder="1" applyProtection="1"/>
    <xf numFmtId="3" fontId="131" fillId="0" borderId="0" xfId="0" applyNumberFormat="1" applyFont="1" applyFill="1" applyBorder="1" applyAlignment="1" applyProtection="1">
      <alignment horizontal="center"/>
      <protection locked="0"/>
    </xf>
    <xf numFmtId="0" fontId="0" fillId="0" borderId="0" xfId="0" applyFont="1" applyFill="1" applyBorder="1" applyAlignment="1">
      <alignment horizontal="left"/>
    </xf>
    <xf numFmtId="0" fontId="0" fillId="0" borderId="0" xfId="0" applyFont="1" applyFill="1" applyAlignment="1" applyProtection="1">
      <alignment horizontal="left"/>
    </xf>
    <xf numFmtId="0" fontId="0" fillId="0" borderId="0" xfId="0" applyFont="1" applyFill="1" applyProtection="1"/>
    <xf numFmtId="0" fontId="50" fillId="6" borderId="0" xfId="0" applyNumberFormat="1" applyFont="1" applyFill="1" applyBorder="1" applyAlignment="1" applyProtection="1">
      <alignment horizontal="left"/>
      <protection locked="0"/>
    </xf>
    <xf numFmtId="1" fontId="88" fillId="3" borderId="0" xfId="0" applyNumberFormat="1" applyFont="1" applyFill="1" applyBorder="1" applyAlignment="1" applyProtection="1">
      <alignment horizontal="center"/>
      <protection hidden="1"/>
    </xf>
    <xf numFmtId="0" fontId="138" fillId="8" borderId="0" xfId="0" applyFont="1" applyFill="1" applyBorder="1" applyAlignment="1" applyProtection="1">
      <alignment horizontal="center"/>
      <protection hidden="1"/>
    </xf>
    <xf numFmtId="3" fontId="139" fillId="10" borderId="0" xfId="0" applyNumberFormat="1" applyFont="1" applyFill="1" applyBorder="1" applyAlignment="1" applyProtection="1">
      <alignment horizontal="left" vertical="center"/>
      <protection locked="0"/>
    </xf>
    <xf numFmtId="10" fontId="139" fillId="10" borderId="0" xfId="0" applyNumberFormat="1" applyFont="1" applyFill="1" applyBorder="1" applyAlignment="1" applyProtection="1">
      <alignment horizontal="left" vertical="center"/>
      <protection locked="0"/>
    </xf>
    <xf numFmtId="0" fontId="64" fillId="7" borderId="0" xfId="0" applyFont="1" applyFill="1" applyBorder="1" applyAlignment="1" applyProtection="1">
      <alignment horizontal="left"/>
      <protection hidden="1"/>
    </xf>
    <xf numFmtId="2" fontId="141" fillId="7" borderId="0" xfId="0" applyNumberFormat="1" applyFont="1" applyFill="1" applyBorder="1" applyAlignment="1" applyProtection="1">
      <alignment horizontal="center"/>
      <protection hidden="1"/>
    </xf>
    <xf numFmtId="4" fontId="142" fillId="7" borderId="0" xfId="0" applyNumberFormat="1" applyFont="1" applyFill="1" applyBorder="1" applyAlignment="1" applyProtection="1">
      <alignment horizontal="left"/>
      <protection hidden="1"/>
    </xf>
    <xf numFmtId="14" fontId="142" fillId="7" borderId="0" xfId="0" applyNumberFormat="1" applyFont="1" applyFill="1" applyBorder="1" applyAlignment="1" applyProtection="1">
      <alignment horizontal="center"/>
      <protection hidden="1"/>
    </xf>
    <xf numFmtId="175" fontId="143" fillId="7" borderId="0" xfId="0" applyNumberFormat="1" applyFont="1" applyFill="1" applyBorder="1" applyAlignment="1" applyProtection="1">
      <alignment horizontal="center"/>
      <protection hidden="1"/>
    </xf>
    <xf numFmtId="172" fontId="144" fillId="7" borderId="0" xfId="0" applyNumberFormat="1" applyFont="1" applyFill="1" applyBorder="1" applyAlignment="1" applyProtection="1">
      <alignment horizontal="center"/>
      <protection hidden="1"/>
    </xf>
    <xf numFmtId="164" fontId="143" fillId="7" borderId="0" xfId="0" applyNumberFormat="1" applyFont="1" applyFill="1" applyBorder="1" applyAlignment="1" applyProtection="1">
      <alignment horizontal="center"/>
      <protection hidden="1"/>
    </xf>
    <xf numFmtId="4" fontId="142" fillId="7" borderId="0" xfId="0" applyNumberFormat="1" applyFont="1" applyFill="1" applyBorder="1" applyAlignment="1" applyProtection="1">
      <alignment horizontal="center"/>
      <protection hidden="1"/>
    </xf>
    <xf numFmtId="2" fontId="142" fillId="7" borderId="0" xfId="0" applyNumberFormat="1" applyFont="1" applyFill="1" applyBorder="1" applyAlignment="1" applyProtection="1">
      <alignment horizontal="center"/>
      <protection hidden="1"/>
    </xf>
    <xf numFmtId="2" fontId="92" fillId="7" borderId="0" xfId="0" applyNumberFormat="1" applyFont="1" applyFill="1" applyBorder="1" applyAlignment="1" applyProtection="1">
      <alignment horizontal="center"/>
      <protection hidden="1"/>
    </xf>
    <xf numFmtId="0" fontId="145" fillId="7" borderId="0" xfId="0" applyFont="1" applyFill="1" applyBorder="1" applyAlignment="1" applyProtection="1">
      <alignment horizontal="left"/>
      <protection hidden="1"/>
    </xf>
    <xf numFmtId="14" fontId="143" fillId="7" borderId="0" xfId="0" applyNumberFormat="1" applyFont="1" applyFill="1" applyBorder="1" applyAlignment="1" applyProtection="1">
      <alignment horizontal="center"/>
      <protection hidden="1"/>
    </xf>
    <xf numFmtId="172" fontId="143" fillId="7" borderId="0" xfId="0" applyNumberFormat="1" applyFont="1" applyFill="1" applyBorder="1" applyAlignment="1" applyProtection="1">
      <alignment horizontal="center"/>
      <protection hidden="1"/>
    </xf>
    <xf numFmtId="166" fontId="142" fillId="7" borderId="0" xfId="0" applyNumberFormat="1" applyFont="1" applyFill="1" applyBorder="1" applyAlignment="1" applyProtection="1">
      <alignment horizontal="center"/>
      <protection hidden="1"/>
    </xf>
    <xf numFmtId="0" fontId="146" fillId="7" borderId="0" xfId="0" applyFont="1" applyFill="1" applyBorder="1" applyAlignment="1" applyProtection="1">
      <alignment horizontal="left"/>
      <protection hidden="1"/>
    </xf>
    <xf numFmtId="0" fontId="147" fillId="4" borderId="0" xfId="0" applyFont="1" applyFill="1" applyBorder="1" applyAlignment="1" applyProtection="1">
      <alignment horizontal="left"/>
      <protection hidden="1"/>
    </xf>
    <xf numFmtId="4" fontId="142" fillId="4" borderId="0" xfId="0" applyNumberFormat="1" applyFont="1" applyFill="1" applyBorder="1" applyAlignment="1" applyProtection="1">
      <alignment horizontal="center"/>
      <protection hidden="1"/>
    </xf>
    <xf numFmtId="14" fontId="143" fillId="4" borderId="0" xfId="0" applyNumberFormat="1" applyFont="1" applyFill="1" applyBorder="1" applyAlignment="1" applyProtection="1">
      <alignment horizontal="center"/>
      <protection hidden="1"/>
    </xf>
    <xf numFmtId="175" fontId="143" fillId="4" borderId="0" xfId="0" applyNumberFormat="1" applyFont="1" applyFill="1" applyBorder="1" applyAlignment="1" applyProtection="1">
      <alignment horizontal="center"/>
      <protection hidden="1"/>
    </xf>
    <xf numFmtId="172" fontId="143" fillId="4" borderId="0" xfId="0" applyNumberFormat="1" applyFont="1" applyFill="1" applyBorder="1" applyAlignment="1" applyProtection="1">
      <alignment horizontal="center"/>
      <protection hidden="1"/>
    </xf>
    <xf numFmtId="164" fontId="143" fillId="4" borderId="0" xfId="0" applyNumberFormat="1" applyFont="1" applyFill="1" applyBorder="1" applyAlignment="1" applyProtection="1">
      <alignment horizontal="center"/>
      <protection hidden="1"/>
    </xf>
    <xf numFmtId="166" fontId="142" fillId="4" borderId="0" xfId="0" applyNumberFormat="1" applyFont="1" applyFill="1" applyBorder="1" applyAlignment="1" applyProtection="1">
      <alignment horizontal="center"/>
      <protection hidden="1"/>
    </xf>
    <xf numFmtId="0" fontId="117" fillId="4" borderId="0" xfId="0" applyFont="1" applyFill="1" applyAlignment="1" applyProtection="1">
      <alignment horizontal="center"/>
      <protection hidden="1"/>
    </xf>
    <xf numFmtId="0" fontId="104" fillId="4" borderId="0" xfId="0" applyFont="1" applyFill="1" applyAlignment="1" applyProtection="1">
      <alignment horizontal="center"/>
      <protection hidden="1"/>
    </xf>
    <xf numFmtId="164" fontId="60" fillId="11" borderId="0" xfId="0" applyNumberFormat="1" applyFont="1" applyFill="1" applyBorder="1" applyAlignment="1" applyProtection="1">
      <alignment horizontal="center"/>
      <protection locked="0"/>
    </xf>
    <xf numFmtId="2" fontId="11" fillId="0" borderId="0" xfId="0" applyNumberFormat="1" applyFont="1" applyFill="1" applyBorder="1" applyAlignment="1">
      <alignment horizontal="left"/>
    </xf>
    <xf numFmtId="2" fontId="58" fillId="0" borderId="0" xfId="0" applyNumberFormat="1" applyFont="1" applyFill="1" applyAlignment="1" applyProtection="1">
      <alignment horizontal="left"/>
    </xf>
    <xf numFmtId="1" fontId="0" fillId="0" borderId="0" xfId="0" applyNumberFormat="1"/>
    <xf numFmtId="1" fontId="0" fillId="0" borderId="0" xfId="0" applyNumberFormat="1" applyFill="1" applyBorder="1" applyAlignment="1">
      <alignment horizontal="left"/>
    </xf>
    <xf numFmtId="1" fontId="58" fillId="0" borderId="0" xfId="0" applyNumberFormat="1" applyFont="1" applyFill="1" applyAlignment="1" applyProtection="1">
      <alignment horizontal="left"/>
    </xf>
    <xf numFmtId="1" fontId="58" fillId="0" borderId="0" xfId="0" applyNumberFormat="1" applyFont="1" applyFill="1" applyProtection="1"/>
    <xf numFmtId="1" fontId="5" fillId="0" borderId="0" xfId="0" applyNumberFormat="1" applyFont="1" applyFill="1" applyProtection="1"/>
    <xf numFmtId="1" fontId="59" fillId="0" borderId="0" xfId="0" applyNumberFormat="1" applyFont="1" applyFill="1" applyBorder="1"/>
    <xf numFmtId="0" fontId="148" fillId="4" borderId="0" xfId="0" applyNumberFormat="1" applyFont="1" applyFill="1" applyBorder="1" applyAlignment="1" applyProtection="1">
      <alignment horizontal="left"/>
      <protection hidden="1"/>
    </xf>
    <xf numFmtId="0" fontId="12" fillId="0" borderId="0" xfId="0" applyNumberFormat="1" applyFont="1" applyFill="1" applyBorder="1" applyProtection="1"/>
    <xf numFmtId="0" fontId="149" fillId="4" borderId="0" xfId="0" applyFont="1" applyFill="1" applyAlignment="1">
      <alignment horizontal="center" vertical="center"/>
    </xf>
    <xf numFmtId="0" fontId="150" fillId="4" borderId="0" xfId="0" applyFont="1" applyFill="1" applyAlignment="1">
      <alignment horizontal="center" vertical="center"/>
    </xf>
    <xf numFmtId="0" fontId="151" fillId="4" borderId="0" xfId="0" applyFont="1" applyFill="1" applyAlignment="1">
      <alignment horizontal="center" vertical="center"/>
    </xf>
    <xf numFmtId="0" fontId="152" fillId="4" borderId="0" xfId="0" applyFont="1" applyFill="1" applyAlignment="1">
      <alignment horizontal="center" vertical="center"/>
    </xf>
    <xf numFmtId="0" fontId="8" fillId="4" borderId="0" xfId="0" applyFont="1" applyFill="1" applyBorder="1" applyAlignment="1" applyProtection="1">
      <alignment horizontal="center" vertical="center"/>
      <protection hidden="1"/>
    </xf>
    <xf numFmtId="7" fontId="0" fillId="0" borderId="0" xfId="0" applyNumberFormat="1"/>
    <xf numFmtId="166" fontId="142" fillId="7" borderId="0" xfId="0" applyNumberFormat="1" applyFont="1" applyFill="1" applyBorder="1" applyAlignment="1" applyProtection="1">
      <alignment horizontal="center" vertical="center"/>
      <protection hidden="1"/>
    </xf>
    <xf numFmtId="166" fontId="142" fillId="12" borderId="0" xfId="0" applyNumberFormat="1" applyFont="1" applyFill="1" applyBorder="1" applyAlignment="1" applyProtection="1">
      <alignment horizontal="center"/>
      <protection hidden="1"/>
    </xf>
    <xf numFmtId="166" fontId="69" fillId="7" borderId="0" xfId="0" applyNumberFormat="1" applyFont="1" applyFill="1" applyBorder="1" applyAlignment="1" applyProtection="1">
      <alignment horizontal="center"/>
      <protection hidden="1"/>
    </xf>
    <xf numFmtId="2" fontId="0" fillId="0" borderId="0" xfId="0" applyNumberFormat="1"/>
    <xf numFmtId="0" fontId="156" fillId="4" borderId="0" xfId="0" applyNumberFormat="1" applyFont="1" applyFill="1" applyAlignment="1" applyProtection="1">
      <protection hidden="1"/>
    </xf>
    <xf numFmtId="0" fontId="153" fillId="4" borderId="0" xfId="0" applyFont="1" applyFill="1" applyBorder="1" applyAlignment="1" applyProtection="1">
      <alignment horizontal="left"/>
      <protection hidden="1"/>
    </xf>
    <xf numFmtId="4" fontId="69" fillId="2" borderId="0" xfId="0" applyNumberFormat="1" applyFont="1" applyFill="1" applyBorder="1" applyAlignment="1" applyProtection="1">
      <alignment horizontal="center"/>
      <protection hidden="1"/>
    </xf>
    <xf numFmtId="2" fontId="69" fillId="2" borderId="0" xfId="0" applyNumberFormat="1" applyFont="1" applyFill="1" applyBorder="1" applyAlignment="1" applyProtection="1">
      <alignment horizontal="center"/>
      <protection hidden="1"/>
    </xf>
    <xf numFmtId="2" fontId="144" fillId="4" borderId="0" xfId="0" applyNumberFormat="1" applyFont="1" applyFill="1" applyBorder="1" applyAlignment="1" applyProtection="1">
      <alignment horizontal="left"/>
      <protection hidden="1"/>
    </xf>
    <xf numFmtId="14" fontId="144" fillId="4" borderId="0" xfId="0" applyNumberFormat="1" applyFont="1" applyFill="1" applyBorder="1" applyAlignment="1" applyProtection="1">
      <alignment horizontal="center"/>
      <protection hidden="1"/>
    </xf>
    <xf numFmtId="175" fontId="144" fillId="4" borderId="0" xfId="0" applyNumberFormat="1" applyFont="1" applyFill="1" applyBorder="1" applyAlignment="1" applyProtection="1">
      <alignment horizontal="center"/>
      <protection hidden="1"/>
    </xf>
    <xf numFmtId="172" fontId="144" fillId="4" borderId="0" xfId="0" applyNumberFormat="1" applyFont="1" applyFill="1" applyBorder="1" applyAlignment="1" applyProtection="1">
      <alignment horizontal="center"/>
      <protection hidden="1"/>
    </xf>
    <xf numFmtId="164" fontId="144" fillId="4" borderId="0" xfId="0" applyNumberFormat="1" applyFont="1" applyFill="1" applyBorder="1" applyAlignment="1" applyProtection="1">
      <alignment horizontal="center"/>
      <protection hidden="1"/>
    </xf>
    <xf numFmtId="4" fontId="69" fillId="4" borderId="0" xfId="0" applyNumberFormat="1" applyFont="1" applyFill="1" applyBorder="1" applyAlignment="1" applyProtection="1">
      <alignment horizontal="center"/>
      <protection hidden="1"/>
    </xf>
    <xf numFmtId="166" fontId="69" fillId="4" borderId="0" xfId="0" applyNumberFormat="1" applyFont="1" applyFill="1" applyBorder="1" applyAlignment="1" applyProtection="1">
      <alignment horizontal="center"/>
      <protection hidden="1"/>
    </xf>
    <xf numFmtId="2" fontId="69" fillId="4" borderId="0" xfId="0" applyNumberFormat="1" applyFont="1" applyFill="1" applyBorder="1" applyAlignment="1" applyProtection="1">
      <alignment horizontal="center"/>
      <protection hidden="1"/>
    </xf>
    <xf numFmtId="2" fontId="69" fillId="2" borderId="0" xfId="0" applyNumberFormat="1" applyFont="1" applyFill="1" applyBorder="1" applyAlignment="1" applyProtection="1">
      <alignment horizontal="left"/>
      <protection hidden="1"/>
    </xf>
    <xf numFmtId="175" fontId="69" fillId="2" borderId="0" xfId="0" applyNumberFormat="1" applyFont="1" applyFill="1" applyBorder="1" applyAlignment="1" applyProtection="1">
      <alignment horizontal="center"/>
      <protection hidden="1"/>
    </xf>
    <xf numFmtId="172" fontId="69" fillId="2" borderId="0" xfId="0" applyNumberFormat="1" applyFont="1" applyFill="1" applyBorder="1" applyAlignment="1" applyProtection="1">
      <alignment horizontal="center"/>
      <protection hidden="1"/>
    </xf>
    <xf numFmtId="164" fontId="69" fillId="2" borderId="0" xfId="0" applyNumberFormat="1" applyFont="1" applyFill="1" applyBorder="1" applyAlignment="1" applyProtection="1">
      <alignment horizontal="center"/>
      <protection hidden="1"/>
    </xf>
    <xf numFmtId="2" fontId="69" fillId="4" borderId="0" xfId="0" applyNumberFormat="1" applyFont="1" applyFill="1" applyBorder="1" applyAlignment="1" applyProtection="1">
      <alignment horizontal="left"/>
      <protection hidden="1"/>
    </xf>
    <xf numFmtId="14" fontId="69" fillId="4" borderId="0" xfId="0" applyNumberFormat="1" applyFont="1" applyFill="1" applyBorder="1" applyAlignment="1" applyProtection="1">
      <alignment horizontal="center"/>
      <protection hidden="1"/>
    </xf>
    <xf numFmtId="175" fontId="69" fillId="4" borderId="0" xfId="0" applyNumberFormat="1" applyFont="1" applyFill="1" applyBorder="1" applyAlignment="1" applyProtection="1">
      <alignment horizontal="center"/>
      <protection hidden="1"/>
    </xf>
    <xf numFmtId="172" fontId="69" fillId="4" borderId="0" xfId="0" applyNumberFormat="1" applyFont="1" applyFill="1" applyBorder="1" applyAlignment="1" applyProtection="1">
      <alignment horizontal="center"/>
      <protection hidden="1"/>
    </xf>
    <xf numFmtId="164" fontId="69" fillId="4" borderId="0" xfId="0" applyNumberFormat="1" applyFont="1" applyFill="1" applyBorder="1" applyAlignment="1" applyProtection="1">
      <alignment horizontal="center"/>
      <protection hidden="1"/>
    </xf>
    <xf numFmtId="0" fontId="69" fillId="4" borderId="0" xfId="0" applyFont="1" applyFill="1" applyBorder="1" applyAlignment="1" applyProtection="1">
      <alignment horizontal="left"/>
      <protection hidden="1"/>
    </xf>
    <xf numFmtId="4" fontId="69" fillId="2" borderId="0" xfId="0" applyNumberFormat="1" applyFont="1" applyFill="1" applyBorder="1" applyAlignment="1" applyProtection="1">
      <alignment horizontal="left"/>
      <protection hidden="1"/>
    </xf>
    <xf numFmtId="0" fontId="69" fillId="2" borderId="0" xfId="0" applyFont="1" applyFill="1" applyBorder="1" applyAlignment="1" applyProtection="1">
      <alignment horizontal="left"/>
      <protection hidden="1"/>
    </xf>
    <xf numFmtId="14" fontId="69" fillId="2" borderId="0" xfId="0" applyNumberFormat="1" applyFont="1" applyFill="1" applyBorder="1" applyAlignment="1" applyProtection="1">
      <alignment horizontal="center"/>
      <protection hidden="1"/>
    </xf>
    <xf numFmtId="4" fontId="44" fillId="2" borderId="0" xfId="0" applyNumberFormat="1" applyFont="1" applyFill="1" applyBorder="1" applyAlignment="1" applyProtection="1">
      <alignment horizontal="left"/>
      <protection hidden="1"/>
    </xf>
    <xf numFmtId="4" fontId="44" fillId="2" borderId="0" xfId="0" applyNumberFormat="1" applyFont="1" applyFill="1" applyBorder="1" applyAlignment="1" applyProtection="1">
      <alignment horizontal="center"/>
      <protection hidden="1"/>
    </xf>
    <xf numFmtId="2" fontId="44" fillId="2" borderId="0" xfId="0" applyNumberFormat="1" applyFont="1" applyFill="1" applyBorder="1" applyAlignment="1" applyProtection="1">
      <alignment horizontal="left"/>
      <protection hidden="1"/>
    </xf>
    <xf numFmtId="14" fontId="44" fillId="2" borderId="0" xfId="0" applyNumberFormat="1" applyFont="1" applyFill="1" applyBorder="1" applyAlignment="1" applyProtection="1">
      <alignment horizontal="center"/>
      <protection hidden="1"/>
    </xf>
    <xf numFmtId="175" fontId="44" fillId="2" borderId="0" xfId="0" applyNumberFormat="1" applyFont="1" applyFill="1" applyBorder="1" applyAlignment="1" applyProtection="1">
      <alignment horizontal="center"/>
      <protection hidden="1"/>
    </xf>
    <xf numFmtId="172" fontId="44" fillId="2" borderId="0" xfId="0" applyNumberFormat="1" applyFont="1" applyFill="1" applyBorder="1" applyAlignment="1" applyProtection="1">
      <alignment horizontal="center"/>
      <protection hidden="1"/>
    </xf>
    <xf numFmtId="164" fontId="44" fillId="2" borderId="0" xfId="0" applyNumberFormat="1" applyFont="1" applyFill="1" applyBorder="1" applyAlignment="1" applyProtection="1">
      <alignment horizontal="center"/>
      <protection hidden="1"/>
    </xf>
    <xf numFmtId="2" fontId="44" fillId="2" borderId="0" xfId="0" applyNumberFormat="1" applyFont="1" applyFill="1" applyBorder="1" applyAlignment="1" applyProtection="1">
      <alignment horizontal="center"/>
      <protection hidden="1"/>
    </xf>
    <xf numFmtId="0" fontId="44" fillId="2" borderId="0" xfId="0" applyFont="1" applyFill="1" applyBorder="1" applyAlignment="1" applyProtection="1">
      <alignment horizontal="center"/>
      <protection hidden="1"/>
    </xf>
    <xf numFmtId="170" fontId="60" fillId="13" borderId="0" xfId="0" applyNumberFormat="1" applyFont="1" applyFill="1" applyBorder="1" applyAlignment="1" applyProtection="1">
      <alignment horizontal="center"/>
      <protection hidden="1"/>
    </xf>
    <xf numFmtId="2" fontId="108" fillId="13" borderId="0" xfId="0" applyNumberFormat="1" applyFont="1" applyFill="1" applyBorder="1" applyAlignment="1" applyProtection="1">
      <alignment horizontal="center"/>
      <protection locked="0"/>
    </xf>
    <xf numFmtId="0" fontId="153" fillId="4" borderId="0" xfId="0" applyFont="1" applyFill="1" applyBorder="1" applyAlignment="1" applyProtection="1">
      <alignment horizontal="left" vertical="center"/>
      <protection hidden="1"/>
    </xf>
    <xf numFmtId="2" fontId="92" fillId="4" borderId="0" xfId="0" applyNumberFormat="1" applyFont="1" applyFill="1" applyBorder="1" applyAlignment="1" applyProtection="1">
      <alignment horizontal="center" vertical="center"/>
      <protection hidden="1"/>
    </xf>
    <xf numFmtId="0" fontId="86" fillId="4" borderId="0" xfId="0" applyFont="1" applyFill="1" applyBorder="1" applyAlignment="1" applyProtection="1">
      <alignment horizontal="left" vertical="center"/>
      <protection hidden="1"/>
    </xf>
    <xf numFmtId="14" fontId="143" fillId="4" borderId="0" xfId="0" applyNumberFormat="1" applyFont="1" applyFill="1" applyBorder="1" applyAlignment="1" applyProtection="1">
      <alignment horizontal="center" vertical="center"/>
      <protection hidden="1"/>
    </xf>
    <xf numFmtId="175" fontId="143" fillId="4" borderId="0" xfId="0" applyNumberFormat="1" applyFont="1" applyFill="1" applyBorder="1" applyAlignment="1" applyProtection="1">
      <alignment horizontal="center" vertical="center"/>
      <protection hidden="1"/>
    </xf>
    <xf numFmtId="172" fontId="143" fillId="4" borderId="0" xfId="0" applyNumberFormat="1" applyFont="1" applyFill="1" applyBorder="1" applyAlignment="1" applyProtection="1">
      <alignment horizontal="center" vertical="center"/>
      <protection hidden="1"/>
    </xf>
    <xf numFmtId="164" fontId="143" fillId="4" borderId="0" xfId="0" applyNumberFormat="1" applyFont="1" applyFill="1" applyBorder="1" applyAlignment="1" applyProtection="1">
      <alignment horizontal="center" vertical="center"/>
      <protection hidden="1"/>
    </xf>
    <xf numFmtId="4" fontId="142" fillId="4" borderId="0" xfId="0" applyNumberFormat="1" applyFont="1" applyFill="1" applyBorder="1" applyAlignment="1" applyProtection="1">
      <alignment horizontal="center" vertical="center"/>
      <protection hidden="1"/>
    </xf>
    <xf numFmtId="166" fontId="142" fillId="4" borderId="0" xfId="0" applyNumberFormat="1" applyFont="1" applyFill="1" applyBorder="1" applyAlignment="1" applyProtection="1">
      <alignment horizontal="center" vertical="center"/>
      <protection hidden="1"/>
    </xf>
    <xf numFmtId="2" fontId="92" fillId="4" borderId="0" xfId="0" applyNumberFormat="1" applyFont="1" applyFill="1" applyBorder="1" applyAlignment="1" applyProtection="1">
      <alignment horizontal="center"/>
      <protection hidden="1"/>
    </xf>
    <xf numFmtId="0" fontId="86" fillId="4" borderId="0" xfId="0" applyFont="1" applyFill="1" applyBorder="1" applyAlignment="1" applyProtection="1">
      <alignment horizontal="left"/>
      <protection hidden="1"/>
    </xf>
    <xf numFmtId="0" fontId="64" fillId="4" borderId="0" xfId="0" applyFont="1" applyFill="1" applyBorder="1" applyAlignment="1" applyProtection="1">
      <alignment horizontal="left"/>
      <protection hidden="1"/>
    </xf>
    <xf numFmtId="2" fontId="154" fillId="4" borderId="0" xfId="0" applyNumberFormat="1" applyFont="1" applyFill="1" applyBorder="1" applyAlignment="1" applyProtection="1">
      <alignment horizontal="center"/>
      <protection hidden="1"/>
    </xf>
    <xf numFmtId="0" fontId="145" fillId="4" borderId="0" xfId="0" applyFont="1" applyFill="1" applyBorder="1" applyAlignment="1" applyProtection="1">
      <alignment horizontal="left"/>
      <protection hidden="1"/>
    </xf>
    <xf numFmtId="4" fontId="147" fillId="4" borderId="0" xfId="0" applyNumberFormat="1" applyFont="1" applyFill="1" applyBorder="1" applyAlignment="1" applyProtection="1">
      <alignment horizontal="left"/>
      <protection hidden="1"/>
    </xf>
    <xf numFmtId="2" fontId="155" fillId="4" borderId="0" xfId="0" applyNumberFormat="1" applyFont="1" applyFill="1" applyBorder="1" applyAlignment="1" applyProtection="1">
      <alignment horizontal="left"/>
      <protection hidden="1"/>
    </xf>
    <xf numFmtId="21" fontId="50" fillId="5" borderId="0" xfId="0" applyNumberFormat="1" applyFont="1" applyFill="1" applyBorder="1" applyAlignment="1" applyProtection="1">
      <alignment horizontal="center"/>
      <protection locked="0"/>
    </xf>
    <xf numFmtId="1" fontId="157" fillId="0" borderId="0" xfId="0" applyNumberFormat="1" applyFont="1" applyFill="1" applyBorder="1" applyAlignment="1" applyProtection="1">
      <alignment horizontal="center"/>
      <protection locked="0"/>
    </xf>
    <xf numFmtId="1" fontId="29" fillId="0" borderId="0" xfId="0" applyNumberFormat="1" applyFont="1" applyFill="1" applyBorder="1" applyAlignment="1">
      <alignment horizontal="center"/>
    </xf>
    <xf numFmtId="0" fontId="159" fillId="7" borderId="0" xfId="0" applyFont="1" applyFill="1" applyBorder="1" applyAlignment="1" applyProtection="1">
      <alignment horizontal="left"/>
      <protection hidden="1"/>
    </xf>
    <xf numFmtId="0" fontId="159" fillId="4" borderId="0" xfId="0" applyFont="1" applyFill="1" applyBorder="1" applyAlignment="1" applyProtection="1">
      <alignment horizontal="left"/>
      <protection hidden="1"/>
    </xf>
    <xf numFmtId="2" fontId="159" fillId="7" borderId="0" xfId="0" applyNumberFormat="1" applyFont="1" applyFill="1" applyBorder="1" applyAlignment="1" applyProtection="1">
      <alignment horizontal="center"/>
      <protection hidden="1"/>
    </xf>
    <xf numFmtId="4" fontId="158" fillId="7" borderId="0" xfId="0" applyNumberFormat="1" applyFont="1" applyFill="1" applyBorder="1" applyAlignment="1" applyProtection="1">
      <alignment horizontal="left"/>
      <protection hidden="1"/>
    </xf>
    <xf numFmtId="14" fontId="158" fillId="7" borderId="0" xfId="0" applyNumberFormat="1" applyFont="1" applyFill="1" applyBorder="1" applyAlignment="1" applyProtection="1">
      <alignment horizontal="center"/>
      <protection hidden="1"/>
    </xf>
    <xf numFmtId="4" fontId="158" fillId="7" borderId="0" xfId="0" applyNumberFormat="1" applyFont="1" applyFill="1" applyBorder="1" applyAlignment="1" applyProtection="1">
      <alignment horizontal="center"/>
      <protection hidden="1"/>
    </xf>
    <xf numFmtId="2" fontId="158" fillId="7" borderId="0" xfId="0" applyNumberFormat="1" applyFont="1" applyFill="1" applyBorder="1" applyAlignment="1" applyProtection="1">
      <alignment horizontal="center"/>
      <protection hidden="1"/>
    </xf>
    <xf numFmtId="2" fontId="107" fillId="7" borderId="0" xfId="0" applyNumberFormat="1" applyFont="1" applyFill="1" applyBorder="1" applyAlignment="1" applyProtection="1">
      <alignment horizontal="center"/>
      <protection hidden="1"/>
    </xf>
    <xf numFmtId="166" fontId="158" fillId="7" borderId="0" xfId="0" applyNumberFormat="1" applyFont="1" applyFill="1" applyBorder="1" applyAlignment="1" applyProtection="1">
      <alignment horizontal="center"/>
      <protection hidden="1"/>
    </xf>
    <xf numFmtId="2" fontId="107" fillId="4" borderId="0" xfId="0" applyNumberFormat="1" applyFont="1" applyFill="1" applyBorder="1" applyAlignment="1" applyProtection="1">
      <alignment horizontal="center"/>
      <protection hidden="1"/>
    </xf>
    <xf numFmtId="4" fontId="158" fillId="4" borderId="0" xfId="0" applyNumberFormat="1" applyFont="1" applyFill="1" applyBorder="1" applyAlignment="1" applyProtection="1">
      <alignment horizontal="center"/>
      <protection hidden="1"/>
    </xf>
    <xf numFmtId="166" fontId="158" fillId="4" borderId="0" xfId="0" applyNumberFormat="1" applyFont="1" applyFill="1" applyBorder="1" applyAlignment="1" applyProtection="1">
      <alignment horizontal="center"/>
      <protection hidden="1"/>
    </xf>
    <xf numFmtId="2" fontId="160" fillId="4" borderId="0" xfId="0" applyNumberFormat="1" applyFont="1" applyFill="1" applyBorder="1" applyAlignment="1" applyProtection="1">
      <alignment horizontal="center"/>
      <protection hidden="1"/>
    </xf>
    <xf numFmtId="4" fontId="159" fillId="4" borderId="0" xfId="0" applyNumberFormat="1" applyFont="1" applyFill="1" applyBorder="1" applyAlignment="1" applyProtection="1">
      <alignment horizontal="left"/>
      <protection hidden="1"/>
    </xf>
    <xf numFmtId="175" fontId="158" fillId="7" borderId="0" xfId="0" applyNumberFormat="1" applyFont="1" applyFill="1" applyBorder="1" applyAlignment="1" applyProtection="1">
      <alignment horizontal="center"/>
      <protection hidden="1"/>
    </xf>
    <xf numFmtId="172" fontId="158" fillId="7" borderId="0" xfId="0" applyNumberFormat="1" applyFont="1" applyFill="1" applyBorder="1" applyAlignment="1" applyProtection="1">
      <alignment horizontal="center"/>
      <protection hidden="1"/>
    </xf>
    <xf numFmtId="164" fontId="158" fillId="7" borderId="0" xfId="0" applyNumberFormat="1" applyFont="1" applyFill="1" applyBorder="1" applyAlignment="1" applyProtection="1">
      <alignment horizontal="center"/>
      <protection hidden="1"/>
    </xf>
    <xf numFmtId="0" fontId="158" fillId="7" borderId="0" xfId="0" applyFont="1" applyFill="1" applyBorder="1" applyAlignment="1" applyProtection="1">
      <alignment horizontal="left"/>
      <protection hidden="1"/>
    </xf>
    <xf numFmtId="0" fontId="158" fillId="4" borderId="0" xfId="0" applyFont="1" applyFill="1" applyBorder="1" applyAlignment="1" applyProtection="1">
      <alignment horizontal="left"/>
      <protection hidden="1"/>
    </xf>
    <xf numFmtId="14" fontId="158" fillId="4" borderId="0" xfId="0" applyNumberFormat="1" applyFont="1" applyFill="1" applyBorder="1" applyAlignment="1" applyProtection="1">
      <alignment horizontal="center"/>
      <protection hidden="1"/>
    </xf>
    <xf numFmtId="175" fontId="158" fillId="4" borderId="0" xfId="0" applyNumberFormat="1" applyFont="1" applyFill="1" applyBorder="1" applyAlignment="1" applyProtection="1">
      <alignment horizontal="center"/>
      <protection hidden="1"/>
    </xf>
    <xf numFmtId="172" fontId="158" fillId="4" borderId="0" xfId="0" applyNumberFormat="1" applyFont="1" applyFill="1" applyBorder="1" applyAlignment="1" applyProtection="1">
      <alignment horizontal="center"/>
      <protection hidden="1"/>
    </xf>
    <xf numFmtId="164" fontId="158" fillId="4" borderId="0" xfId="0" applyNumberFormat="1" applyFont="1" applyFill="1" applyBorder="1" applyAlignment="1" applyProtection="1">
      <alignment horizontal="center"/>
      <protection hidden="1"/>
    </xf>
    <xf numFmtId="2" fontId="158" fillId="4" borderId="0" xfId="0" applyNumberFormat="1" applyFont="1" applyFill="1" applyBorder="1" applyAlignment="1" applyProtection="1">
      <alignment horizontal="left"/>
      <protection hidden="1"/>
    </xf>
    <xf numFmtId="164" fontId="0" fillId="0" borderId="0" xfId="0" applyNumberFormat="1"/>
    <xf numFmtId="164" fontId="132" fillId="0" borderId="0" xfId="0" applyNumberFormat="1" applyFont="1"/>
    <xf numFmtId="164" fontId="0" fillId="0" borderId="0" xfId="0" applyNumberFormat="1" applyFont="1"/>
    <xf numFmtId="14" fontId="161" fillId="2" borderId="0" xfId="0" applyNumberFormat="1" applyFont="1" applyFill="1" applyBorder="1" applyAlignment="1" applyProtection="1">
      <alignment horizontal="center"/>
      <protection hidden="1"/>
    </xf>
    <xf numFmtId="175" fontId="161" fillId="2" borderId="0" xfId="0" applyNumberFormat="1" applyFont="1" applyFill="1" applyBorder="1" applyAlignment="1" applyProtection="1">
      <alignment horizontal="center"/>
      <protection hidden="1"/>
    </xf>
    <xf numFmtId="4" fontId="58" fillId="0" borderId="0" xfId="0" applyNumberFormat="1" applyFont="1" applyFill="1" applyProtection="1"/>
    <xf numFmtId="4" fontId="106" fillId="0" borderId="0" xfId="0" applyNumberFormat="1" applyFont="1" applyFill="1" applyBorder="1" applyAlignment="1" applyProtection="1">
      <alignment horizontal="center"/>
      <protection locked="0"/>
    </xf>
    <xf numFmtId="4" fontId="29" fillId="0" borderId="0" xfId="0" applyNumberFormat="1" applyFont="1" applyFill="1" applyBorder="1" applyAlignment="1">
      <alignment horizontal="center"/>
    </xf>
    <xf numFmtId="4" fontId="135" fillId="0" borderId="0" xfId="0" applyNumberFormat="1" applyFont="1" applyFill="1" applyAlignment="1" applyProtection="1">
      <alignment horizontal="right"/>
    </xf>
    <xf numFmtId="4" fontId="0" fillId="0" borderId="0" xfId="0" applyNumberFormat="1" applyFill="1" applyBorder="1"/>
    <xf numFmtId="0" fontId="159" fillId="4" borderId="0" xfId="0" applyFont="1" applyFill="1" applyBorder="1" applyAlignment="1" applyProtection="1">
      <alignment horizontal="left" vertical="center"/>
      <protection hidden="1"/>
    </xf>
    <xf numFmtId="2" fontId="107" fillId="4" borderId="0" xfId="0" applyNumberFormat="1" applyFont="1" applyFill="1" applyBorder="1" applyAlignment="1" applyProtection="1">
      <alignment horizontal="center" vertical="center"/>
      <protection hidden="1"/>
    </xf>
    <xf numFmtId="0" fontId="158" fillId="4" borderId="0" xfId="0" applyFont="1" applyFill="1" applyBorder="1" applyAlignment="1" applyProtection="1">
      <alignment horizontal="left" vertical="center"/>
      <protection hidden="1"/>
    </xf>
    <xf numFmtId="14" fontId="158" fillId="4" borderId="0" xfId="0" applyNumberFormat="1" applyFont="1" applyFill="1" applyBorder="1" applyAlignment="1" applyProtection="1">
      <alignment horizontal="center" vertical="center"/>
      <protection hidden="1"/>
    </xf>
    <xf numFmtId="175" fontId="158" fillId="4" borderId="0" xfId="0" applyNumberFormat="1" applyFont="1" applyFill="1" applyBorder="1" applyAlignment="1" applyProtection="1">
      <alignment horizontal="center" vertical="center"/>
      <protection hidden="1"/>
    </xf>
    <xf numFmtId="172" fontId="158" fillId="4" borderId="0" xfId="0" applyNumberFormat="1" applyFont="1" applyFill="1" applyBorder="1" applyAlignment="1" applyProtection="1">
      <alignment horizontal="center" vertical="center"/>
      <protection hidden="1"/>
    </xf>
    <xf numFmtId="164" fontId="158" fillId="4" borderId="0" xfId="0" applyNumberFormat="1" applyFont="1" applyFill="1" applyBorder="1" applyAlignment="1" applyProtection="1">
      <alignment horizontal="center" vertical="center"/>
      <protection hidden="1"/>
    </xf>
    <xf numFmtId="4" fontId="158" fillId="4" borderId="0" xfId="0" applyNumberFormat="1" applyFont="1" applyFill="1" applyBorder="1" applyAlignment="1" applyProtection="1">
      <alignment horizontal="center" vertical="center"/>
      <protection hidden="1"/>
    </xf>
    <xf numFmtId="166" fontId="158" fillId="4" borderId="0" xfId="0" applyNumberFormat="1" applyFont="1" applyFill="1" applyBorder="1" applyAlignment="1" applyProtection="1">
      <alignment horizontal="center" vertical="center"/>
      <protection hidden="1"/>
    </xf>
  </cellXfs>
  <cellStyles count="1">
    <cellStyle name="Standard" xfId="0" builtinId="0"/>
  </cellStyles>
  <dxfs count="32">
    <dxf>
      <font>
        <color theme="8" tint="-0.24994659260841701"/>
      </font>
    </dxf>
    <dxf>
      <font>
        <color rgb="FFC00000"/>
      </font>
    </dxf>
    <dxf>
      <font>
        <color theme="8" tint="-0.24994659260841701"/>
      </font>
    </dxf>
    <dxf>
      <font>
        <color rgb="FFC00000"/>
      </font>
    </dxf>
    <dxf>
      <font>
        <color theme="8" tint="-0.24994659260841701"/>
      </font>
    </dxf>
    <dxf>
      <font>
        <color rgb="FFC00000"/>
      </font>
    </dxf>
    <dxf>
      <font>
        <color theme="8" tint="-0.24994659260841701"/>
      </font>
    </dxf>
    <dxf>
      <font>
        <color rgb="FFC00000"/>
      </font>
    </dxf>
    <dxf>
      <font>
        <color theme="8" tint="-0.24994659260841701"/>
      </font>
    </dxf>
    <dxf>
      <font>
        <color rgb="FFC00000"/>
      </font>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ont>
        <color rgb="FF906628"/>
      </font>
    </dxf>
    <dxf>
      <font>
        <color theme="5" tint="-0.24994659260841701"/>
      </font>
    </dxf>
    <dxf>
      <font>
        <color theme="6" tint="-0.24994659260841701"/>
      </font>
    </dxf>
    <dxf>
      <fill>
        <patternFill>
          <bgColor rgb="FF081422"/>
        </patternFill>
      </fill>
    </dxf>
    <dxf>
      <fill>
        <patternFill>
          <bgColor theme="3" tint="-0.49998474074526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s>
  <tableStyles count="1" defaultTableStyle="TableStyleMedium2" defaultPivotStyle="PivotStyleLight16">
    <tableStyle name="Table Style 1" pivot="0" count="0" xr9:uid="{00000000-0011-0000-FFFF-FFFF0000000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545E6E"/>
      <rgbColor rgb="00969696"/>
      <rgbColor rgb="00003366"/>
      <rgbColor rgb="00339966"/>
      <rgbColor rgb="00003300"/>
      <rgbColor rgb="00333300"/>
      <rgbColor rgb="00993300"/>
      <rgbColor rgb="00993366"/>
      <rgbColor rgb="00333399"/>
      <rgbColor rgb="00171D26"/>
    </indexedColors>
    <mruColors>
      <color rgb="FF0A192C"/>
      <color rgb="FF74BED2"/>
      <color rgb="FF081422"/>
      <color rgb="FFFFFFFF"/>
      <color rgb="FF215967"/>
      <color rgb="FF945424"/>
      <color rgb="FF906628"/>
      <color rgb="FFB88C00"/>
      <color rgb="FFBF5B09"/>
      <color rgb="FF0917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4.1789764843985756E-2"/>
          <c:y val="5.0510407037242841E-2"/>
          <c:w val="0.91518458714767326"/>
          <c:h val="0.87690407099265832"/>
        </c:manualLayout>
      </c:layout>
      <c:lineChart>
        <c:grouping val="standard"/>
        <c:varyColors val="0"/>
        <c:ser>
          <c:idx val="3"/>
          <c:order val="0"/>
          <c:tx>
            <c:v>apy</c:v>
          </c:tx>
          <c:spPr>
            <a:ln w="38100">
              <a:solidFill>
                <a:schemeClr val="accent3">
                  <a:lumMod val="75000"/>
                </a:schemeClr>
              </a:solidFill>
            </a:ln>
          </c:spPr>
          <c:marker>
            <c:symbol val="none"/>
          </c:marker>
          <c:cat>
            <c:numRef>
              <c:f>[0]!Date</c:f>
              <c:numCache>
                <c:formatCode>m/d/yyyy</c:formatCode>
                <c:ptCount val="1"/>
              </c:numCache>
            </c:numRef>
          </c:cat>
          <c:val>
            <c:numRef>
              <c:f>[0]!APY</c:f>
              <c:numCache>
                <c:formatCode>0.00</c:formatCode>
                <c:ptCount val="1"/>
              </c:numCache>
            </c:numRef>
          </c:val>
          <c:smooth val="1"/>
          <c:extLst>
            <c:ext xmlns:c16="http://schemas.microsoft.com/office/drawing/2014/chart" uri="{C3380CC4-5D6E-409C-BE32-E72D297353CC}">
              <c16:uniqueId val="{00000000-A270-4BA1-A82E-2E06F1498BCA}"/>
            </c:ext>
          </c:extLst>
        </c:ser>
        <c:ser>
          <c:idx val="4"/>
          <c:order val="1"/>
          <c:tx>
            <c:v>reward</c:v>
          </c:tx>
          <c:spPr>
            <a:ln w="38100">
              <a:solidFill>
                <a:srgbClr val="D0CB00"/>
              </a:solidFill>
            </a:ln>
          </c:spPr>
          <c:marker>
            <c:symbol val="none"/>
          </c:marker>
          <c:val>
            <c:numRef>
              <c:f>[0]!Reward</c:f>
              <c:numCache>
                <c:formatCode>0.00</c:formatCode>
                <c:ptCount val="1"/>
              </c:numCache>
            </c:numRef>
          </c:val>
          <c:smooth val="1"/>
          <c:extLst>
            <c:ext xmlns:c16="http://schemas.microsoft.com/office/drawing/2014/chart" uri="{C3380CC4-5D6E-409C-BE32-E72D297353CC}">
              <c16:uniqueId val="{00000001-A270-4BA1-A82E-2E06F1498BCA}"/>
            </c:ext>
          </c:extLst>
        </c:ser>
        <c:dLbls>
          <c:showLegendKey val="0"/>
          <c:showVal val="0"/>
          <c:showCatName val="0"/>
          <c:showSerName val="0"/>
          <c:showPercent val="0"/>
          <c:showBubbleSize val="0"/>
        </c:dLbls>
        <c:marker val="1"/>
        <c:smooth val="0"/>
        <c:axId val="339573720"/>
        <c:axId val="1"/>
      </c:lineChart>
      <c:lineChart>
        <c:grouping val="standard"/>
        <c:varyColors val="0"/>
        <c:ser>
          <c:idx val="0"/>
          <c:order val="2"/>
          <c:tx>
            <c:v>Price</c:v>
          </c:tx>
          <c:spPr>
            <a:ln w="38100" cap="rnd">
              <a:solidFill>
                <a:schemeClr val="accent6">
                  <a:lumMod val="75000"/>
                </a:schemeClr>
              </a:solidFill>
            </a:ln>
          </c:spPr>
          <c:marker>
            <c:symbol val="none"/>
          </c:marker>
          <c:cat>
            <c:numRef>
              <c:f>[0]!Date</c:f>
              <c:numCache>
                <c:formatCode>m/d/yyyy</c:formatCode>
                <c:ptCount val="1"/>
              </c:numCache>
            </c:numRef>
          </c:cat>
          <c:val>
            <c:numRef>
              <c:f>[0]!Price</c:f>
              <c:numCache>
                <c:formatCode>0.00</c:formatCode>
                <c:ptCount val="1"/>
              </c:numCache>
            </c:numRef>
          </c:val>
          <c:smooth val="1"/>
          <c:extLst>
            <c:ext xmlns:c16="http://schemas.microsoft.com/office/drawing/2014/chart" uri="{C3380CC4-5D6E-409C-BE32-E72D297353CC}">
              <c16:uniqueId val="{00000002-A270-4BA1-A82E-2E06F1498BCA}"/>
            </c:ext>
          </c:extLst>
        </c:ser>
        <c:ser>
          <c:idx val="1"/>
          <c:order val="3"/>
          <c:tx>
            <c:v>BE diff</c:v>
          </c:tx>
          <c:spPr>
            <a:ln w="38100">
              <a:solidFill>
                <a:schemeClr val="accent5">
                  <a:lumMod val="75000"/>
                </a:schemeClr>
              </a:solidFill>
            </a:ln>
          </c:spPr>
          <c:marker>
            <c:symbol val="none"/>
          </c:marker>
          <c:cat>
            <c:numRef>
              <c:f>[0]!Date</c:f>
              <c:numCache>
                <c:formatCode>m/d/yyyy</c:formatCode>
                <c:ptCount val="1"/>
              </c:numCache>
            </c:numRef>
          </c:cat>
          <c:val>
            <c:numRef>
              <c:f>[0]!BEdiff</c:f>
              <c:numCache>
                <c:formatCode>0.0000</c:formatCode>
                <c:ptCount val="1"/>
              </c:numCache>
            </c:numRef>
          </c:val>
          <c:smooth val="0"/>
          <c:extLst>
            <c:ext xmlns:c16="http://schemas.microsoft.com/office/drawing/2014/chart" uri="{C3380CC4-5D6E-409C-BE32-E72D297353CC}">
              <c16:uniqueId val="{00000003-A270-4BA1-A82E-2E06F1498BCA}"/>
            </c:ext>
          </c:extLst>
        </c:ser>
        <c:ser>
          <c:idx val="5"/>
          <c:order val="4"/>
          <c:tx>
            <c:v>NewBE</c:v>
          </c:tx>
          <c:spPr>
            <a:ln w="38100">
              <a:solidFill>
                <a:schemeClr val="tx1">
                  <a:lumMod val="50000"/>
                  <a:lumOff val="50000"/>
                </a:schemeClr>
              </a:solidFill>
              <a:prstDash val="sysDash"/>
            </a:ln>
          </c:spPr>
          <c:marker>
            <c:symbol val="none"/>
          </c:marker>
          <c:val>
            <c:numRef>
              <c:f>[0]!NewBE</c:f>
              <c:numCache>
                <c:formatCode>#,##0.0000</c:formatCode>
                <c:ptCount val="1"/>
              </c:numCache>
            </c:numRef>
          </c:val>
          <c:smooth val="0"/>
          <c:extLst>
            <c:ext xmlns:c16="http://schemas.microsoft.com/office/drawing/2014/chart" uri="{C3380CC4-5D6E-409C-BE32-E72D297353CC}">
              <c16:uniqueId val="{00000005-A270-4BA1-A82E-2E06F1498BCA}"/>
            </c:ext>
          </c:extLst>
        </c:ser>
        <c:ser>
          <c:idx val="2"/>
          <c:order val="5"/>
          <c:tx>
            <c:v>Break Even</c:v>
          </c:tx>
          <c:spPr>
            <a:ln w="38100">
              <a:solidFill>
                <a:schemeClr val="bg1"/>
              </a:solidFill>
              <a:prstDash val="sysDash"/>
            </a:ln>
          </c:spPr>
          <c:marker>
            <c:symbol val="none"/>
          </c:marker>
          <c:cat>
            <c:numRef>
              <c:f>[0]!Date</c:f>
              <c:numCache>
                <c:formatCode>m/d/yyyy</c:formatCode>
                <c:ptCount val="1"/>
              </c:numCache>
            </c:numRef>
          </c:cat>
          <c:val>
            <c:numRef>
              <c:f>[0]!BE</c:f>
              <c:numCache>
                <c:formatCode>0.0000</c:formatCode>
                <c:ptCount val="1"/>
              </c:numCache>
            </c:numRef>
          </c:val>
          <c:smooth val="0"/>
          <c:extLst>
            <c:ext xmlns:c16="http://schemas.microsoft.com/office/drawing/2014/chart" uri="{C3380CC4-5D6E-409C-BE32-E72D297353CC}">
              <c16:uniqueId val="{00000004-A270-4BA1-A82E-2E06F1498BCA}"/>
            </c:ext>
          </c:extLst>
        </c:ser>
        <c:dLbls>
          <c:showLegendKey val="0"/>
          <c:showVal val="0"/>
          <c:showCatName val="0"/>
          <c:showSerName val="0"/>
          <c:showPercent val="0"/>
          <c:showBubbleSize val="0"/>
        </c:dLbls>
        <c:marker val="1"/>
        <c:smooth val="0"/>
        <c:axId val="3"/>
        <c:axId val="4"/>
      </c:lineChart>
      <c:dateAx>
        <c:axId val="339573720"/>
        <c:scaling>
          <c:orientation val="minMax"/>
        </c:scaling>
        <c:delete val="0"/>
        <c:axPos val="b"/>
        <c:majorGridlines>
          <c:spPr>
            <a:ln>
              <a:noFill/>
            </a:ln>
          </c:spPr>
        </c:majorGridlines>
        <c:minorGridlines>
          <c:spPr>
            <a:ln>
              <a:noFill/>
            </a:ln>
          </c:spPr>
        </c:minorGridlines>
        <c:numFmt formatCode="d/m;@" sourceLinked="0"/>
        <c:majorTickMark val="out"/>
        <c:minorTickMark val="none"/>
        <c:tickLblPos val="nextTo"/>
        <c:spPr>
          <a:ln>
            <a:noFill/>
          </a:ln>
        </c:spPr>
        <c:txPr>
          <a:bodyPr rot="0" vert="horz"/>
          <a:lstStyle/>
          <a:p>
            <a:pPr>
              <a:defRPr sz="1600" b="0" i="0" u="none" strike="noStrike" baseline="0">
                <a:solidFill>
                  <a:schemeClr val="accent4">
                    <a:lumMod val="20000"/>
                    <a:lumOff val="80000"/>
                  </a:schemeClr>
                </a:solidFill>
                <a:latin typeface="Calibri"/>
                <a:ea typeface="Calibri"/>
                <a:cs typeface="Calibri"/>
              </a:defRPr>
            </a:pPr>
            <a:endParaRPr lang="de-DE"/>
          </a:p>
        </c:txPr>
        <c:crossAx val="1"/>
        <c:crosses val="autoZero"/>
        <c:auto val="0"/>
        <c:lblOffset val="100"/>
        <c:baseTimeUnit val="days"/>
        <c:majorUnit val="2"/>
      </c:dateAx>
      <c:valAx>
        <c:axId val="1"/>
        <c:scaling>
          <c:orientation val="minMax"/>
          <c:max val="1.0312664137017535"/>
          <c:min val="0"/>
        </c:scaling>
        <c:delete val="0"/>
        <c:axPos val="l"/>
        <c:title>
          <c:tx>
            <c:rich>
              <a:bodyPr/>
              <a:lstStyle/>
              <a:p>
                <a:pPr>
                  <a:defRPr sz="1000" b="1" i="0" u="none" strike="noStrike" baseline="0">
                    <a:solidFill>
                      <a:srgbClr val="000000"/>
                    </a:solidFill>
                    <a:latin typeface="Calibri"/>
                    <a:ea typeface="Calibri"/>
                    <a:cs typeface="Calibri"/>
                  </a:defRPr>
                </a:pPr>
                <a:r>
                  <a:rPr lang="de-DE"/>
                  <a:t>Reward</a:t>
                </a:r>
              </a:p>
            </c:rich>
          </c:tx>
          <c:overlay val="0"/>
        </c:title>
        <c:numFmt formatCode="#,##0" sourceLinked="0"/>
        <c:majorTickMark val="none"/>
        <c:minorTickMark val="none"/>
        <c:tickLblPos val="nextTo"/>
        <c:spPr>
          <a:ln>
            <a:noFill/>
          </a:ln>
        </c:spPr>
        <c:txPr>
          <a:bodyPr rot="0" vert="horz"/>
          <a:lstStyle/>
          <a:p>
            <a:pPr>
              <a:defRPr sz="1600" b="0" i="0" u="none" strike="noStrike" baseline="0">
                <a:solidFill>
                  <a:schemeClr val="accent5">
                    <a:lumMod val="20000"/>
                    <a:lumOff val="80000"/>
                  </a:schemeClr>
                </a:solidFill>
                <a:latin typeface="Calibri"/>
                <a:ea typeface="Calibri"/>
                <a:cs typeface="Calibri"/>
              </a:defRPr>
            </a:pPr>
            <a:endParaRPr lang="de-DE"/>
          </a:p>
        </c:txPr>
        <c:crossAx val="339573720"/>
        <c:crossesAt val="45784"/>
        <c:crossBetween val="midCat"/>
        <c:majorUnit val="1"/>
      </c:valAx>
      <c:catAx>
        <c:axId val="3"/>
        <c:scaling>
          <c:orientation val="minMax"/>
        </c:scaling>
        <c:delete val="1"/>
        <c:axPos val="b"/>
        <c:numFmt formatCode="m/d/yyyy" sourceLinked="1"/>
        <c:majorTickMark val="out"/>
        <c:minorTickMark val="none"/>
        <c:tickLblPos val="nextTo"/>
        <c:crossAx val="4"/>
        <c:crosses val="autoZero"/>
        <c:auto val="1"/>
        <c:lblAlgn val="ctr"/>
        <c:lblOffset val="100"/>
        <c:noMultiLvlLbl val="1"/>
      </c:catAx>
      <c:valAx>
        <c:axId val="4"/>
        <c:scaling>
          <c:orientation val="minMax"/>
          <c:max val="0.39973999999999998"/>
          <c:min val="0"/>
        </c:scaling>
        <c:delete val="0"/>
        <c:axPos val="r"/>
        <c:majorGridlines>
          <c:spPr>
            <a:ln>
              <a:solidFill>
                <a:schemeClr val="bg1">
                  <a:alpha val="15000"/>
                </a:schemeClr>
              </a:solidFill>
            </a:ln>
          </c:spPr>
        </c:majorGridlines>
        <c:numFmt formatCode="#,##0.00" sourceLinked="0"/>
        <c:majorTickMark val="out"/>
        <c:minorTickMark val="none"/>
        <c:tickLblPos val="nextTo"/>
        <c:spPr>
          <a:ln>
            <a:noFill/>
          </a:ln>
        </c:spPr>
        <c:txPr>
          <a:bodyPr rot="0" vert="horz"/>
          <a:lstStyle/>
          <a:p>
            <a:pPr>
              <a:defRPr sz="1600" b="0" i="0" u="none" strike="noStrike" baseline="0">
                <a:solidFill>
                  <a:schemeClr val="accent5">
                    <a:lumMod val="20000"/>
                    <a:lumOff val="80000"/>
                  </a:schemeClr>
                </a:solidFill>
                <a:latin typeface="Calibri"/>
                <a:ea typeface="Calibri"/>
                <a:cs typeface="Calibri"/>
              </a:defRPr>
            </a:pPr>
            <a:endParaRPr lang="de-DE"/>
          </a:p>
        </c:txPr>
        <c:crossAx val="3"/>
        <c:crosses val="max"/>
        <c:crossBetween val="between"/>
        <c:majorUnit val="0.05"/>
      </c:valAx>
      <c:spPr>
        <a:solidFill>
          <a:srgbClr val="081422"/>
        </a:solidFill>
        <a:ln>
          <a:noFill/>
        </a:ln>
        <a:effectLst>
          <a:softEdge rad="12700"/>
        </a:effectLst>
      </c:spPr>
    </c:plotArea>
    <c:plotVisOnly val="1"/>
    <c:dispBlanksAs val="gap"/>
    <c:showDLblsOverMax val="0"/>
  </c:chart>
  <c:spPr>
    <a:solidFill>
      <a:schemeClr val="tx1"/>
    </a:solidFill>
    <a:ln w="28575">
      <a:noFill/>
    </a:ln>
  </c:spPr>
  <c:txPr>
    <a:bodyPr/>
    <a:lstStyle/>
    <a:p>
      <a:pPr>
        <a:defRPr sz="1000" b="0" i="0" u="none" strike="noStrike" baseline="0">
          <a:solidFill>
            <a:srgbClr val="000000"/>
          </a:solidFill>
          <a:latin typeface="Calibri"/>
          <a:ea typeface="Calibri"/>
          <a:cs typeface="Calibri"/>
        </a:defRPr>
      </a:pPr>
      <a:endParaRPr lang="de-DE"/>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3.jpg"/><Relationship Id="rId5" Type="http://schemas.microsoft.com/office/2007/relationships/hdphoto" Target="../media/hdphoto2.wdp"/><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27213</xdr:colOff>
      <xdr:row>38</xdr:row>
      <xdr:rowOff>58267</xdr:rowOff>
    </xdr:from>
    <xdr:to>
      <xdr:col>9</xdr:col>
      <xdr:colOff>5443</xdr:colOff>
      <xdr:row>67</xdr:row>
      <xdr:rowOff>121227</xdr:rowOff>
    </xdr:to>
    <xdr:graphicFrame macro="">
      <xdr:nvGraphicFramePr>
        <xdr:cNvPr id="973454" name="Chart 1">
          <a:extLst>
            <a:ext uri="{FF2B5EF4-FFF2-40B4-BE49-F238E27FC236}">
              <a16:creationId xmlns:a16="http://schemas.microsoft.com/office/drawing/2014/main" id="{00000000-0008-0000-0000-00008EDA0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952500</xdr:colOff>
          <xdr:row>21</xdr:row>
          <xdr:rowOff>0</xdr:rowOff>
        </xdr:from>
        <xdr:to>
          <xdr:col>5</xdr:col>
          <xdr:colOff>1781175</xdr:colOff>
          <xdr:row>22</xdr:row>
          <xdr:rowOff>0</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1019175</xdr:colOff>
          <xdr:row>20</xdr:row>
          <xdr:rowOff>400050</xdr:rowOff>
        </xdr:from>
        <xdr:to>
          <xdr:col>8</xdr:col>
          <xdr:colOff>1838325</xdr:colOff>
          <xdr:row>22</xdr:row>
          <xdr:rowOff>0</xdr:rowOff>
        </xdr:to>
        <xdr:sp macro="" textlink="">
          <xdr:nvSpPr>
            <xdr:cNvPr id="972982" name="Button 17590" hidden="1">
              <a:extLst>
                <a:ext uri="{63B3BB69-23CF-44E3-9099-C40C66FF867C}">
                  <a14:compatExt spid="_x0000_s972982"/>
                </a:ext>
                <a:ext uri="{FF2B5EF4-FFF2-40B4-BE49-F238E27FC236}">
                  <a16:creationId xmlns:a16="http://schemas.microsoft.com/office/drawing/2014/main" id="{00000000-0008-0000-0000-0000B6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600" b="1" i="0" u="none" strike="noStrike" baseline="0">
                  <a:solidFill>
                    <a:srgbClr val="000000"/>
                  </a:solidFill>
                  <a:latin typeface="Arial"/>
                  <a:cs typeface="Arial"/>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800100</xdr:colOff>
          <xdr:row>20</xdr:row>
          <xdr:rowOff>409575</xdr:rowOff>
        </xdr:from>
        <xdr:to>
          <xdr:col>6</xdr:col>
          <xdr:colOff>1524000</xdr:colOff>
          <xdr:row>22</xdr:row>
          <xdr:rowOff>0</xdr:rowOff>
        </xdr:to>
        <xdr:sp macro="" textlink="">
          <xdr:nvSpPr>
            <xdr:cNvPr id="972984" name="Button 17592" hidden="1">
              <a:extLst>
                <a:ext uri="{63B3BB69-23CF-44E3-9099-C40C66FF867C}">
                  <a14:compatExt spid="_x0000_s972984"/>
                </a:ext>
                <a:ext uri="{FF2B5EF4-FFF2-40B4-BE49-F238E27FC236}">
                  <a16:creationId xmlns:a16="http://schemas.microsoft.com/office/drawing/2014/main" id="{00000000-0008-0000-0000-0000B8D80E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de-DE" sz="1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20</xdr:row>
          <xdr:rowOff>409575</xdr:rowOff>
        </xdr:from>
        <xdr:to>
          <xdr:col>6</xdr:col>
          <xdr:colOff>809625</xdr:colOff>
          <xdr:row>22</xdr:row>
          <xdr:rowOff>0</xdr:rowOff>
        </xdr:to>
        <xdr:sp macro="" textlink="">
          <xdr:nvSpPr>
            <xdr:cNvPr id="972985" name="Button 17593" hidden="1">
              <a:extLst>
                <a:ext uri="{63B3BB69-23CF-44E3-9099-C40C66FF867C}">
                  <a14:compatExt spid="_x0000_s972985"/>
                </a:ext>
                <a:ext uri="{FF2B5EF4-FFF2-40B4-BE49-F238E27FC236}">
                  <a16:creationId xmlns:a16="http://schemas.microsoft.com/office/drawing/2014/main" id="{00000000-0008-0000-0000-0000B9D80E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de-DE" sz="1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16</xdr:row>
          <xdr:rowOff>0</xdr:rowOff>
        </xdr:from>
        <xdr:to>
          <xdr:col>3</xdr:col>
          <xdr:colOff>1571625</xdr:colOff>
          <xdr:row>17</xdr:row>
          <xdr:rowOff>0</xdr:rowOff>
        </xdr:to>
        <xdr:sp macro="" textlink="">
          <xdr:nvSpPr>
            <xdr:cNvPr id="972997" name="Button 17605" hidden="1">
              <a:extLst>
                <a:ext uri="{63B3BB69-23CF-44E3-9099-C40C66FF867C}">
                  <a14:compatExt spid="_x0000_s972997"/>
                </a:ext>
                <a:ext uri="{FF2B5EF4-FFF2-40B4-BE49-F238E27FC236}">
                  <a16:creationId xmlns:a16="http://schemas.microsoft.com/office/drawing/2014/main" id="{00000000-0008-0000-0000-0000C5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400" b="1" i="0" u="none" strike="noStrike" baseline="0">
                  <a:solidFill>
                    <a:srgbClr val="000000"/>
                  </a:solidFill>
                  <a:latin typeface="Calibri"/>
                  <a:cs typeface="Calibri"/>
                </a:rPr>
                <a:t>Load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428625</xdr:colOff>
          <xdr:row>15</xdr:row>
          <xdr:rowOff>428625</xdr:rowOff>
        </xdr:from>
        <xdr:to>
          <xdr:col>7</xdr:col>
          <xdr:colOff>1143000</xdr:colOff>
          <xdr:row>16</xdr:row>
          <xdr:rowOff>381000</xdr:rowOff>
        </xdr:to>
        <xdr:sp macro="" textlink="">
          <xdr:nvSpPr>
            <xdr:cNvPr id="973002" name="Button 17610" hidden="1">
              <a:extLst>
                <a:ext uri="{63B3BB69-23CF-44E3-9099-C40C66FF867C}">
                  <a14:compatExt spid="_x0000_s973002"/>
                </a:ext>
                <a:ext uri="{FF2B5EF4-FFF2-40B4-BE49-F238E27FC236}">
                  <a16:creationId xmlns:a16="http://schemas.microsoft.com/office/drawing/2014/main" id="{00000000-0008-0000-0000-0000CAD80E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de-DE"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15</xdr:row>
          <xdr:rowOff>428625</xdr:rowOff>
        </xdr:from>
        <xdr:to>
          <xdr:col>8</xdr:col>
          <xdr:colOff>1838325</xdr:colOff>
          <xdr:row>16</xdr:row>
          <xdr:rowOff>381000</xdr:rowOff>
        </xdr:to>
        <xdr:sp macro="" textlink="">
          <xdr:nvSpPr>
            <xdr:cNvPr id="973003" name="Button 17611" hidden="1">
              <a:extLst>
                <a:ext uri="{63B3BB69-23CF-44E3-9099-C40C66FF867C}">
                  <a14:compatExt spid="_x0000_s973003"/>
                </a:ext>
                <a:ext uri="{FF2B5EF4-FFF2-40B4-BE49-F238E27FC236}">
                  <a16:creationId xmlns:a16="http://schemas.microsoft.com/office/drawing/2014/main" id="{00000000-0008-0000-0000-0000CB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400" b="1" i="0" u="none" strike="noStrike" baseline="0">
                  <a:solidFill>
                    <a:srgbClr val="000000"/>
                  </a:solidFill>
                  <a:latin typeface="Calibri"/>
                  <a:cs typeface="Calibri"/>
                </a:rPr>
                <a:t>Send it  </a:t>
              </a:r>
              <a:r>
                <a:rPr lang="de-DE" sz="3600" b="1" i="0" u="none" strike="noStrike" baseline="0">
                  <a:solidFill>
                    <a:srgbClr val="000000"/>
                  </a:solidFill>
                  <a:latin typeface="Wingdings 2"/>
                  <a:cs typeface="Calibri"/>
                </a:rPr>
                <a:t>C</a:t>
              </a:r>
              <a:endParaRPr lang="de-DE" sz="3600" b="1" i="0" u="none" strike="noStrike" baseline="0">
                <a:solidFill>
                  <a:srgbClr val="000000"/>
                </a:solidFill>
                <a:latin typeface="Wingdings 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438150</xdr:colOff>
          <xdr:row>20</xdr:row>
          <xdr:rowOff>409575</xdr:rowOff>
        </xdr:from>
        <xdr:to>
          <xdr:col>7</xdr:col>
          <xdr:colOff>1190625</xdr:colOff>
          <xdr:row>22</xdr:row>
          <xdr:rowOff>0</xdr:rowOff>
        </xdr:to>
        <xdr:sp macro="" textlink="">
          <xdr:nvSpPr>
            <xdr:cNvPr id="973017" name="Button 17625" hidden="1">
              <a:extLst>
                <a:ext uri="{63B3BB69-23CF-44E3-9099-C40C66FF867C}">
                  <a14:compatExt spid="_x0000_s973017"/>
                </a:ext>
                <a:ext uri="{FF2B5EF4-FFF2-40B4-BE49-F238E27FC236}">
                  <a16:creationId xmlns:a16="http://schemas.microsoft.com/office/drawing/2014/main" id="{00000000-0008-0000-0000-0000D9D80E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de-DE" sz="1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20</xdr:row>
          <xdr:rowOff>400050</xdr:rowOff>
        </xdr:from>
        <xdr:to>
          <xdr:col>8</xdr:col>
          <xdr:colOff>1000125</xdr:colOff>
          <xdr:row>22</xdr:row>
          <xdr:rowOff>0</xdr:rowOff>
        </xdr:to>
        <xdr:sp macro="" textlink="">
          <xdr:nvSpPr>
            <xdr:cNvPr id="973018" name="Button 17626" hidden="1">
              <a:extLst>
                <a:ext uri="{63B3BB69-23CF-44E3-9099-C40C66FF867C}">
                  <a14:compatExt spid="_x0000_s973018"/>
                </a:ext>
                <a:ext uri="{FF2B5EF4-FFF2-40B4-BE49-F238E27FC236}">
                  <a16:creationId xmlns:a16="http://schemas.microsoft.com/office/drawing/2014/main" id="{00000000-0008-0000-0000-0000DA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600" b="1" i="0" u="none" strike="noStrike" baseline="0">
                  <a:solidFill>
                    <a:srgbClr val="000000"/>
                  </a:solidFill>
                  <a:latin typeface="Arial"/>
                  <a:cs typeface="Arial"/>
                </a:rPr>
                <a:t>Reward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21</xdr:row>
          <xdr:rowOff>0</xdr:rowOff>
        </xdr:from>
        <xdr:to>
          <xdr:col>5</xdr:col>
          <xdr:colOff>742950</xdr:colOff>
          <xdr:row>22</xdr:row>
          <xdr:rowOff>0</xdr:rowOff>
        </xdr:to>
        <xdr:sp macro="" textlink="">
          <xdr:nvSpPr>
            <xdr:cNvPr id="973023" name="Button 17631" hidden="1">
              <a:extLst>
                <a:ext uri="{63B3BB69-23CF-44E3-9099-C40C66FF867C}">
                  <a14:compatExt spid="_x0000_s973023"/>
                </a:ext>
                <a:ext uri="{FF2B5EF4-FFF2-40B4-BE49-F238E27FC236}">
                  <a16:creationId xmlns:a16="http://schemas.microsoft.com/office/drawing/2014/main" id="{00000000-0008-0000-0000-0000DFD80E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de-DE" sz="2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904875</xdr:colOff>
          <xdr:row>1</xdr:row>
          <xdr:rowOff>990600</xdr:rowOff>
        </xdr:from>
        <xdr:to>
          <xdr:col>18</xdr:col>
          <xdr:colOff>1628775</xdr:colOff>
          <xdr:row>2</xdr:row>
          <xdr:rowOff>361950</xdr:rowOff>
        </xdr:to>
        <xdr:sp macro="" textlink="">
          <xdr:nvSpPr>
            <xdr:cNvPr id="973032" name="Button 17640" hidden="1">
              <a:extLst>
                <a:ext uri="{63B3BB69-23CF-44E3-9099-C40C66FF867C}">
                  <a14:compatExt spid="_x0000_s973032"/>
                </a:ext>
                <a:ext uri="{FF2B5EF4-FFF2-40B4-BE49-F238E27FC236}">
                  <a16:creationId xmlns:a16="http://schemas.microsoft.com/office/drawing/2014/main" id="{00000000-0008-0000-0000-0000E8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400" b="1" i="0" u="none" strike="noStrike" baseline="0">
                  <a:solidFill>
                    <a:srgbClr val="000000"/>
                  </a:solidFill>
                  <a:latin typeface="Calibri"/>
                  <a:cs typeface="Calibri"/>
                </a:rPr>
                <a:t>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828675</xdr:colOff>
          <xdr:row>2</xdr:row>
          <xdr:rowOff>9525</xdr:rowOff>
        </xdr:from>
        <xdr:to>
          <xdr:col>17</xdr:col>
          <xdr:colOff>1571625</xdr:colOff>
          <xdr:row>2</xdr:row>
          <xdr:rowOff>400050</xdr:rowOff>
        </xdr:to>
        <xdr:sp macro="" textlink="">
          <xdr:nvSpPr>
            <xdr:cNvPr id="973159" name="Button 17767" hidden="1">
              <a:extLst>
                <a:ext uri="{63B3BB69-23CF-44E3-9099-C40C66FF867C}">
                  <a14:compatExt spid="_x0000_s973159"/>
                </a:ext>
                <a:ext uri="{FF2B5EF4-FFF2-40B4-BE49-F238E27FC236}">
                  <a16:creationId xmlns:a16="http://schemas.microsoft.com/office/drawing/2014/main" id="{00000000-0008-0000-0000-000067D90E00}"/>
                </a:ext>
              </a:extLst>
            </xdr:cNvPr>
            <xdr:cNvSpPr/>
          </xdr:nvSpPr>
          <xdr:spPr bwMode="auto">
            <a:xfrm>
              <a:off x="0" y="0"/>
              <a:ext cx="0" cy="0"/>
            </a:xfrm>
            <a:prstGeom prst="rect">
              <a:avLst/>
            </a:prstGeom>
            <a:noFill/>
            <a:ln w="9525">
              <a:miter lim="800000"/>
              <a:headEnd/>
              <a:tailEnd/>
            </a:ln>
          </xdr:spPr>
          <xdr:txBody>
            <a:bodyPr vertOverflow="clip" wrap="square" lIns="64008" tIns="18288" rIns="64008" bIns="18288" anchor="ctr" upright="1"/>
            <a:lstStyle/>
            <a:p>
              <a:pPr algn="ctr" rtl="0">
                <a:defRPr sz="1000"/>
              </a:pPr>
              <a:r>
                <a:rPr lang="de-DE" sz="2400" b="1" i="0" u="none" strike="noStrike" baseline="0">
                  <a:solidFill>
                    <a:srgbClr val="000000"/>
                  </a:solidFill>
                  <a:latin typeface="Segoe MDL2 Assets"/>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1533525</xdr:colOff>
          <xdr:row>19</xdr:row>
          <xdr:rowOff>0</xdr:rowOff>
        </xdr:from>
        <xdr:to>
          <xdr:col>9</xdr:col>
          <xdr:colOff>0</xdr:colOff>
          <xdr:row>20</xdr:row>
          <xdr:rowOff>66675</xdr:rowOff>
        </xdr:to>
        <xdr:sp macro="" textlink="">
          <xdr:nvSpPr>
            <xdr:cNvPr id="973190" name="Button 17798" hidden="1">
              <a:extLst>
                <a:ext uri="{63B3BB69-23CF-44E3-9099-C40C66FF867C}">
                  <a14:compatExt spid="_x0000_s973190"/>
                </a:ext>
                <a:ext uri="{FF2B5EF4-FFF2-40B4-BE49-F238E27FC236}">
                  <a16:creationId xmlns:a16="http://schemas.microsoft.com/office/drawing/2014/main" id="{00000000-0008-0000-0000-000086D9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Calc</a:t>
              </a:r>
            </a:p>
          </xdr:txBody>
        </xdr:sp>
        <xdr:clientData fPrintsWithSheet="0"/>
      </xdr:twoCellAnchor>
    </mc:Choice>
    <mc:Fallback/>
  </mc:AlternateContent>
  <xdr:twoCellAnchor editAs="oneCell">
    <xdr:from>
      <xdr:col>5</xdr:col>
      <xdr:colOff>547180</xdr:colOff>
      <xdr:row>16</xdr:row>
      <xdr:rowOff>295394</xdr:rowOff>
    </xdr:from>
    <xdr:to>
      <xdr:col>5</xdr:col>
      <xdr:colOff>1411433</xdr:colOff>
      <xdr:row>19</xdr:row>
      <xdr:rowOff>124386</xdr:rowOff>
    </xdr:to>
    <xdr:pic>
      <xdr:nvPicPr>
        <xdr:cNvPr id="3" name="Grafik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5726" b="94683" l="3682" r="97015">
                      <a14:foregroundMark x1="72239" y1="9714" x2="72239" y2="9714"/>
                      <a14:foregroundMark x1="72438" y1="8998" x2="72438" y2="8998"/>
                      <a14:foregroundMark x1="72637" y1="5828" x2="72637" y2="5828"/>
                      <a14:foregroundMark x1="74129" y1="21370" x2="74129" y2="21370"/>
                      <a14:foregroundMark x1="70746" y1="36912" x2="70746" y2="36912"/>
                      <a14:foregroundMark x1="84378" y1="38241" x2="84378" y2="38241"/>
                      <a14:foregroundMark x1="92040" y1="41922" x2="92040" y2="41922"/>
                      <a14:foregroundMark x1="90249" y1="51636" x2="90249" y2="51636"/>
                      <a14:foregroundMark x1="93731" y1="42638" x2="93731" y2="42638"/>
                      <a14:foregroundMark x1="97015" y1="41411" x2="97015" y2="41411"/>
                      <a14:foregroundMark x1="86169" y1="25665" x2="86169" y2="25665"/>
                      <a14:foregroundMark x1="80299" y1="48262" x2="80299" y2="48262"/>
                      <a14:foregroundMark x1="68557" y1="46830" x2="68557" y2="46830"/>
                      <a14:foregroundMark x1="73930" y1="55624" x2="73930" y2="55624"/>
                      <a14:foregroundMark x1="82886" y1="59918" x2="82886" y2="59918"/>
                      <a14:foregroundMark x1="79005" y1="64622" x2="79005" y2="64622"/>
                      <a14:foregroundMark x1="73134" y1="67996" x2="73134" y2="67996"/>
                      <a14:foregroundMark x1="68060" y1="69223" x2="68060" y2="69223"/>
                      <a14:foregroundMark x1="64776" y1="63497" x2="64776" y2="63497"/>
                      <a14:foregroundMark x1="69154" y1="61043" x2="69154" y2="61043"/>
                      <a14:foregroundMark x1="61791" y1="52761" x2="61791" y2="52761"/>
                      <a14:foregroundMark x1="56318" y1="58589" x2="56318" y2="58589"/>
                      <a14:foregroundMark x1="57811" y1="41002" x2="57811" y2="41002"/>
                      <a14:foregroundMark x1="59403" y1="34049" x2="59403" y2="34049"/>
                      <a14:foregroundMark x1="60100" y1="26380" x2="60100" y2="26380"/>
                      <a14:foregroundMark x1="57413" y1="24540" x2="56816" y2="24540"/>
                      <a14:foregroundMark x1="50746" y1="19632" x2="50746" y2="19632"/>
                      <a14:foregroundMark x1="44776" y1="17996" x2="44577" y2="18507"/>
                      <a14:foregroundMark x1="46169" y1="27301" x2="46169" y2="27301"/>
                      <a14:foregroundMark x1="53134" y1="30368" x2="53134" y2="30368"/>
                      <a14:foregroundMark x1="50647" y1="38753" x2="51144" y2="38753"/>
                      <a14:foregroundMark x1="43085" y1="37219" x2="43085" y2="37219"/>
                      <a14:foregroundMark x1="38109" y1="26994" x2="38109" y2="26994"/>
                      <a14:foregroundMark x1="34428" y1="14417" x2="34428" y2="14417"/>
                      <a14:foregroundMark x1="26269" y1="18200" x2="26269" y2="18200"/>
                      <a14:foregroundMark x1="26766" y1="28221" x2="26766" y2="28221"/>
                      <a14:foregroundMark x1="31144" y1="41207" x2="31144" y2="41207"/>
                      <a14:foregroundMark x1="23284" y1="44888" x2="23284" y2="44888"/>
                      <a14:foregroundMark x1="15920" y1="31595" x2="15920" y2="32618"/>
                      <a14:foregroundMark x1="7562" y1="51534" x2="7562" y2="52045"/>
                      <a14:foregroundMark x1="29353" y1="53681" x2="29353" y2="53681"/>
                      <a14:foregroundMark x1="3682" y1="53885" x2="3682" y2="53885"/>
                      <a14:foregroundMark x1="28060" y1="60838" x2="29154" y2="60838"/>
                      <a14:foregroundMark x1="36716" y1="60327" x2="36716" y2="60327"/>
                      <a14:foregroundMark x1="35920" y1="54499" x2="35920" y2="54499"/>
                      <a14:foregroundMark x1="42189" y1="50511" x2="42189" y2="50511"/>
                      <a14:foregroundMark x1="43483" y1="57260" x2="43483" y2="57260"/>
                      <a14:foregroundMark x1="27363" y1="65337" x2="27363" y2="65337"/>
                      <a14:foregroundMark x1="37910" y1="67178" x2="37910" y2="67178"/>
                      <a14:foregroundMark x1="48756" y1="66462" x2="47861" y2="66258"/>
                      <a14:foregroundMark x1="40697" y1="74335" x2="40697" y2="74335"/>
                      <a14:foregroundMark x1="29851" y1="74847" x2="29851" y2="74847"/>
                      <a14:foregroundMark x1="32637" y1="82413" x2="32637" y2="82413"/>
                      <a14:foregroundMark x1="40299" y1="91002" x2="40299" y2="91002"/>
                      <a14:foregroundMark x1="48259" y1="83333" x2="48259" y2="83333"/>
                      <a14:foregroundMark x1="54428" y1="75051" x2="54428" y2="75051"/>
                      <a14:foregroundMark x1="66368" y1="80879" x2="66368" y2="80879"/>
                      <a14:foregroundMark x1="54428" y1="91002" x2="54428" y2="91002"/>
                      <a14:foregroundMark x1="74229" y1="87628" x2="74229" y2="87628"/>
                      <a14:foregroundMark x1="56517" y1="94683" x2="56517" y2="94683"/>
                    </a14:backgroundRemoval>
                  </a14:imgEffect>
                </a14:imgLayer>
              </a14:imgProps>
            </a:ext>
            <a:ext uri="{28A0092B-C50C-407E-A947-70E740481C1C}">
              <a14:useLocalDpi xmlns:a14="http://schemas.microsoft.com/office/drawing/2010/main" val="0"/>
            </a:ext>
          </a:extLst>
        </a:blip>
        <a:stretch>
          <a:fillRect/>
        </a:stretch>
      </xdr:blipFill>
      <xdr:spPr>
        <a:xfrm>
          <a:off x="8530862" y="6477985"/>
          <a:ext cx="864253" cy="813962"/>
        </a:xfrm>
        <a:prstGeom prst="rect">
          <a:avLst/>
        </a:prstGeom>
        <a:effectLst>
          <a:glow rad="1905000">
            <a:schemeClr val="accent5">
              <a:lumMod val="60000"/>
              <a:lumOff val="40000"/>
              <a:alpha val="10000"/>
            </a:schemeClr>
          </a:glow>
        </a:effectLst>
      </xdr:spPr>
    </xdr:pic>
    <xdr:clientData/>
  </xdr:twoCellAnchor>
  <xdr:twoCellAnchor>
    <xdr:from>
      <xdr:col>1</xdr:col>
      <xdr:colOff>971550</xdr:colOff>
      <xdr:row>30</xdr:row>
      <xdr:rowOff>0</xdr:rowOff>
    </xdr:from>
    <xdr:to>
      <xdr:col>4</xdr:col>
      <xdr:colOff>476251</xdr:colOff>
      <xdr:row>34</xdr:row>
      <xdr:rowOff>247650</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2305050" y="12215813"/>
          <a:ext cx="4362451" cy="1819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nchorCtr="0"/>
        <a:lstStyle/>
        <a:p>
          <a:pPr algn="ctr"/>
          <a:r>
            <a:rPr lang="de-DE" sz="1600" b="1" i="1" u="none" strike="noStrike">
              <a:solidFill>
                <a:schemeClr val="accent2">
                  <a:lumMod val="50000"/>
                </a:schemeClr>
              </a:solidFill>
              <a:effectLst>
                <a:glow rad="1905000">
                  <a:schemeClr val="accent1">
                    <a:alpha val="0"/>
                  </a:schemeClr>
                </a:glow>
              </a:effectLst>
              <a:latin typeface="+mn-lt"/>
              <a:ea typeface="+mn-ea"/>
              <a:cs typeface="+mn-cs"/>
            </a:rPr>
            <a:t>v. 1.0 - alpha</a:t>
          </a:r>
        </a:p>
        <a:p>
          <a:pPr algn="ctr"/>
          <a:r>
            <a:rPr lang="de-DE" sz="2800" b="1" i="1" u="none" strike="noStrike">
              <a:solidFill>
                <a:schemeClr val="bg1">
                  <a:lumMod val="65000"/>
                </a:schemeClr>
              </a:solidFill>
              <a:effectLst>
                <a:glow rad="1905000">
                  <a:schemeClr val="bg1">
                    <a:alpha val="6000"/>
                  </a:schemeClr>
                </a:glow>
              </a:effectLst>
              <a:latin typeface="+mn-lt"/>
              <a:ea typeface="+mn-ea"/>
              <a:cs typeface="+mn-cs"/>
            </a:rPr>
            <a:t>Ultimate</a:t>
          </a:r>
          <a:r>
            <a:rPr lang="de-DE" sz="2800" i="1" u="none">
              <a:solidFill>
                <a:schemeClr val="bg1">
                  <a:lumMod val="65000"/>
                </a:schemeClr>
              </a:solidFill>
              <a:effectLst>
                <a:glow rad="1905000">
                  <a:schemeClr val="bg1">
                    <a:alpha val="6000"/>
                  </a:schemeClr>
                </a:glow>
              </a:effectLst>
            </a:rPr>
            <a:t> </a:t>
          </a:r>
          <a:r>
            <a:rPr lang="de-DE" sz="2800" b="1" i="1" u="none" strike="noStrike">
              <a:solidFill>
                <a:schemeClr val="bg1">
                  <a:lumMod val="65000"/>
                </a:schemeClr>
              </a:solidFill>
              <a:effectLst>
                <a:glow rad="1905000">
                  <a:schemeClr val="bg1">
                    <a:alpha val="6000"/>
                  </a:schemeClr>
                </a:glow>
              </a:effectLst>
              <a:latin typeface="+mn-lt"/>
              <a:ea typeface="+mn-ea"/>
              <a:cs typeface="+mn-cs"/>
            </a:rPr>
            <a:t>Stakulator</a:t>
          </a:r>
        </a:p>
        <a:p>
          <a:pPr algn="ctr"/>
          <a:r>
            <a:rPr lang="de-DE" sz="1400" b="1" i="0" u="none" strike="noStrike">
              <a:solidFill>
                <a:schemeClr val="accent2">
                  <a:lumMod val="50000"/>
                </a:schemeClr>
              </a:solidFill>
              <a:effectLst/>
              <a:latin typeface="+mn-lt"/>
              <a:ea typeface="+mn-ea"/>
              <a:cs typeface="+mn-cs"/>
            </a:rPr>
            <a:t>2025 by Younameit </a:t>
          </a:r>
          <a:r>
            <a:rPr lang="de-DE" sz="1400" i="0">
              <a:solidFill>
                <a:schemeClr val="accent2">
                  <a:lumMod val="50000"/>
                </a:schemeClr>
              </a:solidFill>
              <a:effectLst/>
            </a:rPr>
            <a:t>#6605</a:t>
          </a:r>
        </a:p>
      </xdr:txBody>
    </xdr:sp>
    <xdr:clientData/>
  </xdr:twoCellAnchor>
  <xdr:twoCellAnchor editAs="oneCell">
    <xdr:from>
      <xdr:col>3</xdr:col>
      <xdr:colOff>1337332</xdr:colOff>
      <xdr:row>32</xdr:row>
      <xdr:rowOff>101945</xdr:rowOff>
    </xdr:from>
    <xdr:to>
      <xdr:col>3</xdr:col>
      <xdr:colOff>1599372</xdr:colOff>
      <xdr:row>33</xdr:row>
      <xdr:rowOff>6258</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backgroundRemoval t="9910" b="90390" l="9880" r="89820">
                      <a14:foregroundMark x1="37425" y1="28228" x2="37425" y2="28228"/>
                      <a14:foregroundMark x1="37425" y1="28228" x2="37425" y2="28228"/>
                      <a14:foregroundMark x1="37425" y1="28228" x2="37425" y2="28228"/>
                      <a14:foregroundMark x1="35329" y1="90390" x2="35329" y2="90390"/>
                      <a14:foregroundMark x1="88323" y1="37237" x2="88323" y2="37237"/>
                    </a14:backgroundRemoval>
                  </a14:imgEffect>
                </a14:imgLayer>
              </a14:imgProps>
            </a:ext>
            <a:ext uri="{28A0092B-C50C-407E-A947-70E740481C1C}">
              <a14:useLocalDpi xmlns:a14="http://schemas.microsoft.com/office/drawing/2010/main" val="0"/>
            </a:ext>
          </a:extLst>
        </a:blip>
        <a:stretch>
          <a:fillRect/>
        </a:stretch>
      </xdr:blipFill>
      <xdr:spPr>
        <a:xfrm>
          <a:off x="5742645" y="12270133"/>
          <a:ext cx="262040" cy="2614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85725</xdr:colOff>
          <xdr:row>2</xdr:row>
          <xdr:rowOff>9525</xdr:rowOff>
        </xdr:from>
        <xdr:to>
          <xdr:col>17</xdr:col>
          <xdr:colOff>809625</xdr:colOff>
          <xdr:row>2</xdr:row>
          <xdr:rowOff>400050</xdr:rowOff>
        </xdr:to>
        <xdr:sp macro="" textlink="">
          <xdr:nvSpPr>
            <xdr:cNvPr id="973197" name="Button 17805" hidden="1">
              <a:extLst>
                <a:ext uri="{63B3BB69-23CF-44E3-9099-C40C66FF867C}">
                  <a14:compatExt spid="_x0000_s973197"/>
                </a:ext>
                <a:ext uri="{FF2B5EF4-FFF2-40B4-BE49-F238E27FC236}">
                  <a16:creationId xmlns:a16="http://schemas.microsoft.com/office/drawing/2014/main" id="{00000000-0008-0000-0000-00008DD90E00}"/>
                </a:ext>
              </a:extLst>
            </xdr:cNvPr>
            <xdr:cNvSpPr/>
          </xdr:nvSpPr>
          <xdr:spPr bwMode="auto">
            <a:xfrm>
              <a:off x="0" y="0"/>
              <a:ext cx="0" cy="0"/>
            </a:xfrm>
            <a:prstGeom prst="rect">
              <a:avLst/>
            </a:prstGeom>
            <a:noFill/>
            <a:ln w="9525">
              <a:miter lim="800000"/>
              <a:headEnd/>
              <a:tailEnd/>
            </a:ln>
          </xdr:spPr>
          <xdr:txBody>
            <a:bodyPr vertOverflow="clip" wrap="square" lIns="64008" tIns="18288" rIns="64008" bIns="18288" anchor="ctr" upright="1"/>
            <a:lstStyle/>
            <a:p>
              <a:pPr algn="ctr" rtl="0">
                <a:defRPr sz="1000"/>
              </a:pPr>
              <a:r>
                <a:rPr lang="de-DE" sz="2400" b="1" i="0" u="none" strike="noStrike" baseline="0">
                  <a:solidFill>
                    <a:srgbClr val="000000"/>
                  </a:solidFill>
                  <a:latin typeface="Segoe MDL2 Assets"/>
                </a:rPr>
                <a:t>↑</a:t>
              </a:r>
            </a:p>
          </xdr:txBody>
        </xdr:sp>
        <xdr:clientData fPrintsWithSheet="0"/>
      </xdr:twoCellAnchor>
    </mc:Choice>
    <mc:Fallback/>
  </mc:AlternateContent>
  <xdr:twoCellAnchor editAs="oneCell">
    <xdr:from>
      <xdr:col>1</xdr:col>
      <xdr:colOff>1045357</xdr:colOff>
      <xdr:row>35</xdr:row>
      <xdr:rowOff>24671</xdr:rowOff>
    </xdr:from>
    <xdr:to>
      <xdr:col>1</xdr:col>
      <xdr:colOff>1348153</xdr:colOff>
      <xdr:row>35</xdr:row>
      <xdr:rowOff>333776</xdr:rowOff>
    </xdr:to>
    <xdr:pic>
      <xdr:nvPicPr>
        <xdr:cNvPr id="14" name="Grafik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390063" y="13617406"/>
          <a:ext cx="302796" cy="309105"/>
        </a:xfrm>
        <a:prstGeom prst="rect">
          <a:avLst/>
        </a:prstGeom>
      </xdr:spPr>
    </xdr:pic>
    <xdr:clientData/>
  </xdr:twoCellAnchor>
  <xdr:twoCellAnchor editAs="oneCell">
    <xdr:from>
      <xdr:col>5</xdr:col>
      <xdr:colOff>552274</xdr:colOff>
      <xdr:row>16</xdr:row>
      <xdr:rowOff>296107</xdr:rowOff>
    </xdr:from>
    <xdr:to>
      <xdr:col>5</xdr:col>
      <xdr:colOff>1416527</xdr:colOff>
      <xdr:row>19</xdr:row>
      <xdr:rowOff>130294</xdr:rowOff>
    </xdr:to>
    <xdr:pic>
      <xdr:nvPicPr>
        <xdr:cNvPr id="24" name="Grafik 23" hidden="1">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cstate="print">
          <a:duotone>
            <a:prstClr val="black"/>
            <a:schemeClr val="accent2">
              <a:tint val="45000"/>
              <a:satMod val="400000"/>
            </a:schemeClr>
          </a:duotone>
          <a:extLst>
            <a:ext uri="{BEBA8EAE-BF5A-486C-A8C5-ECC9F3942E4B}">
              <a14:imgProps xmlns:a14="http://schemas.microsoft.com/office/drawing/2010/main">
                <a14:imgLayer r:embed="rId3">
                  <a14:imgEffect>
                    <a14:backgroundRemoval t="5726" b="94683" l="3682" r="97015">
                      <a14:foregroundMark x1="72239" y1="9714" x2="72239" y2="9714"/>
                      <a14:foregroundMark x1="72438" y1="8998" x2="72438" y2="8998"/>
                      <a14:foregroundMark x1="72637" y1="5828" x2="72637" y2="5828"/>
                      <a14:foregroundMark x1="74129" y1="21370" x2="74129" y2="21370"/>
                      <a14:foregroundMark x1="70746" y1="36912" x2="70746" y2="36912"/>
                      <a14:foregroundMark x1="84378" y1="38241" x2="84378" y2="38241"/>
                      <a14:foregroundMark x1="92040" y1="41922" x2="92040" y2="41922"/>
                      <a14:foregroundMark x1="90249" y1="51636" x2="90249" y2="51636"/>
                      <a14:foregroundMark x1="93731" y1="42638" x2="93731" y2="42638"/>
                      <a14:foregroundMark x1="97015" y1="41411" x2="97015" y2="41411"/>
                      <a14:foregroundMark x1="86169" y1="25665" x2="86169" y2="25665"/>
                      <a14:foregroundMark x1="80299" y1="48262" x2="80299" y2="48262"/>
                      <a14:foregroundMark x1="68557" y1="46830" x2="68557" y2="46830"/>
                      <a14:foregroundMark x1="73930" y1="55624" x2="73930" y2="55624"/>
                      <a14:foregroundMark x1="82886" y1="59918" x2="82886" y2="59918"/>
                      <a14:foregroundMark x1="79005" y1="64622" x2="79005" y2="64622"/>
                      <a14:foregroundMark x1="73134" y1="67996" x2="73134" y2="67996"/>
                      <a14:foregroundMark x1="68060" y1="69223" x2="68060" y2="69223"/>
                      <a14:foregroundMark x1="64776" y1="63497" x2="64776" y2="63497"/>
                      <a14:foregroundMark x1="69154" y1="61043" x2="69154" y2="61043"/>
                      <a14:foregroundMark x1="61791" y1="52761" x2="61791" y2="52761"/>
                      <a14:foregroundMark x1="56318" y1="58589" x2="56318" y2="58589"/>
                      <a14:foregroundMark x1="57811" y1="41002" x2="57811" y2="41002"/>
                      <a14:foregroundMark x1="59403" y1="34049" x2="59403" y2="34049"/>
                      <a14:foregroundMark x1="60100" y1="26380" x2="60100" y2="26380"/>
                      <a14:foregroundMark x1="57413" y1="24540" x2="56816" y2="24540"/>
                      <a14:foregroundMark x1="50746" y1="19632" x2="50746" y2="19632"/>
                      <a14:foregroundMark x1="44776" y1="17996" x2="44577" y2="18507"/>
                      <a14:foregroundMark x1="46169" y1="27301" x2="46169" y2="27301"/>
                      <a14:foregroundMark x1="53134" y1="30368" x2="53134" y2="30368"/>
                      <a14:foregroundMark x1="50647" y1="38753" x2="51144" y2="38753"/>
                      <a14:foregroundMark x1="43085" y1="37219" x2="43085" y2="37219"/>
                      <a14:foregroundMark x1="38109" y1="26994" x2="38109" y2="26994"/>
                      <a14:foregroundMark x1="34428" y1="14417" x2="34428" y2="14417"/>
                      <a14:foregroundMark x1="26269" y1="18200" x2="26269" y2="18200"/>
                      <a14:foregroundMark x1="26766" y1="28221" x2="26766" y2="28221"/>
                      <a14:foregroundMark x1="31144" y1="41207" x2="31144" y2="41207"/>
                      <a14:foregroundMark x1="23284" y1="44888" x2="23284" y2="44888"/>
                      <a14:foregroundMark x1="15920" y1="31595" x2="15920" y2="32618"/>
                      <a14:foregroundMark x1="7562" y1="51534" x2="7562" y2="52045"/>
                      <a14:foregroundMark x1="29353" y1="53681" x2="29353" y2="53681"/>
                      <a14:foregroundMark x1="3682" y1="53885" x2="3682" y2="53885"/>
                      <a14:foregroundMark x1="28060" y1="60838" x2="29154" y2="60838"/>
                      <a14:foregroundMark x1="36716" y1="60327" x2="36716" y2="60327"/>
                      <a14:foregroundMark x1="35920" y1="54499" x2="35920" y2="54499"/>
                      <a14:foregroundMark x1="42189" y1="50511" x2="42189" y2="50511"/>
                      <a14:foregroundMark x1="43483" y1="57260" x2="43483" y2="57260"/>
                      <a14:foregroundMark x1="27363" y1="65337" x2="27363" y2="65337"/>
                      <a14:foregroundMark x1="37910" y1="67178" x2="37910" y2="67178"/>
                      <a14:foregroundMark x1="48756" y1="66462" x2="47861" y2="66258"/>
                      <a14:foregroundMark x1="40697" y1="74335" x2="40697" y2="74335"/>
                      <a14:foregroundMark x1="29851" y1="74847" x2="29851" y2="74847"/>
                      <a14:foregroundMark x1="32637" y1="82413" x2="32637" y2="82413"/>
                      <a14:foregroundMark x1="40299" y1="91002" x2="40299" y2="91002"/>
                      <a14:foregroundMark x1="48259" y1="83333" x2="48259" y2="83333"/>
                      <a14:foregroundMark x1="54428" y1="75051" x2="54428" y2="75051"/>
                      <a14:foregroundMark x1="66368" y1="80879" x2="66368" y2="80879"/>
                      <a14:foregroundMark x1="54428" y1="91002" x2="54428" y2="91002"/>
                      <a14:foregroundMark x1="74229" y1="87628" x2="74229" y2="87628"/>
                      <a14:foregroundMark x1="56517" y1="94683" x2="56517" y2="94683"/>
                    </a14:backgroundRemoval>
                  </a14:imgEffect>
                </a14:imgLayer>
              </a14:imgProps>
            </a:ext>
            <a:ext uri="{28A0092B-C50C-407E-A947-70E740481C1C}">
              <a14:useLocalDpi xmlns:a14="http://schemas.microsoft.com/office/drawing/2010/main" val="0"/>
            </a:ext>
          </a:extLst>
        </a:blip>
        <a:stretch>
          <a:fillRect/>
        </a:stretch>
      </xdr:blipFill>
      <xdr:spPr>
        <a:xfrm>
          <a:off x="8530862" y="6470548"/>
          <a:ext cx="864253" cy="840551"/>
        </a:xfrm>
        <a:prstGeom prst="rect">
          <a:avLst/>
        </a:prstGeom>
        <a:effectLst>
          <a:glow rad="1905000">
            <a:schemeClr val="accent5">
              <a:lumMod val="60000"/>
              <a:lumOff val="40000"/>
              <a:alpha val="10000"/>
            </a:schemeClr>
          </a:glow>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E608"/>
  <sheetViews>
    <sheetView showGridLines="0" tabSelected="1" zoomScale="55" zoomScaleNormal="55" workbookViewId="0">
      <selection activeCell="E15" sqref="E15"/>
    </sheetView>
  </sheetViews>
  <sheetFormatPr baseColWidth="10" defaultColWidth="8.7109375" defaultRowHeight="21" x14ac:dyDescent="0.35"/>
  <cols>
    <col min="1" max="1" width="20.140625" style="90" customWidth="1"/>
    <col min="2" max="2" width="21.140625" style="91" customWidth="1"/>
    <col min="3" max="3" width="24.28515625" style="281" customWidth="1"/>
    <col min="4" max="4" width="27.5703125" style="283" customWidth="1"/>
    <col min="5" max="5" width="26.42578125" style="181" customWidth="1"/>
    <col min="6" max="6" width="29.28515625" style="277" customWidth="1"/>
    <col min="7" max="7" width="26.140625" style="279" customWidth="1"/>
    <col min="8" max="8" width="24.140625" style="181" customWidth="1"/>
    <col min="9" max="9" width="27.7109375" style="277" customWidth="1"/>
    <col min="10" max="10" width="34.5703125" style="289" customWidth="1"/>
    <col min="11" max="11" width="20.85546875" style="398" customWidth="1"/>
    <col min="12" max="12" width="31.85546875" style="386" customWidth="1"/>
    <col min="13" max="13" width="21" style="393" customWidth="1"/>
    <col min="14" max="14" width="23.28515625" style="394" customWidth="1"/>
    <col min="15" max="15" width="17" style="395" customWidth="1"/>
    <col min="16" max="16" width="16" style="396" customWidth="1"/>
    <col min="17" max="17" width="16.5703125" style="397" customWidth="1"/>
    <col min="18" max="18" width="25.140625" style="386" customWidth="1"/>
    <col min="19" max="19" width="24.7109375" style="388" customWidth="1"/>
    <col min="20" max="20" width="13" style="291" customWidth="1"/>
    <col min="21" max="21" width="18.7109375" style="159" customWidth="1"/>
    <col min="22" max="22" width="20.140625" style="153" customWidth="1"/>
    <col min="23" max="23" width="19.7109375" style="153" customWidth="1"/>
    <col min="24" max="24" width="17.7109375" style="153" customWidth="1"/>
    <col min="25" max="25" width="18" style="153" customWidth="1"/>
    <col min="26" max="26" width="18.140625" style="153" customWidth="1"/>
    <col min="27" max="28" width="16.5703125" style="153" customWidth="1"/>
    <col min="29" max="29" width="17.7109375" style="154" customWidth="1"/>
    <col min="30" max="16384" width="8.7109375" style="124"/>
  </cols>
  <sheetData>
    <row r="1" spans="1:31" s="100" customFormat="1" ht="55.5" customHeight="1" x14ac:dyDescent="0.5">
      <c r="A1" s="90"/>
      <c r="B1" s="91"/>
      <c r="C1" s="92"/>
      <c r="D1" s="92"/>
      <c r="E1" s="93"/>
      <c r="F1" s="93"/>
      <c r="G1" s="94"/>
      <c r="H1" s="93"/>
      <c r="I1" s="95"/>
      <c r="J1" s="96"/>
      <c r="K1" s="398"/>
      <c r="L1" s="386"/>
      <c r="M1" s="393"/>
      <c r="N1" s="394"/>
      <c r="O1" s="395"/>
      <c r="P1" s="396"/>
      <c r="Q1" s="397"/>
      <c r="R1" s="386"/>
      <c r="S1" s="388"/>
      <c r="T1" s="97"/>
      <c r="U1" s="98"/>
      <c r="V1" s="99"/>
      <c r="W1" s="99"/>
      <c r="X1" s="99"/>
      <c r="Y1" s="99"/>
      <c r="Z1" s="99"/>
      <c r="AA1" s="99"/>
      <c r="AB1" s="99"/>
    </row>
    <row r="2" spans="1:31" s="110" customFormat="1" ht="78.75" customHeight="1" x14ac:dyDescent="0.35">
      <c r="A2" s="90"/>
      <c r="B2" s="101"/>
      <c r="C2" s="102"/>
      <c r="D2" s="103"/>
      <c r="E2" s="103"/>
      <c r="F2" s="104"/>
      <c r="G2" s="103"/>
      <c r="H2" s="102"/>
      <c r="I2" s="105"/>
      <c r="J2" s="106"/>
      <c r="K2" s="398"/>
      <c r="L2" s="386"/>
      <c r="M2" s="393"/>
      <c r="N2" s="394"/>
      <c r="O2" s="395"/>
      <c r="P2" s="396"/>
      <c r="Q2" s="397"/>
      <c r="R2" s="386"/>
      <c r="S2" s="388"/>
      <c r="T2" s="107"/>
      <c r="U2" s="108"/>
      <c r="V2" s="109"/>
      <c r="W2" s="109"/>
      <c r="X2" s="109"/>
      <c r="Y2" s="109"/>
      <c r="Z2" s="109"/>
      <c r="AA2" s="109"/>
      <c r="AB2" s="109"/>
      <c r="AC2" s="108"/>
    </row>
    <row r="3" spans="1:31" s="120" customFormat="1" ht="32.25" customHeight="1" x14ac:dyDescent="0.5">
      <c r="A3" s="90"/>
      <c r="B3" s="91"/>
      <c r="C3" s="111" t="s">
        <v>48</v>
      </c>
      <c r="D3" s="112" t="s">
        <v>65</v>
      </c>
      <c r="E3" s="113"/>
      <c r="F3" s="114"/>
      <c r="G3" s="115"/>
      <c r="H3" s="115"/>
      <c r="I3" s="112">
        <f ca="1">IF(Sheet3!B5="",YEAR(TODAY()), YEAR(Sheet3!A5))</f>
        <v>2025</v>
      </c>
      <c r="J3" s="116"/>
      <c r="K3" s="402" t="s">
        <v>36</v>
      </c>
      <c r="L3" s="403"/>
      <c r="M3" s="404"/>
      <c r="N3" s="459" t="s">
        <v>71</v>
      </c>
      <c r="O3" s="460"/>
      <c r="P3" s="407"/>
      <c r="Q3" s="408"/>
      <c r="R3" s="403"/>
      <c r="S3" s="409"/>
      <c r="T3" s="117"/>
      <c r="U3" s="118"/>
      <c r="V3" s="118"/>
      <c r="W3" s="118"/>
      <c r="X3" s="118"/>
      <c r="Y3" s="118"/>
      <c r="Z3" s="118"/>
      <c r="AA3" s="118"/>
      <c r="AB3" s="118"/>
      <c r="AC3" s="118"/>
      <c r="AD3" s="119"/>
      <c r="AE3" s="119"/>
    </row>
    <row r="4" spans="1:31" ht="37.5" customHeight="1" x14ac:dyDescent="0.5">
      <c r="C4" s="121" t="str">
        <f ca="1">IF(Sheet2!I1="","",INDEX(Sheet2!G:G,Sheet2!I1))</f>
        <v/>
      </c>
      <c r="D4" s="121" t="str">
        <f ca="1">IF(Sheet2!I2="","",INDEX(Sheet2!G:G,Sheet2!I2))</f>
        <v/>
      </c>
      <c r="E4" s="121" t="str">
        <f ca="1">IF(Sheet2!I3="","",INDEX(Sheet2!G:G,Sheet2!I3))</f>
        <v/>
      </c>
      <c r="F4" s="121" t="str">
        <f ca="1">IF(Sheet2!I4="","",INDEX(Sheet2!G:G,Sheet2!I4))</f>
        <v/>
      </c>
      <c r="G4" s="121" t="str">
        <f ca="1">IF(Sheet2!I5="","",INDEX(Sheet2!G:G,Sheet2!I5))</f>
        <v/>
      </c>
      <c r="H4" s="121" t="str">
        <f ca="1">IF(Sheet2!I6="","",INDEX(Sheet2!G:G,Sheet2!I6))</f>
        <v/>
      </c>
      <c r="I4" s="121" t="str">
        <f ca="1">IF(Sheet2!I7="","",INDEX(Sheet2!G:G,Sheet2!I7))</f>
        <v/>
      </c>
      <c r="J4" s="122"/>
      <c r="K4" s="402" t="s">
        <v>37</v>
      </c>
      <c r="L4" s="403" t="s">
        <v>16</v>
      </c>
      <c r="M4" s="410" t="s">
        <v>13</v>
      </c>
      <c r="N4" s="405" t="s">
        <v>30</v>
      </c>
      <c r="O4" s="406" t="s">
        <v>31</v>
      </c>
      <c r="P4" s="410" t="s">
        <v>32</v>
      </c>
      <c r="Q4" s="408" t="s">
        <v>17</v>
      </c>
      <c r="R4" s="410" t="s">
        <v>5</v>
      </c>
      <c r="S4" s="410" t="s">
        <v>38</v>
      </c>
      <c r="T4" s="117"/>
      <c r="U4" s="93" t="str">
        <f ca="1">IF(Sheet2!I8="","",INDEX(Sheet2!G:G,Sheet2!I8))</f>
        <v/>
      </c>
      <c r="V4" s="93" t="str">
        <f ca="1">IF(Sheet2!I9="","",INDEX(Sheet2!G:G,Sheet2!I9))</f>
        <v/>
      </c>
      <c r="W4" s="93" t="str">
        <f ca="1">IF(Sheet2!I10="","",INDEX(Sheet2!G:G,Sheet2!I10))</f>
        <v/>
      </c>
      <c r="X4" s="93" t="str">
        <f ca="1">IF(Sheet2!I11="","",INDEX(Sheet2!G:G,Sheet2!I11))</f>
        <v/>
      </c>
      <c r="Y4" s="93" t="str">
        <f ca="1">IF(Sheet2!I12="","",INDEX(Sheet2!G:G,Sheet2!I12))</f>
        <v/>
      </c>
      <c r="Z4" s="93" t="str">
        <f ca="1">IF(Sheet2!I13="","",INDEX(Sheet2!G:G,Sheet2!I13))</f>
        <v/>
      </c>
      <c r="AA4" s="93" t="str">
        <f ca="1">IF(Sheet2!I14="","",INDEX(Sheet2!G:G,Sheet2!I14))</f>
        <v/>
      </c>
      <c r="AB4" s="93" t="str">
        <f ca="1">IF(Sheet2!I15="","",INDEX(Sheet2!G:G,Sheet2!I15))</f>
        <v/>
      </c>
      <c r="AC4" s="93" t="str">
        <f ca="1">IF(Sheet2!I16="","",INDEX(Sheet2!G:G,Sheet2!I16))</f>
        <v/>
      </c>
      <c r="AD4" s="123"/>
      <c r="AE4" s="123"/>
    </row>
    <row r="5" spans="1:31" ht="27.75" customHeight="1" x14ac:dyDescent="0.35">
      <c r="C5" s="125" t="str">
        <f t="shared" ref="C5:I5" ca="1" si="0">C10</f>
        <v/>
      </c>
      <c r="D5" s="125" t="str">
        <f t="shared" ca="1" si="0"/>
        <v/>
      </c>
      <c r="E5" s="125" t="str">
        <f t="shared" ca="1" si="0"/>
        <v/>
      </c>
      <c r="F5" s="125" t="str">
        <f t="shared" ca="1" si="0"/>
        <v/>
      </c>
      <c r="G5" s="125" t="str">
        <f t="shared" ca="1" si="0"/>
        <v/>
      </c>
      <c r="H5" s="125" t="str">
        <f t="shared" ca="1" si="0"/>
        <v/>
      </c>
      <c r="I5" s="125" t="str">
        <f t="shared" ca="1" si="0"/>
        <v/>
      </c>
      <c r="J5" s="122"/>
      <c r="K5" s="400"/>
      <c r="L5" s="379"/>
      <c r="M5" s="389"/>
      <c r="N5" s="401"/>
      <c r="O5" s="390"/>
      <c r="P5" s="391"/>
      <c r="Q5" s="392"/>
      <c r="R5" s="379"/>
      <c r="S5" s="380"/>
      <c r="T5" s="117"/>
      <c r="U5" s="126" t="str">
        <f t="shared" ref="U5" ca="1" si="1">U10</f>
        <v/>
      </c>
      <c r="V5" s="126" t="str">
        <f t="shared" ref="V5:AC5" ca="1" si="2">V10</f>
        <v/>
      </c>
      <c r="W5" s="126" t="str">
        <f t="shared" ca="1" si="2"/>
        <v/>
      </c>
      <c r="X5" s="126" t="str">
        <f t="shared" ca="1" si="2"/>
        <v/>
      </c>
      <c r="Y5" s="126" t="str">
        <f t="shared" ca="1" si="2"/>
        <v/>
      </c>
      <c r="Z5" s="126" t="str">
        <f t="shared" ca="1" si="2"/>
        <v/>
      </c>
      <c r="AA5" s="126" t="str">
        <f t="shared" ca="1" si="2"/>
        <v/>
      </c>
      <c r="AB5" s="126" t="str">
        <f t="shared" ca="1" si="2"/>
        <v/>
      </c>
      <c r="AC5" s="126" t="str">
        <f t="shared" ca="1" si="2"/>
        <v/>
      </c>
      <c r="AD5" s="123"/>
      <c r="AE5" s="123"/>
    </row>
    <row r="6" spans="1:31" ht="11.25" customHeight="1" x14ac:dyDescent="0.35">
      <c r="A6" s="127"/>
      <c r="B6" s="128"/>
      <c r="C6" s="129"/>
      <c r="D6" s="130"/>
      <c r="E6" s="129"/>
      <c r="F6" s="131"/>
      <c r="G6" s="130"/>
      <c r="H6" s="129"/>
      <c r="I6" s="131"/>
      <c r="J6" s="122"/>
      <c r="K6" s="400"/>
      <c r="L6" s="379"/>
      <c r="M6" s="399"/>
      <c r="N6" s="401"/>
      <c r="O6" s="390"/>
      <c r="P6" s="391"/>
      <c r="Q6" s="392"/>
      <c r="R6" s="379"/>
      <c r="S6" s="380"/>
      <c r="T6" s="117"/>
      <c r="U6" s="118" t="str">
        <f ca="1">U10</f>
        <v/>
      </c>
      <c r="V6" s="118"/>
      <c r="W6" s="118"/>
      <c r="X6" s="118"/>
      <c r="Y6" s="118"/>
      <c r="Z6" s="118"/>
      <c r="AA6" s="118"/>
      <c r="AB6" s="118"/>
      <c r="AC6" s="118"/>
      <c r="AD6" s="123"/>
      <c r="AE6" s="123"/>
    </row>
    <row r="7" spans="1:31" x14ac:dyDescent="0.35">
      <c r="A7" s="127"/>
      <c r="B7" s="128"/>
      <c r="C7" s="132"/>
      <c r="D7" s="133"/>
      <c r="E7" s="134"/>
      <c r="F7" s="135"/>
      <c r="G7" s="136"/>
      <c r="H7" s="134"/>
      <c r="I7" s="137"/>
      <c r="J7" s="122"/>
      <c r="K7" s="432"/>
      <c r="L7" s="434"/>
      <c r="M7" s="435"/>
      <c r="N7" s="436"/>
      <c r="O7" s="446"/>
      <c r="P7" s="447"/>
      <c r="Q7" s="448"/>
      <c r="R7" s="437" t="s">
        <v>73</v>
      </c>
      <c r="S7" s="438" t="s">
        <v>73</v>
      </c>
      <c r="T7" s="117"/>
      <c r="U7" s="138" t="str">
        <f ca="1">U10</f>
        <v/>
      </c>
      <c r="V7" s="138"/>
      <c r="W7" s="138"/>
      <c r="X7" s="138"/>
      <c r="Y7" s="138"/>
      <c r="Z7" s="138"/>
      <c r="AA7" s="138"/>
      <c r="AB7" s="138"/>
      <c r="AC7" s="138"/>
      <c r="AD7" s="123"/>
      <c r="AE7" s="123"/>
    </row>
    <row r="8" spans="1:31" ht="28.5" x14ac:dyDescent="0.45">
      <c r="A8" s="127"/>
      <c r="B8" s="128"/>
      <c r="C8" s="139" t="str">
        <f ca="1">IF(Sheet2!I1="","",INDEX(Sheet2!D:D,Sheet2!I1))</f>
        <v/>
      </c>
      <c r="D8" s="139" t="str">
        <f ca="1">IF(Sheet2!I2="","",INDEX(Sheet2!D:D,Sheet2!I2))</f>
        <v/>
      </c>
      <c r="E8" s="139" t="str">
        <f ca="1">IF(Sheet2!I3="","",INDEX(Sheet2!D:D,Sheet2!I3))</f>
        <v/>
      </c>
      <c r="F8" s="139" t="str">
        <f ca="1">IF(Sheet2!I4="","",INDEX(Sheet2!D:D,Sheet2!I4))</f>
        <v/>
      </c>
      <c r="G8" s="139" t="str">
        <f ca="1">IF(Sheet2!I5="","",INDEX(Sheet2!D:D,Sheet2!I5))</f>
        <v/>
      </c>
      <c r="H8" s="139" t="str">
        <f ca="1">IF(Sheet2!I6="","",INDEX(Sheet2!D:D,Sheet2!I6))</f>
        <v/>
      </c>
      <c r="I8" s="139" t="str">
        <f ca="1">IF(Sheet2!I7="","",INDEX(Sheet2!D:D,Sheet2!I7))</f>
        <v/>
      </c>
      <c r="J8" s="122"/>
      <c r="K8" s="432"/>
      <c r="L8" s="439"/>
      <c r="M8" s="449"/>
      <c r="N8" s="436"/>
      <c r="O8" s="446"/>
      <c r="P8" s="447"/>
      <c r="Q8" s="448"/>
      <c r="R8" s="437"/>
      <c r="S8" s="440"/>
      <c r="T8" s="117"/>
      <c r="U8" s="140" t="str">
        <f ca="1">IF(Sheet2!I8="","",INDEX(Sheet2!D:D,Sheet2!I8))</f>
        <v/>
      </c>
      <c r="V8" s="140" t="str">
        <f ca="1">IF(Sheet2!I9="","",INDEX(Sheet2!D:D,Sheet2!I9))</f>
        <v/>
      </c>
      <c r="W8" s="140" t="str">
        <f ca="1">IF(Sheet2!I10="","",INDEX(Sheet2!D:D,Sheet2!I10))</f>
        <v/>
      </c>
      <c r="X8" s="140" t="str">
        <f ca="1">IF(Sheet2!I11="","",INDEX(Sheet2!D:D,Sheet2!I11))</f>
        <v/>
      </c>
      <c r="Y8" s="140" t="str">
        <f ca="1">IF(Sheet2!I12="","",INDEX(Sheet2!D:D,Sheet2!I12))</f>
        <v/>
      </c>
      <c r="Z8" s="140" t="str">
        <f ca="1">IF(Sheet2!I13="","",INDEX(Sheet2!D:D,Sheet2!I13))</f>
        <v/>
      </c>
      <c r="AA8" s="140" t="str">
        <f ca="1">IF(Sheet2!I14="","",INDEX(Sheet2!D:D,Sheet2!I14))</f>
        <v/>
      </c>
      <c r="AB8" s="140" t="str">
        <f ca="1">IF(Sheet2!I15="","",INDEX(Sheet2!D:D,Sheet2!I15))</f>
        <v/>
      </c>
      <c r="AC8" s="140" t="str">
        <f ca="1">IF(Sheet2!I16="","",INDEX(Sheet2!D:D,Sheet2!I16))</f>
        <v/>
      </c>
      <c r="AD8" s="123"/>
      <c r="AE8" s="123"/>
    </row>
    <row r="9" spans="1:31" ht="28.5" x14ac:dyDescent="0.45">
      <c r="A9" s="127"/>
      <c r="B9" s="128"/>
      <c r="C9" s="141" t="str">
        <f ca="1">IF(Sheet2!I1="","",INDEX(Sheet2!C:C,Sheet2!I1))</f>
        <v/>
      </c>
      <c r="D9" s="141" t="str">
        <f ca="1">IF(Sheet2!I2="","",INDEX(Sheet2!C:C,Sheet2!I2))</f>
        <v/>
      </c>
      <c r="E9" s="141" t="str">
        <f ca="1">IF(Sheet2!I3="","",INDEX(Sheet2!C:C,Sheet2!I3))</f>
        <v/>
      </c>
      <c r="F9" s="141" t="str">
        <f ca="1">IF(Sheet2!I4="","",INDEX(Sheet2!C:C,Sheet2!I4))</f>
        <v/>
      </c>
      <c r="G9" s="141" t="str">
        <f ca="1">IF(Sheet2!I5="","",INDEX(Sheet2!C:C,Sheet2!I5))</f>
        <v/>
      </c>
      <c r="H9" s="141" t="str">
        <f ca="1">IF(Sheet2!I6="","",INDEX(Sheet2!C:C,Sheet2!I6))</f>
        <v/>
      </c>
      <c r="I9" s="142" t="str">
        <f ca="1">IF(Sheet2!I7="","",INDEX(Sheet2!C:C,Sheet2!I7))</f>
        <v/>
      </c>
      <c r="J9" s="122"/>
      <c r="K9" s="432"/>
      <c r="L9" s="439"/>
      <c r="M9" s="449"/>
      <c r="N9" s="436"/>
      <c r="O9" s="446"/>
      <c r="P9" s="447"/>
      <c r="Q9" s="448"/>
      <c r="R9" s="437"/>
      <c r="S9" s="440"/>
      <c r="T9" s="144"/>
      <c r="U9" s="145" t="str">
        <f ca="1">IF(Sheet2!I8="","",INDEX(Sheet2!C:C,Sheet2!I8))</f>
        <v/>
      </c>
      <c r="V9" s="145" t="str">
        <f ca="1">IF(Sheet2!I9="","",INDEX(Sheet2!C:C,Sheet2!I9))</f>
        <v/>
      </c>
      <c r="W9" s="145" t="str">
        <f ca="1">IF(Sheet2!I10="","",INDEX(Sheet2!C:C,Sheet2!I10))</f>
        <v/>
      </c>
      <c r="X9" s="145" t="str">
        <f ca="1">IF(Sheet2!I11="","",INDEX(Sheet2!C:C,Sheet2!I11))</f>
        <v/>
      </c>
      <c r="Y9" s="145" t="str">
        <f ca="1">IF(Sheet2!I12="","",INDEX(Sheet2!C:C,Sheet2!I12))</f>
        <v/>
      </c>
      <c r="Z9" s="145" t="str">
        <f ca="1">IF(Sheet2!I13="","",INDEX(Sheet2!C:C,Sheet2!I13))</f>
        <v/>
      </c>
      <c r="AA9" s="145" t="str">
        <f ca="1">IF(Sheet2!I14="","",INDEX(Sheet2!C:C,Sheet2!I14))</f>
        <v/>
      </c>
      <c r="AB9" s="145" t="str">
        <f ca="1">IF(Sheet2!I15="","",INDEX(Sheet2!C:C,Sheet2!I15))</f>
        <v/>
      </c>
      <c r="AC9" s="145" t="str">
        <f ca="1">IF(Sheet2!I16="","",INDEX(Sheet2!C:C,Sheet2!I16))</f>
        <v/>
      </c>
      <c r="AD9" s="123"/>
      <c r="AE9" s="123"/>
    </row>
    <row r="10" spans="1:31" s="149" customFormat="1" x14ac:dyDescent="0.35">
      <c r="A10" s="127"/>
      <c r="B10" s="128"/>
      <c r="C10" s="146" t="str">
        <f ca="1">IF(Sheet2!I1="","",INDEX(Sheet2!E:E,Sheet2!I1))</f>
        <v/>
      </c>
      <c r="D10" s="146" t="str">
        <f ca="1">IF(Sheet2!I2="","",INDEX(Sheet2!E:E,Sheet2!I2))</f>
        <v/>
      </c>
      <c r="E10" s="146" t="str">
        <f ca="1">IF(Sheet2!I3="","",INDEX(Sheet2!E:E,Sheet2!I3))</f>
        <v/>
      </c>
      <c r="F10" s="146" t="str">
        <f ca="1">IF(Sheet2!I4="","",INDEX(Sheet2!E:E,Sheet2!I4))</f>
        <v/>
      </c>
      <c r="G10" s="146" t="str">
        <f ca="1">IF(Sheet2!I5="","",INDEX(Sheet2!E:E,Sheet2!I5))</f>
        <v/>
      </c>
      <c r="H10" s="146" t="str">
        <f ca="1">IF(Sheet2!I6="","",INDEX(Sheet2!E:E,Sheet2!I6))</f>
        <v/>
      </c>
      <c r="I10" s="146" t="str">
        <f ca="1">IF(Sheet2!I7="","",INDEX(Sheet2!E:E,Sheet2!I7))</f>
        <v/>
      </c>
      <c r="J10" s="153"/>
      <c r="K10" s="466"/>
      <c r="L10" s="467"/>
      <c r="M10" s="468"/>
      <c r="N10" s="469"/>
      <c r="O10" s="470"/>
      <c r="P10" s="471"/>
      <c r="Q10" s="472"/>
      <c r="R10" s="473"/>
      <c r="S10" s="474"/>
      <c r="T10" s="153"/>
      <c r="U10" s="354" t="str">
        <f ca="1">IF(Sheet2!I8="","",INDEX(Sheet2!E:E,Sheet2!I8))</f>
        <v/>
      </c>
      <c r="V10" s="147" t="str">
        <f ca="1">IF(Sheet2!I9="","",INDEX(Sheet2!E:E,Sheet2!I9))</f>
        <v/>
      </c>
      <c r="W10" s="147" t="str">
        <f ca="1">IF(Sheet2!I10="","",INDEX(Sheet2!E:E,Sheet2!I10))</f>
        <v/>
      </c>
      <c r="X10" s="147" t="str">
        <f ca="1">IF(Sheet2!I11="","",INDEX(Sheet2!E:E,Sheet2!I11))</f>
        <v/>
      </c>
      <c r="Y10" s="147" t="str">
        <f ca="1">IF(Sheet2!I12="","",INDEX(Sheet2!E:E,Sheet2!I12))</f>
        <v/>
      </c>
      <c r="Z10" s="147" t="str">
        <f ca="1">IF(Sheet2!I13="","",INDEX(Sheet2!E:E,Sheet2!I13))</f>
        <v/>
      </c>
      <c r="AA10" s="147" t="str">
        <f ca="1">IF(Sheet2!I14="","",INDEX(Sheet2!E:E,Sheet2!I14))</f>
        <v/>
      </c>
      <c r="AB10" s="147" t="str">
        <f ca="1">IF(Sheet2!I15="","",INDEX(Sheet2!E:E,Sheet2!I15))</f>
        <v/>
      </c>
      <c r="AC10" s="147" t="str">
        <f ca="1">IF(Sheet2!I16="","",INDEX(Sheet2!E:E,Sheet2!I16))</f>
        <v/>
      </c>
      <c r="AD10" s="148"/>
      <c r="AE10" s="148"/>
    </row>
    <row r="11" spans="1:31" x14ac:dyDescent="0.35">
      <c r="A11" s="127"/>
      <c r="B11" s="128"/>
      <c r="C11" s="150" t="str">
        <f ca="1">IF(Sheet2!I1="","",INDEX(Sheet2!B:B,Sheet2!I1))</f>
        <v/>
      </c>
      <c r="D11" s="150" t="str">
        <f ca="1">IF(Sheet2!I2="","",INDEX(Sheet2!B:B,Sheet2!I2))</f>
        <v/>
      </c>
      <c r="E11" s="150" t="str">
        <f ca="1">IF(Sheet2!I3="","",INDEX(Sheet2!B:B,Sheet2!I3))</f>
        <v/>
      </c>
      <c r="F11" s="150" t="str">
        <f ca="1">IF(Sheet2!I4="","",INDEX(Sheet2!B:B,Sheet2!I4))</f>
        <v/>
      </c>
      <c r="G11" s="150" t="str">
        <f ca="1">IF(Sheet2!I5="","",INDEX(Sheet2!B:B,Sheet2!I5))</f>
        <v/>
      </c>
      <c r="H11" s="150" t="str">
        <f ca="1">IF(Sheet2!I6="","",INDEX(Sheet2!B:B,Sheet2!I6))</f>
        <v/>
      </c>
      <c r="I11" s="151" t="str">
        <f ca="1">IF(Sheet2!I7="","",INDEX(Sheet2!B:B,Sheet2!I7))</f>
        <v/>
      </c>
      <c r="J11" s="153"/>
      <c r="K11" s="433"/>
      <c r="L11" s="441"/>
      <c r="M11" s="450"/>
      <c r="N11" s="451"/>
      <c r="O11" s="452"/>
      <c r="P11" s="453"/>
      <c r="Q11" s="454"/>
      <c r="R11" s="442"/>
      <c r="S11" s="443"/>
      <c r="T11" s="153"/>
      <c r="U11" s="355" t="str">
        <f ca="1">IF(Sheet2!I8="","",INDEX(Sheet2!B:B,Sheet2!I8))</f>
        <v/>
      </c>
      <c r="V11" s="152" t="str">
        <f ca="1">IF(Sheet2!I9="","",INDEX(Sheet2!B:B,Sheet2!I9))</f>
        <v/>
      </c>
      <c r="W11" s="152" t="str">
        <f ca="1">IF(Sheet2!I10="","",INDEX(Sheet2!B:B,Sheet2!I10))</f>
        <v/>
      </c>
      <c r="X11" s="152" t="str">
        <f ca="1">IF(Sheet2!I11="","",INDEX(Sheet2!B:B,Sheet2!I11))</f>
        <v/>
      </c>
      <c r="Y11" s="152" t="str">
        <f ca="1">IF(Sheet2!I12="","",INDEX(Sheet2!B:B,Sheet2!I12))</f>
        <v/>
      </c>
      <c r="Z11" s="152" t="str">
        <f ca="1">IF(Sheet2!I13="","",INDEX(Sheet2!B:B,Sheet2!I13))</f>
        <v/>
      </c>
      <c r="AA11" s="152" t="str">
        <f ca="1">IF(Sheet2!I14="","",INDEX(Sheet2!B:B,Sheet2!I14))</f>
        <v/>
      </c>
      <c r="AB11" s="152" t="str">
        <f ca="1">IF(Sheet2!I15="","",INDEX(Sheet2!B:B,Sheet2!I15))</f>
        <v/>
      </c>
      <c r="AC11" s="152" t="str">
        <f ca="1">IF(Sheet2!I16="","",INDEX(Sheet2!B:B,Sheet2!I16))</f>
        <v/>
      </c>
      <c r="AD11" s="123"/>
      <c r="AE11" s="123"/>
    </row>
    <row r="12" spans="1:31" ht="20.25" x14ac:dyDescent="0.3">
      <c r="A12" s="127"/>
      <c r="B12" s="128"/>
      <c r="C12" s="132"/>
      <c r="D12" s="133"/>
      <c r="E12" s="134"/>
      <c r="F12" s="137"/>
      <c r="G12" s="136"/>
      <c r="H12" s="134"/>
      <c r="I12" s="135"/>
      <c r="J12" s="153"/>
      <c r="K12" s="433"/>
      <c r="L12" s="441"/>
      <c r="M12" s="450"/>
      <c r="N12" s="451"/>
      <c r="O12" s="452"/>
      <c r="P12" s="453"/>
      <c r="Q12" s="454"/>
      <c r="R12" s="442"/>
      <c r="S12" s="443"/>
      <c r="T12" s="153"/>
      <c r="U12" s="153"/>
      <c r="V12" s="118"/>
      <c r="W12" s="118"/>
      <c r="X12" s="118"/>
      <c r="Y12" s="118"/>
      <c r="Z12" s="118"/>
      <c r="AA12" s="118"/>
      <c r="AB12" s="118"/>
      <c r="AC12" s="118"/>
    </row>
    <row r="13" spans="1:31" ht="23.25" x14ac:dyDescent="0.35">
      <c r="C13" s="155" t="s">
        <v>10</v>
      </c>
      <c r="D13" s="156" t="s">
        <v>62</v>
      </c>
      <c r="E13" s="329" t="s">
        <v>13</v>
      </c>
      <c r="F13" s="157" t="s">
        <v>72</v>
      </c>
      <c r="G13" s="158" t="s">
        <v>31</v>
      </c>
      <c r="H13" s="155" t="s">
        <v>32</v>
      </c>
      <c r="I13" s="157" t="s">
        <v>15</v>
      </c>
      <c r="J13" s="153"/>
      <c r="K13" s="433"/>
      <c r="L13" s="441"/>
      <c r="M13" s="450"/>
      <c r="N13" s="451"/>
      <c r="O13" s="452"/>
      <c r="P13" s="453"/>
      <c r="Q13" s="454"/>
      <c r="R13" s="442"/>
      <c r="S13" s="443"/>
      <c r="T13" s="153"/>
      <c r="U13" s="153"/>
    </row>
    <row r="14" spans="1:31" ht="20.25" x14ac:dyDescent="0.3">
      <c r="A14" s="127"/>
      <c r="B14" s="128"/>
      <c r="C14" s="160"/>
      <c r="D14" s="161"/>
      <c r="E14" s="161"/>
      <c r="F14" s="328"/>
      <c r="G14" s="163"/>
      <c r="H14" s="160"/>
      <c r="I14" s="162"/>
      <c r="J14" s="153"/>
      <c r="K14" s="433"/>
      <c r="L14" s="441"/>
      <c r="M14" s="450"/>
      <c r="N14" s="451"/>
      <c r="O14" s="452"/>
      <c r="P14" s="453"/>
      <c r="Q14" s="454"/>
      <c r="R14" s="442"/>
      <c r="S14" s="443"/>
      <c r="T14" s="153"/>
      <c r="U14" s="153"/>
    </row>
    <row r="15" spans="1:31" ht="31.5" x14ac:dyDescent="0.5">
      <c r="B15" s="101" t="s">
        <v>14</v>
      </c>
      <c r="C15" s="297"/>
      <c r="D15" s="300"/>
      <c r="E15" s="327"/>
      <c r="F15" s="301"/>
      <c r="G15" s="429"/>
      <c r="H15" s="302"/>
      <c r="I15" s="303"/>
      <c r="J15" s="377"/>
      <c r="K15" s="433"/>
      <c r="L15" s="441"/>
      <c r="M15" s="450"/>
      <c r="N15" s="451"/>
      <c r="O15" s="452"/>
      <c r="P15" s="453"/>
      <c r="Q15" s="454"/>
      <c r="R15" s="442"/>
      <c r="S15" s="443"/>
      <c r="T15" s="153"/>
      <c r="U15" s="153"/>
    </row>
    <row r="16" spans="1:31" ht="25.5" customHeight="1" x14ac:dyDescent="0.5">
      <c r="A16" s="127"/>
      <c r="B16" s="128"/>
      <c r="C16" s="164"/>
      <c r="D16" s="165"/>
      <c r="E16" s="166"/>
      <c r="F16" s="167"/>
      <c r="G16" s="168"/>
      <c r="H16" s="168"/>
      <c r="I16" s="169"/>
      <c r="J16" s="153"/>
      <c r="K16" s="433"/>
      <c r="L16" s="441"/>
      <c r="M16" s="450"/>
      <c r="N16" s="451"/>
      <c r="O16" s="452"/>
      <c r="P16" s="453"/>
      <c r="Q16" s="454"/>
      <c r="R16" s="442"/>
      <c r="S16" s="443"/>
      <c r="T16" s="153"/>
      <c r="U16" s="153"/>
    </row>
    <row r="17" spans="1:21" ht="31.5" x14ac:dyDescent="0.5">
      <c r="A17" s="127"/>
      <c r="B17" s="128"/>
      <c r="C17" s="298"/>
      <c r="D17" s="170" t="s">
        <v>14</v>
      </c>
      <c r="E17" s="171"/>
      <c r="F17" s="172"/>
      <c r="G17" s="173"/>
      <c r="H17" s="174"/>
      <c r="I17" s="175"/>
      <c r="J17" s="153"/>
      <c r="K17" s="433"/>
      <c r="L17" s="441"/>
      <c r="M17" s="450"/>
      <c r="N17" s="451"/>
      <c r="O17" s="452"/>
      <c r="P17" s="453"/>
      <c r="Q17" s="454"/>
      <c r="R17" s="442"/>
      <c r="S17" s="443"/>
      <c r="T17" s="153"/>
      <c r="U17" s="153"/>
    </row>
    <row r="18" spans="1:21" x14ac:dyDescent="0.35">
      <c r="A18" s="127"/>
      <c r="B18" s="128"/>
      <c r="C18" s="176"/>
      <c r="D18" s="177"/>
      <c r="E18" s="178"/>
      <c r="F18" s="179"/>
      <c r="G18" s="180"/>
      <c r="I18" s="182"/>
      <c r="J18" s="153"/>
      <c r="K18" s="433"/>
      <c r="L18" s="444"/>
      <c r="M18" s="450"/>
      <c r="N18" s="451"/>
      <c r="O18" s="452"/>
      <c r="P18" s="453"/>
      <c r="Q18" s="454"/>
      <c r="R18" s="442"/>
      <c r="S18" s="443"/>
      <c r="T18" s="153"/>
      <c r="U18" s="153"/>
    </row>
    <row r="19" spans="1:21" ht="26.25" x14ac:dyDescent="0.4">
      <c r="A19" s="127"/>
      <c r="B19" s="128"/>
      <c r="C19" s="183"/>
      <c r="D19" s="184"/>
      <c r="E19" s="185"/>
      <c r="F19" s="186"/>
      <c r="G19" s="187"/>
      <c r="H19" s="188" t="s">
        <v>40</v>
      </c>
      <c r="I19" s="188" t="s">
        <v>39</v>
      </c>
      <c r="J19" s="153"/>
      <c r="K19" s="433"/>
      <c r="L19" s="444"/>
      <c r="M19" s="450"/>
      <c r="N19" s="451"/>
      <c r="O19" s="452"/>
      <c r="P19" s="453"/>
      <c r="Q19" s="454"/>
      <c r="R19" s="442"/>
      <c r="S19" s="443"/>
      <c r="T19" s="153"/>
      <c r="U19" s="153"/>
    </row>
    <row r="20" spans="1:21" x14ac:dyDescent="0.35">
      <c r="A20" s="127"/>
      <c r="B20" s="189"/>
      <c r="C20" s="190" t="s">
        <v>20</v>
      </c>
      <c r="D20" s="190" t="s">
        <v>19</v>
      </c>
      <c r="E20" s="191"/>
      <c r="F20" s="192"/>
      <c r="G20" s="193"/>
      <c r="H20" s="330"/>
      <c r="I20" s="331">
        <v>0.42</v>
      </c>
      <c r="J20" s="153"/>
      <c r="K20" s="433"/>
      <c r="L20" s="441"/>
      <c r="M20" s="450"/>
      <c r="N20" s="451"/>
      <c r="O20" s="452"/>
      <c r="P20" s="453"/>
      <c r="Q20" s="454"/>
      <c r="R20" s="442"/>
      <c r="S20" s="443"/>
      <c r="T20" s="153"/>
      <c r="U20" s="153"/>
    </row>
    <row r="21" spans="1:21" ht="32.25" thickBot="1" x14ac:dyDescent="0.55000000000000004">
      <c r="A21" s="127"/>
      <c r="B21" s="189"/>
      <c r="C21" s="194">
        <f ca="1">IF(C22="",0,IF(AND(C22=TODAY(),MOD(NOW(),1)&lt;TIME(7,39,30)+E3/24), C22-DATE(2025,5,5)-1,C22-DATE(2025,5,5)))</f>
        <v>0</v>
      </c>
      <c r="D21" s="195" t="str">
        <f ca="1">IF(Sheet3!$B$3&gt;4,IF(Sheet2!R6=0,"-","""" &amp; INDEX(Sheet2!G:G,Sheet2!B5) &amp; """"),"")</f>
        <v>-</v>
      </c>
      <c r="E21" s="196" t="s">
        <v>18</v>
      </c>
      <c r="F21" s="365"/>
      <c r="G21" s="197"/>
      <c r="H21" s="198"/>
      <c r="I21" s="193"/>
      <c r="J21" s="153"/>
      <c r="K21" s="433"/>
      <c r="L21" s="441"/>
      <c r="M21" s="450"/>
      <c r="N21" s="451"/>
      <c r="O21" s="452"/>
      <c r="P21" s="453"/>
      <c r="Q21" s="454"/>
      <c r="R21" s="442"/>
      <c r="S21" s="443"/>
      <c r="T21" s="153"/>
      <c r="U21" s="153"/>
    </row>
    <row r="22" spans="1:21" ht="36" thickBot="1" x14ac:dyDescent="0.6">
      <c r="A22" s="127"/>
      <c r="B22" s="199" t="s">
        <v>14</v>
      </c>
      <c r="C22" s="411"/>
      <c r="D22" s="412"/>
      <c r="E22" s="356"/>
      <c r="F22" s="200" t="s">
        <v>14</v>
      </c>
      <c r="G22" s="201"/>
      <c r="H22" s="202"/>
      <c r="I22" s="202"/>
      <c r="J22" s="153"/>
      <c r="K22" s="433"/>
      <c r="L22" s="441"/>
      <c r="M22" s="450"/>
      <c r="N22" s="451"/>
      <c r="O22" s="452"/>
      <c r="P22" s="453"/>
      <c r="Q22" s="454"/>
      <c r="R22" s="442"/>
      <c r="S22" s="443"/>
      <c r="T22" s="153"/>
      <c r="U22" s="153"/>
    </row>
    <row r="23" spans="1:21" ht="28.5" x14ac:dyDescent="0.45">
      <c r="A23" s="127"/>
      <c r="B23" s="203"/>
      <c r="C23" s="204" t="str">
        <f>IF(Sheet3!$B$3&gt;ROW()-18,INDEX(Sheet3!A:A,Sheet3!$B$3-(ROW()-22)),"")</f>
        <v/>
      </c>
      <c r="D23" s="205" t="str">
        <f>IF(Sheet3!$B$3&gt;ROW()-18,INDEX(Sheet3!B:B,Sheet3!$B$3-(ROW()-22)),"")</f>
        <v/>
      </c>
      <c r="E23" s="206" t="s">
        <v>50</v>
      </c>
      <c r="F23" s="206" t="s">
        <v>61</v>
      </c>
      <c r="G23" s="207" t="s">
        <v>60</v>
      </c>
      <c r="H23" s="206" t="s">
        <v>51</v>
      </c>
      <c r="I23" s="206" t="s">
        <v>69</v>
      </c>
      <c r="J23" s="153"/>
      <c r="K23" s="433"/>
      <c r="L23" s="441"/>
      <c r="M23" s="450"/>
      <c r="N23" s="451"/>
      <c r="O23" s="452"/>
      <c r="P23" s="453"/>
      <c r="Q23" s="454"/>
      <c r="R23" s="442"/>
      <c r="S23" s="443"/>
      <c r="T23" s="153"/>
      <c r="U23" s="153"/>
    </row>
    <row r="24" spans="1:21" ht="31.5" x14ac:dyDescent="0.5">
      <c r="A24" s="127"/>
      <c r="B24" s="203"/>
      <c r="C24" s="208" t="str">
        <f>IF(Sheet3!$B$3&gt;ROW()-18,INDEX(Sheet3!A:A,Sheet3!$B$3-(ROW()-22)),"")</f>
        <v/>
      </c>
      <c r="D24" s="209" t="str">
        <f>IF(Sheet3!$B$3&gt;ROW()-18,INDEX(Sheet3!B:B,Sheet3!$B$3-(ROW()-22)),"")</f>
        <v/>
      </c>
      <c r="E24" s="210">
        <f ca="1">E22*(F27-(F27+I28)*(1-I20))-G31</f>
        <v>0</v>
      </c>
      <c r="F24" s="211">
        <f>IF(Sheet2!R4=0,0,I20*Sheet2!S4/(Sheet2!R4-(Sheet2!R4+I28)*(1-I20)))</f>
        <v>0</v>
      </c>
      <c r="G24" s="212">
        <f>IF(OR(Sheet2!R4=0, INDEX(Sheet3!B:B,Sheet3!C3)=0),0,I20*(Sheet2!S4+I31*E22)/(F27-(F27+I28+E27)*(1-I20)))</f>
        <v>0</v>
      </c>
      <c r="H24" s="213">
        <f>INDEX(Sheet3!I:I,Sheet3!C3)*100</f>
        <v>0</v>
      </c>
      <c r="I24" s="214">
        <f ca="1">IF(Sheet2!B5=0,0,IF(Sheet3!$B$3&gt;5,IF(E22=0,"−",G31/(F27*E22)),0))</f>
        <v>0</v>
      </c>
      <c r="J24" s="153"/>
      <c r="K24" s="433"/>
      <c r="L24" s="441"/>
      <c r="M24" s="450"/>
      <c r="N24" s="451"/>
      <c r="O24" s="452"/>
      <c r="P24" s="453"/>
      <c r="Q24" s="454"/>
      <c r="R24" s="442"/>
      <c r="S24" s="443"/>
      <c r="T24" s="153"/>
      <c r="U24" s="153"/>
    </row>
    <row r="25" spans="1:21" ht="28.5" x14ac:dyDescent="0.45">
      <c r="B25" s="203"/>
      <c r="C25" s="215" t="str">
        <f>IF(Sheet3!$B$3&gt;ROW()-18,INDEX(Sheet3!A:A,Sheet3!$B$3-(ROW()-22)),"")</f>
        <v/>
      </c>
      <c r="D25" s="216" t="str">
        <f>IF(Sheet3!$B$3&gt;ROW()-18,INDEX(Sheet3!B:B,Sheet3!$B$3-(ROW()-22)),"")</f>
        <v/>
      </c>
      <c r="E25" s="217"/>
      <c r="F25" s="218"/>
      <c r="G25" s="219"/>
      <c r="H25" s="217"/>
      <c r="I25" s="218"/>
      <c r="J25" s="153"/>
      <c r="K25" s="433"/>
      <c r="L25" s="441"/>
      <c r="M25" s="450"/>
      <c r="N25" s="451"/>
      <c r="O25" s="452"/>
      <c r="P25" s="453"/>
      <c r="Q25" s="454"/>
      <c r="R25" s="442"/>
      <c r="S25" s="443"/>
      <c r="T25" s="153"/>
      <c r="U25" s="153"/>
    </row>
    <row r="26" spans="1:21" ht="28.5" x14ac:dyDescent="0.45">
      <c r="B26" s="203"/>
      <c r="C26" s="220" t="str">
        <f>IF(Sheet3!$B$3&gt;ROW()-18,INDEX(Sheet3!A:A,Sheet3!$B$3-(ROW()-22)),"")</f>
        <v/>
      </c>
      <c r="D26" s="221" t="str">
        <f>IF(Sheet3!$B$3&gt;ROW()-18,INDEX(Sheet3!B:B,Sheet3!$B$3-(ROW()-22)),"")</f>
        <v/>
      </c>
      <c r="E26" s="206" t="s">
        <v>22</v>
      </c>
      <c r="F26" s="206" t="s">
        <v>23</v>
      </c>
      <c r="G26" s="206" t="s">
        <v>24</v>
      </c>
      <c r="H26" s="206" t="s">
        <v>0</v>
      </c>
      <c r="I26" s="222" t="s">
        <v>25</v>
      </c>
      <c r="J26" s="153"/>
      <c r="K26" s="445"/>
      <c r="L26" s="441"/>
      <c r="M26" s="450"/>
      <c r="N26" s="451"/>
      <c r="O26" s="452"/>
      <c r="P26" s="453"/>
      <c r="Q26" s="454"/>
      <c r="R26" s="442"/>
      <c r="S26" s="443"/>
      <c r="T26" s="153"/>
      <c r="U26" s="153"/>
    </row>
    <row r="27" spans="1:21" ht="33.75" x14ac:dyDescent="0.5">
      <c r="B27" s="203"/>
      <c r="C27" s="223" t="str">
        <f>IF(Sheet3!$B$3&gt;ROW()-18,INDEX(Sheet3!A:A,Sheet3!$B$3-(ROW()-22)),"")</f>
        <v/>
      </c>
      <c r="D27" s="224" t="str">
        <f>IF(Sheet3!$B$3&gt;ROW()-18,INDEX(Sheet3!B:B,Sheet3!$B$3-(ROW()-22)),"")</f>
        <v/>
      </c>
      <c r="E27" s="225">
        <f ca="1">Sheet2!S6</f>
        <v>0</v>
      </c>
      <c r="F27" s="226">
        <f ca="1">Sheet2!R4+I31</f>
        <v>0</v>
      </c>
      <c r="G27" s="227">
        <f ca="1">H20+Sheet2!R6+I31</f>
        <v>0</v>
      </c>
      <c r="H27" s="228">
        <f>INDEX(Sheet3!G:G,Sheet3!C3)</f>
        <v>0</v>
      </c>
      <c r="I27" s="229">
        <f ca="1">Sheet2!R6</f>
        <v>0</v>
      </c>
      <c r="J27" s="153"/>
      <c r="K27" s="445"/>
      <c r="L27" s="441"/>
      <c r="M27" s="450"/>
      <c r="N27" s="451"/>
      <c r="O27" s="452"/>
      <c r="P27" s="453"/>
      <c r="Q27" s="454"/>
      <c r="R27" s="442"/>
      <c r="S27" s="443"/>
      <c r="T27" s="153"/>
      <c r="U27" s="153"/>
    </row>
    <row r="28" spans="1:21" ht="28.5" x14ac:dyDescent="0.45">
      <c r="A28" s="127"/>
      <c r="B28" s="203"/>
      <c r="C28" s="230" t="str">
        <f>IF(Sheet3!$B$3&gt;ROW()-18,INDEX(Sheet3!A:A,Sheet3!$B$3-(ROW()-22)),"")</f>
        <v/>
      </c>
      <c r="D28" s="231" t="str">
        <f>IF(Sheet3!$B$3&gt;ROW()-18,INDEX(Sheet3!B:B,Sheet3!$B$3-(ROW()-22)),"")</f>
        <v/>
      </c>
      <c r="E28" s="232">
        <f ca="1">E27*E22</f>
        <v>0</v>
      </c>
      <c r="F28" s="233">
        <f ca="1">F27*E22</f>
        <v>0</v>
      </c>
      <c r="G28" s="233">
        <f ca="1">G27*E22</f>
        <v>0</v>
      </c>
      <c r="H28" s="234" t="s">
        <v>35</v>
      </c>
      <c r="I28" s="235">
        <f>Sheet2!V6</f>
        <v>0</v>
      </c>
      <c r="J28" s="153"/>
      <c r="K28" s="433"/>
      <c r="L28" s="441"/>
      <c r="M28" s="450"/>
      <c r="N28" s="451"/>
      <c r="O28" s="452"/>
      <c r="P28" s="453"/>
      <c r="Q28" s="454"/>
      <c r="R28" s="442"/>
      <c r="S28" s="443"/>
      <c r="T28" s="153"/>
      <c r="U28" s="153"/>
    </row>
    <row r="29" spans="1:21" ht="28.5" x14ac:dyDescent="0.45">
      <c r="A29" s="127"/>
      <c r="B29" s="203"/>
      <c r="C29" s="236" t="str">
        <f>IF(Sheet3!$B$3&gt;ROW()-18,INDEX(Sheet3!A:A,Sheet3!$B$3-(ROW()-22)),"")</f>
        <v/>
      </c>
      <c r="D29" s="237" t="str">
        <f>IF(Sheet3!$B$3&gt;ROW()-18,INDEX(Sheet3!B:B,Sheet3!$B$3-(ROW()-22)),"")</f>
        <v/>
      </c>
      <c r="E29" s="217"/>
      <c r="F29" s="218"/>
      <c r="G29" s="219"/>
      <c r="H29" s="217"/>
      <c r="I29" s="238">
        <f>I28*E22</f>
        <v>0</v>
      </c>
      <c r="J29" s="153"/>
      <c r="K29" s="433"/>
      <c r="L29" s="441"/>
      <c r="M29" s="450"/>
      <c r="N29" s="451"/>
      <c r="O29" s="452"/>
      <c r="P29" s="453"/>
      <c r="Q29" s="454"/>
      <c r="R29" s="442"/>
      <c r="S29" s="443"/>
      <c r="T29" s="153"/>
      <c r="U29" s="153"/>
    </row>
    <row r="30" spans="1:21" ht="28.5" x14ac:dyDescent="0.45">
      <c r="A30" s="127"/>
      <c r="B30" s="203"/>
      <c r="C30" s="239" t="str">
        <f>IF(Sheet3!$B$3&gt;ROW()-18,INDEX(Sheet3!A:A,Sheet3!$B$3-(ROW()-22)),"")</f>
        <v/>
      </c>
      <c r="D30" s="240" t="str">
        <f>IF(Sheet3!$B$3&gt;ROW()-18,INDEX(Sheet3!B:B,Sheet3!$B$3-(ROW()-22)),"")</f>
        <v/>
      </c>
      <c r="E30" s="206" t="s">
        <v>26</v>
      </c>
      <c r="F30" s="206" t="s">
        <v>27</v>
      </c>
      <c r="G30" s="206" t="s">
        <v>1</v>
      </c>
      <c r="H30" s="206" t="s">
        <v>67</v>
      </c>
      <c r="I30" s="206" t="s">
        <v>28</v>
      </c>
      <c r="J30" s="153"/>
      <c r="K30" s="433"/>
      <c r="L30" s="441"/>
      <c r="M30" s="450"/>
      <c r="N30" s="451"/>
      <c r="O30" s="452"/>
      <c r="P30" s="453"/>
      <c r="Q30" s="454"/>
      <c r="R30" s="442"/>
      <c r="S30" s="443"/>
      <c r="T30" s="153"/>
      <c r="U30" s="153"/>
    </row>
    <row r="31" spans="1:21" ht="31.5" x14ac:dyDescent="0.5">
      <c r="A31" s="127"/>
      <c r="B31" s="203"/>
      <c r="C31" s="241" t="str">
        <f>IF(Sheet3!$B$3&gt;ROW()-18,INDEX(Sheet3!A:A,Sheet3!$B$3-(ROW()-22)),"")</f>
        <v/>
      </c>
      <c r="D31" s="242" t="str">
        <f>IF(Sheet3!$B$3&gt;ROW()-18,INDEX(Sheet3!B:B,Sheet3!$B$3-(ROW()-22)),"")</f>
        <v/>
      </c>
      <c r="E31" s="243">
        <f ca="1">$E$22*E27*365/12</f>
        <v>0</v>
      </c>
      <c r="F31" s="243">
        <f ca="1">Sheet2!S4+I31*E22</f>
        <v>0</v>
      </c>
      <c r="G31" s="243">
        <f ca="1">I20*(Sheet2!S4+I31*E22)</f>
        <v>0</v>
      </c>
      <c r="H31" s="244">
        <f ca="1">IF(F27&gt;0,G31/F27,0)</f>
        <v>0</v>
      </c>
      <c r="I31" s="245">
        <f ca="1">Sheet2!T6</f>
        <v>0</v>
      </c>
      <c r="J31" s="153"/>
      <c r="K31" s="433"/>
      <c r="L31" s="441"/>
      <c r="M31" s="450"/>
      <c r="N31" s="451"/>
      <c r="O31" s="452"/>
      <c r="P31" s="453"/>
      <c r="Q31" s="454"/>
      <c r="R31" s="442"/>
      <c r="S31" s="443"/>
      <c r="T31" s="153"/>
      <c r="U31" s="153"/>
    </row>
    <row r="32" spans="1:21" ht="28.5" x14ac:dyDescent="0.45">
      <c r="A32" s="127"/>
      <c r="B32" s="203"/>
      <c r="C32" s="246" t="str">
        <f>IF(Sheet3!$B$3&gt;ROW()-18,INDEX(Sheet3!A:A,Sheet3!$B$3-(ROW()-22)),"")</f>
        <v/>
      </c>
      <c r="D32" s="247" t="str">
        <f>IF(Sheet3!$B$3&gt;ROW()-18,INDEX(Sheet3!B:B,Sheet3!$B$3-(ROW()-22)),"")</f>
        <v/>
      </c>
      <c r="E32" s="248">
        <f ca="1">E27*365/12</f>
        <v>0</v>
      </c>
      <c r="F32" s="249"/>
      <c r="G32" s="250"/>
      <c r="H32" s="250"/>
      <c r="I32" s="233">
        <f ca="1">I31*E22</f>
        <v>0</v>
      </c>
      <c r="J32" s="153"/>
      <c r="K32" s="433"/>
      <c r="L32" s="441"/>
      <c r="M32" s="450"/>
      <c r="N32" s="451"/>
      <c r="O32" s="452"/>
      <c r="P32" s="453"/>
      <c r="Q32" s="454"/>
      <c r="R32" s="442"/>
      <c r="S32" s="443"/>
      <c r="T32" s="153"/>
      <c r="U32" s="153"/>
    </row>
    <row r="33" spans="1:21" ht="28.5" x14ac:dyDescent="0.45">
      <c r="A33" s="127"/>
      <c r="B33" s="203"/>
      <c r="C33" s="251"/>
      <c r="D33" s="252"/>
      <c r="E33" s="253" t="s">
        <v>21</v>
      </c>
      <c r="F33" s="254" t="s">
        <v>42</v>
      </c>
      <c r="G33" s="254" t="s">
        <v>43</v>
      </c>
      <c r="H33" s="255" t="s">
        <v>68</v>
      </c>
      <c r="I33" s="254" t="s">
        <v>29</v>
      </c>
      <c r="J33" s="153"/>
      <c r="K33" s="433"/>
      <c r="L33" s="441"/>
      <c r="M33" s="450"/>
      <c r="N33" s="451"/>
      <c r="O33" s="452"/>
      <c r="P33" s="453"/>
      <c r="Q33" s="454"/>
      <c r="R33" s="442"/>
      <c r="S33" s="443"/>
      <c r="T33" s="153"/>
      <c r="U33" s="153"/>
    </row>
    <row r="34" spans="1:21" ht="30" customHeight="1" x14ac:dyDescent="0.55000000000000004">
      <c r="A34" s="127"/>
      <c r="B34" s="203"/>
      <c r="C34" s="256"/>
      <c r="D34" s="257"/>
      <c r="E34" s="258">
        <f ca="1">F27+E27*I34</f>
        <v>0</v>
      </c>
      <c r="F34" s="259">
        <f ca="1">F31+E28*I34</f>
        <v>0</v>
      </c>
      <c r="G34" s="260">
        <f ca="1">G31+E22*E27*I34*I20</f>
        <v>0</v>
      </c>
      <c r="H34" s="261" t="str">
        <f ca="1">IF(E34&gt;0,IF(E22=0,"−",G34/E34/E22),"")</f>
        <v/>
      </c>
      <c r="I34" s="262">
        <f ca="1">IF(Sheet3!B3&gt;5,DATE(YEAR(TODAY()),12,31) -INDEX(Sheet3!A:A,Sheet3!$C$3),0)</f>
        <v>0</v>
      </c>
      <c r="J34" s="153"/>
      <c r="K34" s="433"/>
      <c r="L34" s="441"/>
      <c r="M34" s="450"/>
      <c r="N34" s="451"/>
      <c r="O34" s="452"/>
      <c r="P34" s="453"/>
      <c r="Q34" s="454"/>
      <c r="R34" s="442"/>
      <c r="S34" s="443"/>
      <c r="T34" s="153"/>
    </row>
    <row r="35" spans="1:21" x14ac:dyDescent="0.3">
      <c r="A35" s="127"/>
      <c r="B35" s="203"/>
      <c r="C35" s="263"/>
      <c r="D35" s="264"/>
      <c r="E35" s="265">
        <f ca="1">E34-F27</f>
        <v>0</v>
      </c>
      <c r="F35" s="266"/>
      <c r="G35" s="267"/>
      <c r="H35" s="268"/>
      <c r="I35" s="269"/>
      <c r="J35" s="153"/>
      <c r="K35" s="433"/>
      <c r="L35" s="441"/>
      <c r="M35" s="450"/>
      <c r="N35" s="451"/>
      <c r="O35" s="452"/>
      <c r="P35" s="453"/>
      <c r="Q35" s="454"/>
      <c r="R35" s="442"/>
      <c r="S35" s="443"/>
      <c r="T35" s="153"/>
    </row>
    <row r="36" spans="1:21" ht="35.25" customHeight="1" x14ac:dyDescent="0.35">
      <c r="A36" s="127"/>
      <c r="B36" s="203"/>
      <c r="C36" s="299" t="s">
        <v>66</v>
      </c>
      <c r="D36" s="270" t="s">
        <v>14</v>
      </c>
      <c r="E36" s="270"/>
      <c r="F36" s="270"/>
      <c r="G36" s="270"/>
      <c r="H36" s="271"/>
      <c r="I36" s="270"/>
      <c r="J36" s="153"/>
      <c r="K36" s="433"/>
      <c r="L36" s="441"/>
      <c r="M36" s="450"/>
      <c r="N36" s="451"/>
      <c r="O36" s="452"/>
      <c r="P36" s="453"/>
      <c r="Q36" s="454"/>
      <c r="R36" s="442"/>
      <c r="S36" s="443"/>
      <c r="T36" s="153"/>
    </row>
    <row r="37" spans="1:21" ht="25.5" x14ac:dyDescent="0.35">
      <c r="C37" s="270"/>
      <c r="D37" s="270"/>
      <c r="E37" s="270"/>
      <c r="F37" s="270"/>
      <c r="G37" s="270"/>
      <c r="H37" s="270"/>
      <c r="I37" s="270"/>
      <c r="J37" s="153"/>
      <c r="K37" s="433"/>
      <c r="L37" s="441"/>
      <c r="M37" s="450"/>
      <c r="N37" s="451"/>
      <c r="O37" s="452"/>
      <c r="P37" s="453"/>
      <c r="Q37" s="454"/>
      <c r="R37" s="442"/>
      <c r="S37" s="443"/>
      <c r="T37" s="153"/>
    </row>
    <row r="38" spans="1:21" ht="20.25" x14ac:dyDescent="0.3">
      <c r="C38" s="124"/>
      <c r="D38" s="124"/>
      <c r="E38" s="124"/>
      <c r="F38" s="124"/>
      <c r="G38" s="124"/>
      <c r="H38" s="124"/>
      <c r="I38" s="124"/>
      <c r="J38" s="153"/>
      <c r="K38" s="433"/>
      <c r="L38" s="441"/>
      <c r="M38" s="450"/>
      <c r="N38" s="451"/>
      <c r="O38" s="452"/>
      <c r="P38" s="453"/>
      <c r="Q38" s="454"/>
      <c r="R38" s="442"/>
      <c r="S38" s="443"/>
      <c r="T38" s="153"/>
    </row>
    <row r="39" spans="1:21" ht="20.25" x14ac:dyDescent="0.3">
      <c r="C39" s="272"/>
      <c r="D39" s="273"/>
      <c r="E39" s="274"/>
      <c r="F39" s="275"/>
      <c r="G39" s="276"/>
      <c r="H39" s="274"/>
      <c r="J39" s="153"/>
      <c r="K39" s="433"/>
      <c r="L39" s="441"/>
      <c r="M39" s="450"/>
      <c r="N39" s="451"/>
      <c r="O39" s="452"/>
      <c r="P39" s="453"/>
      <c r="Q39" s="454"/>
      <c r="R39" s="442"/>
      <c r="S39" s="443"/>
      <c r="T39" s="153"/>
    </row>
    <row r="40" spans="1:21" ht="20.25" x14ac:dyDescent="0.3">
      <c r="C40" s="272"/>
      <c r="D40" s="273"/>
      <c r="E40" s="274"/>
      <c r="F40" s="275"/>
      <c r="G40" s="276"/>
      <c r="H40" s="274"/>
      <c r="J40" s="153"/>
      <c r="K40" s="433"/>
      <c r="L40" s="441"/>
      <c r="M40" s="450"/>
      <c r="N40" s="451"/>
      <c r="O40" s="452"/>
      <c r="P40" s="453"/>
      <c r="Q40" s="454"/>
      <c r="R40" s="442"/>
      <c r="S40" s="443"/>
      <c r="T40" s="153"/>
    </row>
    <row r="41" spans="1:21" ht="20.25" x14ac:dyDescent="0.3">
      <c r="C41" s="272"/>
      <c r="D41" s="273"/>
      <c r="E41" s="274"/>
      <c r="F41" s="275"/>
      <c r="G41" s="276"/>
      <c r="H41" s="274"/>
      <c r="J41" s="153"/>
      <c r="K41" s="433"/>
      <c r="L41" s="441"/>
      <c r="M41" s="450"/>
      <c r="N41" s="451"/>
      <c r="O41" s="452"/>
      <c r="P41" s="453"/>
      <c r="Q41" s="454"/>
      <c r="R41" s="442"/>
      <c r="S41" s="443"/>
      <c r="T41" s="153"/>
    </row>
    <row r="42" spans="1:21" ht="20.25" x14ac:dyDescent="0.3">
      <c r="C42" s="272"/>
      <c r="D42" s="273"/>
      <c r="E42" s="274"/>
      <c r="F42" s="275"/>
      <c r="G42" s="276"/>
      <c r="H42" s="274"/>
      <c r="J42" s="153"/>
      <c r="K42" s="433"/>
      <c r="L42" s="441"/>
      <c r="M42" s="450"/>
      <c r="N42" s="451"/>
      <c r="O42" s="452"/>
      <c r="P42" s="453"/>
      <c r="Q42" s="454"/>
      <c r="R42" s="442"/>
      <c r="S42" s="443"/>
      <c r="T42" s="153"/>
    </row>
    <row r="43" spans="1:21" ht="20.25" x14ac:dyDescent="0.3">
      <c r="C43" s="272"/>
      <c r="D43" s="273"/>
      <c r="E43" s="274"/>
      <c r="F43" s="275"/>
      <c r="G43" s="276"/>
      <c r="H43" s="274"/>
      <c r="J43" s="153"/>
      <c r="K43" s="433"/>
      <c r="L43" s="441"/>
      <c r="M43" s="450"/>
      <c r="N43" s="451"/>
      <c r="O43" s="452"/>
      <c r="P43" s="453"/>
      <c r="Q43" s="454"/>
      <c r="R43" s="442"/>
      <c r="S43" s="443"/>
      <c r="T43" s="153"/>
    </row>
    <row r="44" spans="1:21" ht="20.25" x14ac:dyDescent="0.3">
      <c r="C44" s="272"/>
      <c r="D44" s="273"/>
      <c r="E44" s="274"/>
      <c r="F44" s="275"/>
      <c r="G44" s="276"/>
      <c r="H44" s="274"/>
      <c r="J44" s="153"/>
      <c r="K44" s="433"/>
      <c r="L44" s="441"/>
      <c r="M44" s="450"/>
      <c r="N44" s="451"/>
      <c r="O44" s="452"/>
      <c r="P44" s="453"/>
      <c r="Q44" s="454"/>
      <c r="R44" s="442"/>
      <c r="S44" s="443"/>
      <c r="T44" s="153"/>
    </row>
    <row r="45" spans="1:21" ht="20.25" x14ac:dyDescent="0.3">
      <c r="C45" s="272"/>
      <c r="D45" s="273"/>
      <c r="E45" s="274"/>
      <c r="F45" s="275"/>
      <c r="G45" s="276"/>
      <c r="H45" s="274"/>
      <c r="J45" s="153"/>
      <c r="K45" s="433"/>
      <c r="L45" s="441"/>
      <c r="M45" s="450"/>
      <c r="N45" s="451"/>
      <c r="O45" s="452"/>
      <c r="P45" s="453"/>
      <c r="Q45" s="454"/>
      <c r="R45" s="442"/>
      <c r="S45" s="443"/>
      <c r="T45" s="153"/>
    </row>
    <row r="46" spans="1:21" ht="20.25" x14ac:dyDescent="0.3">
      <c r="C46" s="272"/>
      <c r="D46" s="273"/>
      <c r="E46" s="274"/>
      <c r="F46" s="275"/>
      <c r="G46" s="276"/>
      <c r="H46" s="274"/>
      <c r="J46" s="153"/>
      <c r="K46" s="433"/>
      <c r="L46" s="441"/>
      <c r="M46" s="450"/>
      <c r="N46" s="451"/>
      <c r="O46" s="452"/>
      <c r="P46" s="453"/>
      <c r="Q46" s="454"/>
      <c r="R46" s="442"/>
      <c r="S46" s="443"/>
      <c r="T46" s="153"/>
    </row>
    <row r="47" spans="1:21" ht="20.25" x14ac:dyDescent="0.3">
      <c r="C47" s="272"/>
      <c r="D47" s="273"/>
      <c r="E47" s="274"/>
      <c r="F47" s="275"/>
      <c r="G47" s="276"/>
      <c r="H47" s="274"/>
      <c r="J47" s="153"/>
      <c r="K47" s="433"/>
      <c r="L47" s="441"/>
      <c r="M47" s="450"/>
      <c r="N47" s="451"/>
      <c r="O47" s="452"/>
      <c r="P47" s="453"/>
      <c r="Q47" s="454"/>
      <c r="R47" s="442"/>
      <c r="S47" s="443"/>
      <c r="T47" s="153"/>
    </row>
    <row r="48" spans="1:21" ht="20.25" x14ac:dyDescent="0.3">
      <c r="C48" s="272"/>
      <c r="D48" s="273"/>
      <c r="E48" s="274"/>
      <c r="F48" s="275"/>
      <c r="G48" s="276"/>
      <c r="H48" s="274"/>
      <c r="J48" s="153"/>
      <c r="K48" s="433"/>
      <c r="L48" s="441"/>
      <c r="M48" s="455"/>
      <c r="N48" s="451"/>
      <c r="O48" s="452"/>
      <c r="P48" s="453"/>
      <c r="Q48" s="454"/>
      <c r="R48" s="442"/>
      <c r="S48" s="443"/>
      <c r="T48" s="153"/>
    </row>
    <row r="49" spans="3:20" ht="20.25" x14ac:dyDescent="0.3">
      <c r="C49" s="272"/>
      <c r="D49" s="273"/>
      <c r="E49" s="274"/>
      <c r="F49" s="275"/>
      <c r="G49" s="276"/>
      <c r="H49" s="274"/>
      <c r="J49" s="153"/>
      <c r="K49" s="433"/>
      <c r="L49" s="441"/>
      <c r="M49" s="450"/>
      <c r="N49" s="451"/>
      <c r="O49" s="452"/>
      <c r="P49" s="453"/>
      <c r="Q49" s="454"/>
      <c r="R49" s="442"/>
      <c r="S49" s="443"/>
      <c r="T49" s="153"/>
    </row>
    <row r="50" spans="3:20" ht="20.25" x14ac:dyDescent="0.3">
      <c r="C50" s="272"/>
      <c r="D50" s="273"/>
      <c r="E50" s="274"/>
      <c r="F50" s="275"/>
      <c r="G50" s="276"/>
      <c r="H50" s="274"/>
      <c r="J50" s="153"/>
      <c r="K50" s="433"/>
      <c r="L50" s="441"/>
      <c r="M50" s="450"/>
      <c r="N50" s="451"/>
      <c r="O50" s="452"/>
      <c r="P50" s="453"/>
      <c r="Q50" s="454"/>
      <c r="R50" s="442"/>
      <c r="S50" s="443"/>
      <c r="T50" s="153"/>
    </row>
    <row r="51" spans="3:20" ht="20.25" x14ac:dyDescent="0.3">
      <c r="C51" s="272"/>
      <c r="D51" s="273"/>
      <c r="E51" s="274"/>
      <c r="F51" s="275"/>
      <c r="G51" s="276"/>
      <c r="H51" s="274"/>
      <c r="J51" s="153"/>
      <c r="K51" s="433"/>
      <c r="L51" s="441"/>
      <c r="M51" s="450"/>
      <c r="N51" s="451"/>
      <c r="O51" s="452"/>
      <c r="P51" s="453"/>
      <c r="Q51" s="454"/>
      <c r="R51" s="442"/>
      <c r="S51" s="443"/>
      <c r="T51" s="153"/>
    </row>
    <row r="52" spans="3:20" ht="20.25" x14ac:dyDescent="0.3">
      <c r="C52" s="272"/>
      <c r="D52" s="273"/>
      <c r="E52" s="274"/>
      <c r="F52" s="275"/>
      <c r="G52" s="276"/>
      <c r="H52" s="274"/>
      <c r="J52" s="153"/>
      <c r="K52" s="433"/>
      <c r="L52" s="441"/>
      <c r="M52" s="450"/>
      <c r="N52" s="451"/>
      <c r="O52" s="452"/>
      <c r="P52" s="453"/>
      <c r="Q52" s="454"/>
      <c r="R52" s="442"/>
      <c r="S52" s="443"/>
      <c r="T52" s="153"/>
    </row>
    <row r="53" spans="3:20" ht="20.25" x14ac:dyDescent="0.3">
      <c r="C53" s="272"/>
      <c r="D53" s="273"/>
      <c r="E53" s="274"/>
      <c r="F53" s="275"/>
      <c r="G53" s="276"/>
      <c r="H53" s="274"/>
      <c r="J53" s="153"/>
      <c r="K53" s="433"/>
      <c r="L53" s="441"/>
      <c r="M53" s="450"/>
      <c r="N53" s="451"/>
      <c r="O53" s="452"/>
      <c r="P53" s="453"/>
      <c r="Q53" s="454"/>
      <c r="R53" s="442"/>
      <c r="S53" s="443"/>
      <c r="T53" s="153"/>
    </row>
    <row r="54" spans="3:20" ht="20.25" x14ac:dyDescent="0.3">
      <c r="C54" s="272"/>
      <c r="D54" s="273"/>
      <c r="E54" s="274"/>
      <c r="F54" s="275"/>
      <c r="G54" s="276"/>
      <c r="H54" s="274"/>
      <c r="J54" s="153"/>
      <c r="K54" s="433"/>
      <c r="L54" s="441"/>
      <c r="M54" s="450"/>
      <c r="N54" s="451"/>
      <c r="O54" s="452"/>
      <c r="P54" s="453"/>
      <c r="Q54" s="454"/>
      <c r="R54" s="442"/>
      <c r="S54" s="443"/>
      <c r="T54" s="153"/>
    </row>
    <row r="55" spans="3:20" ht="20.25" x14ac:dyDescent="0.3">
      <c r="C55" s="272"/>
      <c r="D55" s="273"/>
      <c r="E55" s="274"/>
      <c r="F55" s="275"/>
      <c r="G55" s="276"/>
      <c r="H55" s="274"/>
      <c r="J55" s="153"/>
      <c r="K55" s="433"/>
      <c r="L55" s="441"/>
      <c r="M55" s="450"/>
      <c r="N55" s="451"/>
      <c r="O55" s="452"/>
      <c r="P55" s="453"/>
      <c r="Q55" s="454"/>
      <c r="R55" s="442"/>
      <c r="S55" s="443"/>
      <c r="T55" s="153"/>
    </row>
    <row r="56" spans="3:20" ht="20.25" x14ac:dyDescent="0.3">
      <c r="C56" s="272"/>
      <c r="D56" s="273"/>
      <c r="E56" s="274"/>
      <c r="F56" s="275"/>
      <c r="G56" s="276"/>
      <c r="H56" s="274"/>
      <c r="J56" s="153"/>
      <c r="K56" s="433"/>
      <c r="L56" s="441"/>
      <c r="M56" s="450"/>
      <c r="N56" s="451"/>
      <c r="O56" s="452"/>
      <c r="P56" s="453"/>
      <c r="Q56" s="454"/>
      <c r="R56" s="442"/>
      <c r="S56" s="443"/>
      <c r="T56" s="153"/>
    </row>
    <row r="57" spans="3:20" ht="20.25" x14ac:dyDescent="0.3">
      <c r="C57" s="272"/>
      <c r="D57" s="273"/>
      <c r="E57" s="274"/>
      <c r="F57" s="275"/>
      <c r="G57" s="276"/>
      <c r="H57" s="274"/>
      <c r="J57" s="153"/>
      <c r="K57" s="433"/>
      <c r="L57" s="441"/>
      <c r="M57" s="450"/>
      <c r="N57" s="451"/>
      <c r="O57" s="452"/>
      <c r="P57" s="453"/>
      <c r="Q57" s="454"/>
      <c r="R57" s="442"/>
      <c r="S57" s="443"/>
      <c r="T57" s="153"/>
    </row>
    <row r="58" spans="3:20" ht="20.25" x14ac:dyDescent="0.3">
      <c r="C58" s="272"/>
      <c r="D58" s="273"/>
      <c r="E58" s="274"/>
      <c r="F58" s="275"/>
      <c r="G58" s="276"/>
      <c r="H58" s="274"/>
      <c r="J58" s="153"/>
      <c r="K58" s="433"/>
      <c r="L58" s="441"/>
      <c r="M58" s="450"/>
      <c r="N58" s="451"/>
      <c r="O58" s="452"/>
      <c r="P58" s="453"/>
      <c r="Q58" s="454"/>
      <c r="R58" s="442"/>
      <c r="S58" s="443"/>
      <c r="T58" s="153"/>
    </row>
    <row r="59" spans="3:20" ht="20.25" x14ac:dyDescent="0.3">
      <c r="C59" s="272"/>
      <c r="D59" s="273"/>
      <c r="E59" s="274"/>
      <c r="F59" s="275"/>
      <c r="G59" s="276"/>
      <c r="H59" s="274"/>
      <c r="J59" s="153"/>
      <c r="K59" s="433"/>
      <c r="L59" s="441"/>
      <c r="M59" s="450"/>
      <c r="N59" s="451"/>
      <c r="O59" s="452"/>
      <c r="P59" s="453"/>
      <c r="Q59" s="454"/>
      <c r="R59" s="442"/>
      <c r="S59" s="443"/>
      <c r="T59" s="153"/>
    </row>
    <row r="60" spans="3:20" ht="20.25" x14ac:dyDescent="0.3">
      <c r="C60" s="275"/>
      <c r="D60" s="275"/>
      <c r="E60" s="274"/>
      <c r="F60" s="275"/>
      <c r="G60" s="276"/>
      <c r="H60" s="274"/>
      <c r="J60" s="153"/>
      <c r="K60" s="433"/>
      <c r="L60" s="441"/>
      <c r="M60" s="455"/>
      <c r="N60" s="451"/>
      <c r="O60" s="452"/>
      <c r="P60" s="453"/>
      <c r="Q60" s="454"/>
      <c r="R60" s="442"/>
      <c r="S60" s="443"/>
      <c r="T60" s="153"/>
    </row>
    <row r="61" spans="3:20" ht="20.25" x14ac:dyDescent="0.3">
      <c r="C61" s="274"/>
      <c r="D61" s="275"/>
      <c r="E61" s="274"/>
      <c r="F61" s="275"/>
      <c r="G61" s="276"/>
      <c r="H61" s="274"/>
      <c r="J61" s="153"/>
      <c r="K61" s="433"/>
      <c r="L61" s="441"/>
      <c r="M61" s="455"/>
      <c r="N61" s="451"/>
      <c r="O61" s="452"/>
      <c r="P61" s="453"/>
      <c r="Q61" s="454"/>
      <c r="R61" s="442"/>
      <c r="S61" s="443"/>
      <c r="T61" s="153"/>
    </row>
    <row r="62" spans="3:20" ht="20.25" x14ac:dyDescent="0.3">
      <c r="E62" s="274"/>
      <c r="F62" s="275"/>
      <c r="G62" s="276"/>
      <c r="H62" s="274"/>
      <c r="J62" s="153"/>
      <c r="K62" s="433"/>
      <c r="L62" s="441"/>
      <c r="M62" s="450"/>
      <c r="N62" s="451"/>
      <c r="O62" s="452"/>
      <c r="P62" s="453"/>
      <c r="Q62" s="454"/>
      <c r="R62" s="442"/>
      <c r="S62" s="443"/>
      <c r="T62" s="153"/>
    </row>
    <row r="63" spans="3:20" ht="20.25" x14ac:dyDescent="0.3">
      <c r="J63" s="153"/>
      <c r="K63" s="433"/>
      <c r="L63" s="441"/>
      <c r="M63" s="450"/>
      <c r="N63" s="451"/>
      <c r="O63" s="452"/>
      <c r="P63" s="453"/>
      <c r="Q63" s="454"/>
      <c r="R63" s="442"/>
      <c r="S63" s="443"/>
      <c r="T63" s="153"/>
    </row>
    <row r="64" spans="3:20" ht="20.25" x14ac:dyDescent="0.3">
      <c r="J64" s="153"/>
      <c r="K64" s="433"/>
      <c r="L64" s="442"/>
      <c r="M64" s="455"/>
      <c r="N64" s="451"/>
      <c r="O64" s="452"/>
      <c r="P64" s="453"/>
      <c r="Q64" s="454"/>
      <c r="R64" s="442"/>
      <c r="S64" s="443"/>
      <c r="T64" s="153"/>
    </row>
    <row r="65" spans="1:29" ht="20.25" x14ac:dyDescent="0.3">
      <c r="J65" s="153"/>
      <c r="K65" s="433"/>
      <c r="L65" s="442"/>
      <c r="M65" s="455"/>
      <c r="N65" s="451"/>
      <c r="O65" s="452"/>
      <c r="P65" s="453"/>
      <c r="Q65" s="454"/>
      <c r="R65" s="442"/>
      <c r="S65" s="443"/>
      <c r="T65" s="153"/>
    </row>
    <row r="66" spans="1:29" ht="20.25" x14ac:dyDescent="0.3">
      <c r="E66" s="124"/>
      <c r="J66" s="153"/>
      <c r="K66" s="433"/>
      <c r="L66" s="442"/>
      <c r="M66" s="455"/>
      <c r="N66" s="451"/>
      <c r="O66" s="452"/>
      <c r="P66" s="453"/>
      <c r="Q66" s="454"/>
      <c r="R66" s="442"/>
      <c r="S66" s="443"/>
      <c r="T66" s="153"/>
    </row>
    <row r="67" spans="1:29" ht="20.25" x14ac:dyDescent="0.3">
      <c r="B67" s="282"/>
      <c r="E67" s="124"/>
      <c r="J67" s="153"/>
      <c r="K67" s="433"/>
      <c r="L67" s="442"/>
      <c r="M67" s="455"/>
      <c r="N67" s="451"/>
      <c r="O67" s="452"/>
      <c r="P67" s="453"/>
      <c r="Q67" s="454"/>
      <c r="R67" s="442"/>
      <c r="S67" s="443"/>
      <c r="T67" s="153"/>
    </row>
    <row r="68" spans="1:29" ht="20.25" x14ac:dyDescent="0.3">
      <c r="B68" s="282"/>
      <c r="E68" s="124"/>
      <c r="J68" s="153"/>
      <c r="K68" s="433"/>
      <c r="L68" s="442"/>
      <c r="M68" s="455"/>
      <c r="N68" s="451"/>
      <c r="O68" s="452"/>
      <c r="P68" s="453"/>
      <c r="Q68" s="454"/>
      <c r="R68" s="442"/>
      <c r="S68" s="443"/>
      <c r="T68" s="153"/>
    </row>
    <row r="69" spans="1:29" ht="20.25" x14ac:dyDescent="0.3">
      <c r="B69" s="282"/>
      <c r="C69" s="274"/>
      <c r="D69" s="273"/>
      <c r="E69" s="124"/>
      <c r="J69" s="153"/>
      <c r="K69" s="433"/>
      <c r="L69" s="442"/>
      <c r="M69" s="455"/>
      <c r="N69" s="451"/>
      <c r="O69" s="452"/>
      <c r="P69" s="453"/>
      <c r="Q69" s="454"/>
      <c r="R69" s="442"/>
      <c r="S69" s="443"/>
      <c r="T69" s="153"/>
    </row>
    <row r="70" spans="1:29" ht="26.25" x14ac:dyDescent="0.3">
      <c r="B70" s="282"/>
      <c r="C70" s="367" t="s">
        <v>76</v>
      </c>
      <c r="D70" s="278" t="s">
        <v>75</v>
      </c>
      <c r="E70" s="124"/>
      <c r="J70" s="153"/>
      <c r="K70" s="433"/>
      <c r="L70" s="442"/>
      <c r="M70" s="455"/>
      <c r="N70" s="451"/>
      <c r="O70" s="452"/>
      <c r="P70" s="453"/>
      <c r="Q70" s="454"/>
      <c r="R70" s="442"/>
      <c r="S70" s="443"/>
      <c r="T70" s="153"/>
    </row>
    <row r="71" spans="1:29" ht="26.25" x14ac:dyDescent="0.3">
      <c r="B71" s="282"/>
      <c r="C71" s="368" t="s">
        <v>76</v>
      </c>
      <c r="D71" s="278" t="s">
        <v>0</v>
      </c>
      <c r="E71" s="283"/>
      <c r="J71" s="153"/>
      <c r="K71" s="433"/>
      <c r="L71" s="442"/>
      <c r="M71" s="455"/>
      <c r="N71" s="451"/>
      <c r="O71" s="452"/>
      <c r="P71" s="453"/>
      <c r="Q71" s="454"/>
      <c r="R71" s="442"/>
      <c r="S71" s="443"/>
      <c r="T71" s="153"/>
    </row>
    <row r="72" spans="1:29" ht="26.25" x14ac:dyDescent="0.3">
      <c r="C72" s="369" t="s">
        <v>76</v>
      </c>
      <c r="D72" s="278" t="s">
        <v>32</v>
      </c>
      <c r="J72" s="153"/>
      <c r="K72" s="433"/>
      <c r="L72" s="442"/>
      <c r="M72" s="455"/>
      <c r="N72" s="451"/>
      <c r="O72" s="452"/>
      <c r="P72" s="453"/>
      <c r="Q72" s="454"/>
      <c r="R72" s="442"/>
      <c r="S72" s="443"/>
      <c r="T72" s="153"/>
    </row>
    <row r="73" spans="1:29" ht="26.25" x14ac:dyDescent="0.3">
      <c r="C73" s="370" t="s">
        <v>76</v>
      </c>
      <c r="D73" s="278" t="s">
        <v>51</v>
      </c>
      <c r="J73" s="153"/>
      <c r="K73" s="433"/>
      <c r="L73" s="442"/>
      <c r="M73" s="455"/>
      <c r="N73" s="451"/>
      <c r="O73" s="452"/>
      <c r="P73" s="453"/>
      <c r="Q73" s="454"/>
      <c r="R73" s="442"/>
      <c r="S73" s="443"/>
      <c r="T73" s="153"/>
    </row>
    <row r="74" spans="1:29" ht="20.25" x14ac:dyDescent="0.3">
      <c r="B74" s="101"/>
      <c r="C74" s="371" t="s">
        <v>63</v>
      </c>
      <c r="D74" s="278" t="s">
        <v>74</v>
      </c>
      <c r="E74" s="284"/>
      <c r="F74" s="284"/>
      <c r="G74" s="284"/>
      <c r="J74" s="153"/>
      <c r="K74" s="433"/>
      <c r="L74" s="442"/>
      <c r="M74" s="455"/>
      <c r="N74" s="451"/>
      <c r="O74" s="452"/>
      <c r="P74" s="453"/>
      <c r="Q74" s="454"/>
      <c r="R74" s="442"/>
      <c r="S74" s="443"/>
      <c r="T74" s="153"/>
    </row>
    <row r="75" spans="1:29" ht="20.25" x14ac:dyDescent="0.3">
      <c r="B75" s="101"/>
      <c r="C75" s="272"/>
      <c r="E75" s="284"/>
      <c r="F75" s="284"/>
      <c r="G75" s="284"/>
      <c r="J75" s="153"/>
      <c r="K75" s="433"/>
      <c r="L75" s="442"/>
      <c r="M75" s="455"/>
      <c r="N75" s="451"/>
      <c r="O75" s="452"/>
      <c r="P75" s="453"/>
      <c r="Q75" s="454"/>
      <c r="R75" s="442"/>
      <c r="S75" s="443"/>
      <c r="T75" s="153"/>
    </row>
    <row r="76" spans="1:29" ht="20.25" x14ac:dyDescent="0.3">
      <c r="B76" s="282"/>
      <c r="C76" s="124"/>
      <c r="D76" s="124"/>
      <c r="E76" s="124"/>
      <c r="F76" s="124"/>
      <c r="G76" s="124"/>
      <c r="H76" s="124"/>
      <c r="I76" s="124"/>
      <c r="J76" s="153"/>
      <c r="K76" s="433"/>
      <c r="L76" s="442"/>
      <c r="M76" s="455"/>
      <c r="N76" s="451"/>
      <c r="O76" s="452"/>
      <c r="P76" s="453"/>
      <c r="Q76" s="454"/>
      <c r="R76" s="442"/>
      <c r="S76" s="443"/>
      <c r="T76" s="153"/>
      <c r="U76" s="124"/>
    </row>
    <row r="77" spans="1:29" s="285" customFormat="1" ht="20.25" customHeight="1" x14ac:dyDescent="0.35">
      <c r="A77" s="90"/>
      <c r="B77" s="282"/>
      <c r="J77" s="153"/>
      <c r="K77" s="433"/>
      <c r="L77" s="442"/>
      <c r="M77" s="455"/>
      <c r="N77" s="451"/>
      <c r="O77" s="452"/>
      <c r="P77" s="453"/>
      <c r="Q77" s="454"/>
      <c r="R77" s="442"/>
      <c r="S77" s="443"/>
      <c r="T77" s="153"/>
      <c r="V77" s="286"/>
      <c r="W77" s="286"/>
      <c r="X77" s="286"/>
      <c r="Y77" s="286"/>
      <c r="Z77" s="286"/>
      <c r="AA77" s="286"/>
      <c r="AB77" s="286"/>
      <c r="AC77" s="287"/>
    </row>
    <row r="78" spans="1:29" ht="20.25" x14ac:dyDescent="0.3">
      <c r="B78" s="282"/>
      <c r="C78" s="124"/>
      <c r="D78" s="124"/>
      <c r="E78" s="124"/>
      <c r="F78" s="124"/>
      <c r="G78" s="124"/>
      <c r="H78" s="124"/>
      <c r="I78" s="124"/>
      <c r="J78" s="153"/>
      <c r="K78" s="433"/>
      <c r="L78" s="442"/>
      <c r="M78" s="455"/>
      <c r="N78" s="451"/>
      <c r="O78" s="452"/>
      <c r="P78" s="453"/>
      <c r="Q78" s="454"/>
      <c r="R78" s="442"/>
      <c r="S78" s="443"/>
      <c r="T78" s="153"/>
      <c r="U78" s="124"/>
    </row>
    <row r="79" spans="1:29" ht="20.25" x14ac:dyDescent="0.3">
      <c r="B79" s="282"/>
      <c r="C79" s="124"/>
      <c r="D79" s="124"/>
      <c r="E79" s="124"/>
      <c r="F79" s="124"/>
      <c r="G79" s="124"/>
      <c r="H79" s="124"/>
      <c r="I79" s="124"/>
      <c r="J79" s="153"/>
      <c r="K79" s="433"/>
      <c r="L79" s="442"/>
      <c r="M79" s="455"/>
      <c r="N79" s="451"/>
      <c r="O79" s="452"/>
      <c r="P79" s="453"/>
      <c r="Q79" s="454"/>
      <c r="R79" s="442"/>
      <c r="S79" s="443"/>
      <c r="T79" s="153"/>
      <c r="U79" s="124"/>
    </row>
    <row r="80" spans="1:29" ht="20.25" x14ac:dyDescent="0.3">
      <c r="B80" s="282"/>
      <c r="C80" s="124"/>
      <c r="D80" s="124"/>
      <c r="E80" s="124"/>
      <c r="F80" s="124"/>
      <c r="G80" s="124"/>
      <c r="H80" s="124"/>
      <c r="I80" s="124"/>
      <c r="J80" s="153"/>
      <c r="K80" s="433"/>
      <c r="L80" s="442"/>
      <c r="M80" s="455"/>
      <c r="N80" s="451"/>
      <c r="O80" s="452"/>
      <c r="P80" s="453"/>
      <c r="Q80" s="454"/>
      <c r="R80" s="442"/>
      <c r="S80" s="443"/>
      <c r="T80" s="153"/>
      <c r="U80" s="124"/>
    </row>
    <row r="81" spans="2:21" ht="20.25" x14ac:dyDescent="0.3">
      <c r="B81" s="282"/>
      <c r="C81" s="124"/>
      <c r="D81" s="124"/>
      <c r="E81" s="124"/>
      <c r="F81" s="124"/>
      <c r="G81" s="124"/>
      <c r="H81" s="124"/>
      <c r="I81" s="124"/>
      <c r="J81" s="153"/>
      <c r="K81" s="433"/>
      <c r="L81" s="442"/>
      <c r="M81" s="455"/>
      <c r="N81" s="451"/>
      <c r="O81" s="452"/>
      <c r="P81" s="453"/>
      <c r="Q81" s="454"/>
      <c r="R81" s="442"/>
      <c r="S81" s="443"/>
      <c r="T81" s="153"/>
      <c r="U81" s="124"/>
    </row>
    <row r="82" spans="2:21" ht="20.25" x14ac:dyDescent="0.3">
      <c r="B82" s="282"/>
      <c r="C82" s="124"/>
      <c r="D82" s="124"/>
      <c r="E82" s="124"/>
      <c r="F82" s="124"/>
      <c r="G82" s="124"/>
      <c r="H82" s="124"/>
      <c r="I82" s="124"/>
      <c r="J82" s="153"/>
      <c r="K82" s="433"/>
      <c r="L82" s="442"/>
      <c r="M82" s="455"/>
      <c r="N82" s="451"/>
      <c r="O82" s="452"/>
      <c r="P82" s="453"/>
      <c r="Q82" s="454"/>
      <c r="R82" s="442"/>
      <c r="S82" s="443"/>
      <c r="T82" s="153"/>
      <c r="U82" s="124"/>
    </row>
    <row r="83" spans="2:21" ht="20.25" x14ac:dyDescent="0.3">
      <c r="B83" s="282"/>
      <c r="C83" s="124"/>
      <c r="D83" s="124"/>
      <c r="E83" s="124"/>
      <c r="F83" s="124"/>
      <c r="G83" s="124"/>
      <c r="H83" s="124"/>
      <c r="I83" s="124"/>
      <c r="J83" s="153"/>
      <c r="K83" s="433"/>
      <c r="L83" s="442"/>
      <c r="M83" s="455"/>
      <c r="N83" s="451"/>
      <c r="O83" s="452"/>
      <c r="P83" s="453"/>
      <c r="Q83" s="454"/>
      <c r="R83" s="442"/>
      <c r="S83" s="443"/>
      <c r="T83" s="153"/>
      <c r="U83" s="124"/>
    </row>
    <row r="84" spans="2:21" ht="20.25" x14ac:dyDescent="0.3">
      <c r="B84" s="282"/>
      <c r="C84" s="124"/>
      <c r="D84" s="124"/>
      <c r="E84" s="124"/>
      <c r="F84" s="124"/>
      <c r="G84" s="124"/>
      <c r="H84" s="124"/>
      <c r="I84" s="124"/>
      <c r="J84" s="153"/>
      <c r="K84" s="433"/>
      <c r="L84" s="442"/>
      <c r="M84" s="455"/>
      <c r="N84" s="451"/>
      <c r="O84" s="452"/>
      <c r="P84" s="453"/>
      <c r="Q84" s="454"/>
      <c r="R84" s="442"/>
      <c r="S84" s="443"/>
      <c r="T84" s="153"/>
      <c r="U84" s="124"/>
    </row>
    <row r="85" spans="2:21" ht="20.25" x14ac:dyDescent="0.3">
      <c r="B85" s="282"/>
      <c r="C85" s="124"/>
      <c r="D85" s="124"/>
      <c r="E85" s="124"/>
      <c r="F85" s="124"/>
      <c r="G85" s="124"/>
      <c r="H85" s="124"/>
      <c r="I85" s="124"/>
      <c r="J85" s="153"/>
      <c r="K85" s="433"/>
      <c r="L85" s="442"/>
      <c r="M85" s="455"/>
      <c r="N85" s="451"/>
      <c r="O85" s="452"/>
      <c r="P85" s="453"/>
      <c r="Q85" s="454"/>
      <c r="R85" s="442"/>
      <c r="S85" s="443"/>
      <c r="T85" s="153"/>
      <c r="U85" s="124"/>
    </row>
    <row r="86" spans="2:21" ht="20.25" x14ac:dyDescent="0.3">
      <c r="B86" s="282"/>
      <c r="C86" s="124"/>
      <c r="D86" s="124"/>
      <c r="E86" s="124"/>
      <c r="F86" s="124"/>
      <c r="G86" s="124"/>
      <c r="H86" s="124"/>
      <c r="I86" s="124"/>
      <c r="J86" s="153"/>
      <c r="K86" s="433"/>
      <c r="L86" s="442"/>
      <c r="M86" s="455"/>
      <c r="N86" s="451"/>
      <c r="O86" s="452"/>
      <c r="P86" s="453"/>
      <c r="Q86" s="454"/>
      <c r="R86" s="442"/>
      <c r="S86" s="443"/>
      <c r="T86" s="153"/>
      <c r="U86" s="124"/>
    </row>
    <row r="87" spans="2:21" ht="20.25" x14ac:dyDescent="0.3">
      <c r="B87" s="282"/>
      <c r="C87" s="124"/>
      <c r="D87" s="124"/>
      <c r="E87" s="124"/>
      <c r="F87" s="124"/>
      <c r="G87" s="124"/>
      <c r="H87" s="124"/>
      <c r="I87" s="124"/>
      <c r="J87" s="153"/>
      <c r="K87" s="433"/>
      <c r="L87" s="442"/>
      <c r="M87" s="455"/>
      <c r="N87" s="451"/>
      <c r="O87" s="452"/>
      <c r="P87" s="453"/>
      <c r="Q87" s="454"/>
      <c r="R87" s="442"/>
      <c r="S87" s="443"/>
      <c r="T87" s="153"/>
      <c r="U87" s="124"/>
    </row>
    <row r="88" spans="2:21" ht="20.25" x14ac:dyDescent="0.3">
      <c r="B88" s="282"/>
      <c r="C88" s="124"/>
      <c r="D88" s="124"/>
      <c r="E88" s="124"/>
      <c r="F88" s="124"/>
      <c r="G88" s="124"/>
      <c r="H88" s="124"/>
      <c r="I88" s="124"/>
      <c r="J88" s="153"/>
      <c r="K88" s="433"/>
      <c r="L88" s="442"/>
      <c r="M88" s="455"/>
      <c r="N88" s="451"/>
      <c r="O88" s="452"/>
      <c r="P88" s="453"/>
      <c r="Q88" s="454"/>
      <c r="R88" s="442"/>
      <c r="S88" s="443"/>
      <c r="T88" s="153"/>
      <c r="U88" s="124"/>
    </row>
    <row r="89" spans="2:21" ht="20.25" x14ac:dyDescent="0.3">
      <c r="B89" s="282"/>
      <c r="C89" s="124"/>
      <c r="D89" s="124"/>
      <c r="E89" s="124"/>
      <c r="F89" s="124"/>
      <c r="G89" s="124"/>
      <c r="H89" s="124"/>
      <c r="I89" s="124"/>
      <c r="J89" s="153"/>
      <c r="K89" s="433"/>
      <c r="L89" s="442"/>
      <c r="M89" s="455"/>
      <c r="N89" s="451"/>
      <c r="O89" s="452"/>
      <c r="P89" s="453"/>
      <c r="Q89" s="454"/>
      <c r="R89" s="442"/>
      <c r="S89" s="443"/>
      <c r="T89" s="153"/>
      <c r="U89" s="124"/>
    </row>
    <row r="90" spans="2:21" x14ac:dyDescent="0.35">
      <c r="J90" s="122"/>
      <c r="K90" s="433"/>
      <c r="L90" s="442"/>
      <c r="M90" s="455"/>
      <c r="N90" s="451"/>
      <c r="O90" s="452"/>
      <c r="P90" s="453"/>
      <c r="Q90" s="454"/>
      <c r="R90" s="442"/>
      <c r="S90" s="443"/>
      <c r="T90" s="280"/>
    </row>
    <row r="91" spans="2:21" x14ac:dyDescent="0.35">
      <c r="J91" s="122"/>
      <c r="K91" s="433"/>
      <c r="L91" s="442"/>
      <c r="M91" s="455"/>
      <c r="N91" s="451"/>
      <c r="O91" s="452"/>
      <c r="P91" s="453"/>
      <c r="Q91" s="454"/>
      <c r="R91" s="442"/>
      <c r="S91" s="443"/>
      <c r="T91" s="280"/>
    </row>
    <row r="92" spans="2:21" x14ac:dyDescent="0.35">
      <c r="J92" s="122"/>
      <c r="K92" s="433"/>
      <c r="L92" s="442"/>
      <c r="M92" s="455"/>
      <c r="N92" s="451"/>
      <c r="O92" s="452"/>
      <c r="P92" s="453"/>
      <c r="Q92" s="454"/>
      <c r="R92" s="442"/>
      <c r="S92" s="443"/>
      <c r="T92" s="280"/>
    </row>
    <row r="93" spans="2:21" x14ac:dyDescent="0.35">
      <c r="J93" s="122"/>
      <c r="K93" s="433"/>
      <c r="L93" s="442"/>
      <c r="M93" s="455"/>
      <c r="N93" s="451"/>
      <c r="O93" s="452"/>
      <c r="P93" s="453"/>
      <c r="Q93" s="454"/>
      <c r="R93" s="442"/>
      <c r="S93" s="443"/>
      <c r="T93" s="280"/>
    </row>
    <row r="94" spans="2:21" x14ac:dyDescent="0.35">
      <c r="J94" s="122"/>
      <c r="K94" s="433"/>
      <c r="L94" s="442"/>
      <c r="M94" s="455"/>
      <c r="N94" s="451"/>
      <c r="O94" s="452"/>
      <c r="P94" s="453"/>
      <c r="Q94" s="454"/>
      <c r="R94" s="442"/>
      <c r="S94" s="443"/>
      <c r="T94" s="280"/>
    </row>
    <row r="95" spans="2:21" x14ac:dyDescent="0.35">
      <c r="J95" s="122"/>
      <c r="K95" s="433"/>
      <c r="L95" s="442"/>
      <c r="M95" s="455"/>
      <c r="N95" s="451"/>
      <c r="O95" s="452"/>
      <c r="P95" s="453"/>
      <c r="Q95" s="454"/>
      <c r="R95" s="442"/>
      <c r="S95" s="443"/>
      <c r="T95" s="280"/>
    </row>
    <row r="96" spans="2:21" x14ac:dyDescent="0.35">
      <c r="J96" s="122"/>
      <c r="K96" s="433"/>
      <c r="L96" s="442"/>
      <c r="M96" s="455"/>
      <c r="N96" s="451"/>
      <c r="O96" s="452"/>
      <c r="P96" s="453"/>
      <c r="Q96" s="454"/>
      <c r="R96" s="442"/>
      <c r="S96" s="443"/>
      <c r="T96" s="280"/>
    </row>
    <row r="97" spans="10:20" x14ac:dyDescent="0.35">
      <c r="J97" s="122"/>
      <c r="K97" s="433"/>
      <c r="L97" s="442"/>
      <c r="M97" s="455"/>
      <c r="N97" s="451"/>
      <c r="O97" s="452"/>
      <c r="P97" s="453"/>
      <c r="Q97" s="454"/>
      <c r="R97" s="442"/>
      <c r="S97" s="443"/>
      <c r="T97" s="280"/>
    </row>
    <row r="98" spans="10:20" x14ac:dyDescent="0.35">
      <c r="J98" s="122"/>
      <c r="K98" s="433"/>
      <c r="L98" s="442"/>
      <c r="M98" s="455"/>
      <c r="N98" s="451"/>
      <c r="O98" s="452"/>
      <c r="P98" s="453"/>
      <c r="Q98" s="454"/>
      <c r="R98" s="442"/>
      <c r="S98" s="443"/>
      <c r="T98" s="280"/>
    </row>
    <row r="99" spans="10:20" x14ac:dyDescent="0.35">
      <c r="J99" s="122"/>
      <c r="K99" s="433"/>
      <c r="L99" s="442"/>
      <c r="M99" s="455"/>
      <c r="N99" s="451"/>
      <c r="O99" s="452"/>
      <c r="P99" s="453"/>
      <c r="Q99" s="454"/>
      <c r="R99" s="442"/>
      <c r="S99" s="443"/>
      <c r="T99" s="280"/>
    </row>
    <row r="100" spans="10:20" x14ac:dyDescent="0.35">
      <c r="J100" s="122"/>
      <c r="K100" s="433"/>
      <c r="L100" s="442"/>
      <c r="M100" s="455"/>
      <c r="N100" s="451"/>
      <c r="O100" s="452"/>
      <c r="P100" s="453"/>
      <c r="Q100" s="454"/>
      <c r="R100" s="442"/>
      <c r="S100" s="443"/>
      <c r="T100" s="280"/>
    </row>
    <row r="101" spans="10:20" x14ac:dyDescent="0.35">
      <c r="J101" s="122"/>
      <c r="K101" s="433"/>
      <c r="L101" s="442"/>
      <c r="M101" s="455"/>
      <c r="N101" s="451"/>
      <c r="O101" s="452"/>
      <c r="P101" s="453"/>
      <c r="Q101" s="454"/>
      <c r="R101" s="442"/>
      <c r="S101" s="443"/>
      <c r="T101" s="280"/>
    </row>
    <row r="102" spans="10:20" x14ac:dyDescent="0.35">
      <c r="J102" s="122"/>
      <c r="K102" s="433"/>
      <c r="L102" s="442"/>
      <c r="M102" s="455"/>
      <c r="N102" s="451"/>
      <c r="O102" s="452"/>
      <c r="P102" s="453"/>
      <c r="Q102" s="454"/>
      <c r="R102" s="442"/>
      <c r="S102" s="443"/>
      <c r="T102" s="280"/>
    </row>
    <row r="103" spans="10:20" x14ac:dyDescent="0.35">
      <c r="J103" s="122"/>
      <c r="K103" s="433"/>
      <c r="L103" s="442"/>
      <c r="M103" s="455"/>
      <c r="N103" s="451"/>
      <c r="O103" s="452"/>
      <c r="P103" s="453"/>
      <c r="Q103" s="454"/>
      <c r="R103" s="442"/>
      <c r="S103" s="443"/>
      <c r="T103" s="280"/>
    </row>
    <row r="104" spans="10:20" x14ac:dyDescent="0.35">
      <c r="J104" s="122"/>
      <c r="K104" s="433"/>
      <c r="L104" s="442"/>
      <c r="M104" s="455"/>
      <c r="N104" s="451"/>
      <c r="O104" s="452"/>
      <c r="P104" s="453"/>
      <c r="Q104" s="454"/>
      <c r="R104" s="442"/>
      <c r="S104" s="443"/>
      <c r="T104" s="280"/>
    </row>
    <row r="105" spans="10:20" x14ac:dyDescent="0.35">
      <c r="J105" s="122"/>
      <c r="K105" s="433"/>
      <c r="L105" s="442"/>
      <c r="M105" s="455"/>
      <c r="N105" s="451"/>
      <c r="O105" s="452"/>
      <c r="P105" s="453"/>
      <c r="Q105" s="454"/>
      <c r="R105" s="442"/>
      <c r="S105" s="443"/>
      <c r="T105" s="280"/>
    </row>
    <row r="106" spans="10:20" x14ac:dyDescent="0.35">
      <c r="J106" s="122"/>
      <c r="K106" s="433"/>
      <c r="L106" s="442"/>
      <c r="M106" s="455"/>
      <c r="N106" s="451"/>
      <c r="O106" s="452"/>
      <c r="P106" s="453"/>
      <c r="Q106" s="454"/>
      <c r="R106" s="442"/>
      <c r="S106" s="443"/>
      <c r="T106" s="280"/>
    </row>
    <row r="107" spans="10:20" x14ac:dyDescent="0.35">
      <c r="J107" s="122"/>
      <c r="K107" s="433"/>
      <c r="L107" s="442"/>
      <c r="M107" s="455"/>
      <c r="N107" s="451"/>
      <c r="O107" s="452"/>
      <c r="P107" s="453"/>
      <c r="Q107" s="454"/>
      <c r="R107" s="442"/>
      <c r="S107" s="443"/>
      <c r="T107" s="280"/>
    </row>
    <row r="108" spans="10:20" x14ac:dyDescent="0.35">
      <c r="J108" s="122"/>
      <c r="K108" s="433"/>
      <c r="L108" s="442"/>
      <c r="M108" s="455"/>
      <c r="N108" s="451"/>
      <c r="O108" s="452"/>
      <c r="P108" s="453"/>
      <c r="Q108" s="454"/>
      <c r="R108" s="442"/>
      <c r="S108" s="443"/>
      <c r="T108" s="280"/>
    </row>
    <row r="109" spans="10:20" x14ac:dyDescent="0.35">
      <c r="J109" s="122"/>
      <c r="K109" s="433"/>
      <c r="L109" s="442"/>
      <c r="M109" s="455"/>
      <c r="N109" s="451"/>
      <c r="O109" s="452"/>
      <c r="P109" s="453"/>
      <c r="Q109" s="454"/>
      <c r="R109" s="442"/>
      <c r="S109" s="443"/>
      <c r="T109" s="280"/>
    </row>
    <row r="110" spans="10:20" x14ac:dyDescent="0.35">
      <c r="J110" s="122"/>
      <c r="K110" s="433"/>
      <c r="L110" s="442"/>
      <c r="M110" s="455"/>
      <c r="N110" s="451"/>
      <c r="O110" s="452"/>
      <c r="P110" s="453"/>
      <c r="Q110" s="454"/>
      <c r="R110" s="442"/>
      <c r="S110" s="443"/>
      <c r="T110" s="280"/>
    </row>
    <row r="111" spans="10:20" x14ac:dyDescent="0.35">
      <c r="J111" s="122"/>
      <c r="K111" s="433"/>
      <c r="L111" s="442"/>
      <c r="M111" s="455"/>
      <c r="N111" s="451"/>
      <c r="O111" s="452"/>
      <c r="P111" s="453"/>
      <c r="Q111" s="454"/>
      <c r="R111" s="442"/>
      <c r="S111" s="443"/>
      <c r="T111" s="280"/>
    </row>
    <row r="112" spans="10:20" x14ac:dyDescent="0.35">
      <c r="J112" s="122"/>
      <c r="K112" s="433"/>
      <c r="L112" s="442"/>
      <c r="M112" s="455"/>
      <c r="N112" s="451"/>
      <c r="O112" s="452"/>
      <c r="P112" s="453"/>
      <c r="Q112" s="454"/>
      <c r="R112" s="442"/>
      <c r="S112" s="443"/>
      <c r="T112" s="280"/>
    </row>
    <row r="113" spans="10:20" x14ac:dyDescent="0.35">
      <c r="J113" s="122"/>
      <c r="K113" s="433"/>
      <c r="L113" s="442"/>
      <c r="M113" s="455"/>
      <c r="N113" s="451"/>
      <c r="O113" s="452"/>
      <c r="P113" s="453"/>
      <c r="Q113" s="454"/>
      <c r="R113" s="442"/>
      <c r="S113" s="443"/>
      <c r="T113" s="280"/>
    </row>
    <row r="114" spans="10:20" x14ac:dyDescent="0.35">
      <c r="J114" s="122"/>
      <c r="K114" s="433"/>
      <c r="L114" s="442"/>
      <c r="M114" s="455"/>
      <c r="N114" s="451"/>
      <c r="O114" s="452"/>
      <c r="P114" s="453"/>
      <c r="Q114" s="454"/>
      <c r="R114" s="442"/>
      <c r="S114" s="443"/>
      <c r="T114" s="280"/>
    </row>
    <row r="115" spans="10:20" x14ac:dyDescent="0.35">
      <c r="J115" s="122"/>
      <c r="K115" s="433"/>
      <c r="L115" s="442"/>
      <c r="M115" s="455"/>
      <c r="N115" s="451"/>
      <c r="O115" s="452"/>
      <c r="P115" s="453"/>
      <c r="Q115" s="454"/>
      <c r="R115" s="442"/>
      <c r="S115" s="443"/>
      <c r="T115" s="280"/>
    </row>
    <row r="116" spans="10:20" x14ac:dyDescent="0.35">
      <c r="J116" s="122"/>
      <c r="K116" s="433"/>
      <c r="L116" s="442"/>
      <c r="M116" s="455"/>
      <c r="N116" s="451"/>
      <c r="O116" s="452"/>
      <c r="P116" s="453"/>
      <c r="Q116" s="454"/>
      <c r="R116" s="442"/>
      <c r="S116" s="443"/>
      <c r="T116" s="280"/>
    </row>
    <row r="117" spans="10:20" x14ac:dyDescent="0.35">
      <c r="J117" s="122"/>
      <c r="K117" s="433"/>
      <c r="L117" s="442"/>
      <c r="M117" s="455"/>
      <c r="N117" s="451"/>
      <c r="O117" s="452"/>
      <c r="P117" s="453"/>
      <c r="Q117" s="454"/>
      <c r="R117" s="442"/>
      <c r="S117" s="443"/>
      <c r="T117" s="280"/>
    </row>
    <row r="118" spans="10:20" x14ac:dyDescent="0.35">
      <c r="J118" s="122"/>
      <c r="K118" s="433"/>
      <c r="L118" s="442"/>
      <c r="M118" s="455"/>
      <c r="N118" s="451"/>
      <c r="O118" s="452"/>
      <c r="P118" s="453"/>
      <c r="Q118" s="454"/>
      <c r="R118" s="442"/>
      <c r="S118" s="443"/>
      <c r="T118" s="280"/>
    </row>
    <row r="119" spans="10:20" x14ac:dyDescent="0.35">
      <c r="J119" s="122"/>
      <c r="K119" s="433"/>
      <c r="L119" s="442"/>
      <c r="M119" s="455"/>
      <c r="N119" s="451"/>
      <c r="O119" s="452"/>
      <c r="P119" s="453"/>
      <c r="Q119" s="454"/>
      <c r="R119" s="442"/>
      <c r="S119" s="443"/>
      <c r="T119" s="280"/>
    </row>
    <row r="120" spans="10:20" x14ac:dyDescent="0.35">
      <c r="J120" s="122"/>
      <c r="K120" s="433"/>
      <c r="L120" s="442"/>
      <c r="M120" s="455"/>
      <c r="N120" s="451"/>
      <c r="O120" s="452"/>
      <c r="P120" s="453"/>
      <c r="Q120" s="454"/>
      <c r="R120" s="442"/>
      <c r="S120" s="443"/>
      <c r="T120" s="280"/>
    </row>
    <row r="121" spans="10:20" x14ac:dyDescent="0.35">
      <c r="J121" s="122"/>
      <c r="K121" s="433"/>
      <c r="L121" s="442"/>
      <c r="M121" s="455"/>
      <c r="N121" s="451"/>
      <c r="O121" s="452"/>
      <c r="P121" s="453"/>
      <c r="Q121" s="454"/>
      <c r="R121" s="442"/>
      <c r="S121" s="443"/>
      <c r="T121" s="280"/>
    </row>
    <row r="122" spans="10:20" x14ac:dyDescent="0.35">
      <c r="J122" s="122"/>
      <c r="K122" s="433"/>
      <c r="L122" s="442"/>
      <c r="M122" s="455"/>
      <c r="N122" s="451"/>
      <c r="O122" s="452"/>
      <c r="P122" s="453"/>
      <c r="Q122" s="454"/>
      <c r="R122" s="442"/>
      <c r="S122" s="443"/>
      <c r="T122" s="280"/>
    </row>
    <row r="123" spans="10:20" x14ac:dyDescent="0.35">
      <c r="J123" s="122"/>
      <c r="K123" s="433"/>
      <c r="L123" s="442"/>
      <c r="M123" s="455"/>
      <c r="N123" s="451"/>
      <c r="O123" s="452"/>
      <c r="P123" s="453"/>
      <c r="Q123" s="454"/>
      <c r="R123" s="442"/>
      <c r="S123" s="443"/>
      <c r="T123" s="280"/>
    </row>
    <row r="124" spans="10:20" x14ac:dyDescent="0.35">
      <c r="J124" s="122"/>
      <c r="K124" s="433"/>
      <c r="L124" s="442"/>
      <c r="M124" s="455"/>
      <c r="N124" s="451"/>
      <c r="O124" s="452"/>
      <c r="P124" s="453"/>
      <c r="Q124" s="454"/>
      <c r="R124" s="442"/>
      <c r="S124" s="443"/>
      <c r="T124" s="280"/>
    </row>
    <row r="125" spans="10:20" x14ac:dyDescent="0.35">
      <c r="J125" s="122"/>
      <c r="K125" s="433"/>
      <c r="L125" s="442"/>
      <c r="M125" s="455"/>
      <c r="N125" s="451"/>
      <c r="O125" s="452"/>
      <c r="P125" s="453"/>
      <c r="Q125" s="454"/>
      <c r="R125" s="442"/>
      <c r="S125" s="443"/>
      <c r="T125" s="280"/>
    </row>
    <row r="126" spans="10:20" x14ac:dyDescent="0.35">
      <c r="J126" s="122"/>
      <c r="K126" s="433"/>
      <c r="L126" s="442"/>
      <c r="M126" s="455"/>
      <c r="N126" s="451"/>
      <c r="O126" s="452"/>
      <c r="P126" s="453"/>
      <c r="Q126" s="454"/>
      <c r="R126" s="442"/>
      <c r="S126" s="443"/>
      <c r="T126" s="280"/>
    </row>
    <row r="127" spans="10:20" x14ac:dyDescent="0.35">
      <c r="J127" s="106"/>
      <c r="K127" s="433"/>
      <c r="L127" s="442"/>
      <c r="M127" s="455"/>
      <c r="N127" s="451"/>
      <c r="O127" s="452"/>
      <c r="P127" s="453"/>
      <c r="Q127" s="454"/>
      <c r="R127" s="442"/>
      <c r="S127" s="443"/>
      <c r="T127" s="280"/>
    </row>
    <row r="128" spans="10:20" ht="20.25" x14ac:dyDescent="0.3">
      <c r="K128" s="433"/>
      <c r="L128" s="442"/>
      <c r="M128" s="455"/>
      <c r="N128" s="451"/>
      <c r="O128" s="452"/>
      <c r="P128" s="453"/>
      <c r="Q128" s="454"/>
      <c r="R128" s="442"/>
      <c r="S128" s="443"/>
      <c r="T128" s="280"/>
    </row>
    <row r="129" spans="11:20" ht="20.25" x14ac:dyDescent="0.3">
      <c r="K129" s="433"/>
      <c r="L129" s="442"/>
      <c r="M129" s="455"/>
      <c r="N129" s="451"/>
      <c r="O129" s="452"/>
      <c r="P129" s="453"/>
      <c r="Q129" s="454"/>
      <c r="R129" s="442"/>
      <c r="S129" s="443"/>
      <c r="T129" s="280"/>
    </row>
    <row r="130" spans="11:20" ht="20.25" x14ac:dyDescent="0.3">
      <c r="K130" s="433"/>
      <c r="L130" s="442"/>
      <c r="M130" s="455"/>
      <c r="N130" s="451"/>
      <c r="O130" s="452"/>
      <c r="P130" s="453"/>
      <c r="Q130" s="454"/>
      <c r="R130" s="442"/>
      <c r="S130" s="443"/>
      <c r="T130" s="280"/>
    </row>
    <row r="131" spans="11:20" ht="20.25" x14ac:dyDescent="0.3">
      <c r="K131" s="433"/>
      <c r="L131" s="442"/>
      <c r="M131" s="455"/>
      <c r="N131" s="451"/>
      <c r="O131" s="452"/>
      <c r="P131" s="453"/>
      <c r="Q131" s="454"/>
      <c r="R131" s="442"/>
      <c r="S131" s="443"/>
      <c r="T131" s="280"/>
    </row>
    <row r="132" spans="11:20" ht="20.25" x14ac:dyDescent="0.3">
      <c r="K132" s="433"/>
      <c r="L132" s="442"/>
      <c r="M132" s="455"/>
      <c r="N132" s="451"/>
      <c r="O132" s="452"/>
      <c r="P132" s="453"/>
      <c r="Q132" s="454"/>
      <c r="R132" s="442"/>
      <c r="S132" s="443"/>
      <c r="T132" s="280"/>
    </row>
    <row r="133" spans="11:20" ht="20.25" x14ac:dyDescent="0.3">
      <c r="K133" s="433"/>
      <c r="L133" s="442"/>
      <c r="M133" s="455"/>
      <c r="N133" s="451"/>
      <c r="O133" s="452"/>
      <c r="P133" s="453"/>
      <c r="Q133" s="454"/>
      <c r="R133" s="442"/>
      <c r="S133" s="443"/>
      <c r="T133" s="280"/>
    </row>
    <row r="134" spans="11:20" ht="20.25" x14ac:dyDescent="0.3">
      <c r="K134" s="433"/>
      <c r="L134" s="442"/>
      <c r="M134" s="455"/>
      <c r="N134" s="451"/>
      <c r="O134" s="452"/>
      <c r="P134" s="453"/>
      <c r="Q134" s="454"/>
      <c r="R134" s="442"/>
      <c r="S134" s="443"/>
      <c r="T134" s="280"/>
    </row>
    <row r="135" spans="11:20" ht="20.25" x14ac:dyDescent="0.3">
      <c r="K135" s="433"/>
      <c r="L135" s="442"/>
      <c r="M135" s="455"/>
      <c r="N135" s="451"/>
      <c r="O135" s="452"/>
      <c r="P135" s="453"/>
      <c r="Q135" s="454"/>
      <c r="R135" s="442"/>
      <c r="S135" s="443"/>
      <c r="T135" s="280"/>
    </row>
    <row r="136" spans="11:20" ht="20.25" x14ac:dyDescent="0.3">
      <c r="K136" s="433"/>
      <c r="L136" s="442"/>
      <c r="M136" s="455"/>
      <c r="N136" s="451"/>
      <c r="O136" s="452"/>
      <c r="P136" s="453"/>
      <c r="Q136" s="454"/>
      <c r="R136" s="442"/>
      <c r="S136" s="443"/>
      <c r="T136" s="280"/>
    </row>
    <row r="137" spans="11:20" ht="20.25" x14ac:dyDescent="0.3">
      <c r="K137" s="433"/>
      <c r="L137" s="442"/>
      <c r="M137" s="455"/>
      <c r="N137" s="451"/>
      <c r="O137" s="452"/>
      <c r="P137" s="453"/>
      <c r="Q137" s="454"/>
      <c r="R137" s="442"/>
      <c r="S137" s="443"/>
      <c r="T137" s="280"/>
    </row>
    <row r="138" spans="11:20" ht="20.25" x14ac:dyDescent="0.3">
      <c r="K138" s="433"/>
      <c r="L138" s="442"/>
      <c r="M138" s="455"/>
      <c r="N138" s="451"/>
      <c r="O138" s="452"/>
      <c r="P138" s="453"/>
      <c r="Q138" s="454"/>
      <c r="R138" s="442"/>
      <c r="S138" s="443"/>
      <c r="T138" s="280"/>
    </row>
    <row r="139" spans="11:20" ht="20.25" x14ac:dyDescent="0.3">
      <c r="K139" s="433"/>
      <c r="L139" s="442"/>
      <c r="M139" s="455"/>
      <c r="N139" s="451"/>
      <c r="O139" s="452"/>
      <c r="P139" s="453"/>
      <c r="Q139" s="454"/>
      <c r="R139" s="442"/>
      <c r="S139" s="443"/>
      <c r="T139" s="280"/>
    </row>
    <row r="140" spans="11:20" ht="20.25" x14ac:dyDescent="0.3">
      <c r="K140" s="433"/>
      <c r="L140" s="442"/>
      <c r="M140" s="455"/>
      <c r="N140" s="451"/>
      <c r="O140" s="452"/>
      <c r="P140" s="453"/>
      <c r="Q140" s="454"/>
      <c r="R140" s="442"/>
      <c r="S140" s="443"/>
      <c r="T140" s="280"/>
    </row>
    <row r="141" spans="11:20" ht="20.25" x14ac:dyDescent="0.3">
      <c r="K141" s="433"/>
      <c r="L141" s="442"/>
      <c r="M141" s="455"/>
      <c r="N141" s="451"/>
      <c r="O141" s="452"/>
      <c r="P141" s="453"/>
      <c r="Q141" s="454"/>
      <c r="R141" s="442"/>
      <c r="S141" s="443"/>
      <c r="T141" s="280"/>
    </row>
    <row r="142" spans="11:20" ht="20.25" x14ac:dyDescent="0.3">
      <c r="K142" s="433"/>
      <c r="L142" s="442"/>
      <c r="M142" s="455"/>
      <c r="N142" s="451"/>
      <c r="O142" s="452"/>
      <c r="P142" s="453"/>
      <c r="Q142" s="454"/>
      <c r="R142" s="442"/>
      <c r="S142" s="443"/>
      <c r="T142" s="280"/>
    </row>
    <row r="143" spans="11:20" ht="20.25" x14ac:dyDescent="0.3">
      <c r="K143" s="433"/>
      <c r="L143" s="442"/>
      <c r="M143" s="455"/>
      <c r="N143" s="451"/>
      <c r="O143" s="452"/>
      <c r="P143" s="453"/>
      <c r="Q143" s="454"/>
      <c r="R143" s="442"/>
      <c r="S143" s="443"/>
      <c r="T143" s="280"/>
    </row>
    <row r="144" spans="11:20" ht="20.25" x14ac:dyDescent="0.3">
      <c r="K144" s="433"/>
      <c r="L144" s="442"/>
      <c r="M144" s="455"/>
      <c r="N144" s="451"/>
      <c r="O144" s="452"/>
      <c r="P144" s="453"/>
      <c r="Q144" s="454"/>
      <c r="R144" s="442"/>
      <c r="S144" s="443"/>
      <c r="T144" s="280"/>
    </row>
    <row r="145" spans="11:20" ht="20.25" x14ac:dyDescent="0.3">
      <c r="K145" s="433"/>
      <c r="L145" s="442"/>
      <c r="M145" s="455"/>
      <c r="N145" s="451"/>
      <c r="O145" s="452"/>
      <c r="P145" s="453"/>
      <c r="Q145" s="454"/>
      <c r="R145" s="442"/>
      <c r="S145" s="443"/>
      <c r="T145" s="280"/>
    </row>
    <row r="146" spans="11:20" ht="20.25" x14ac:dyDescent="0.3">
      <c r="K146" s="433"/>
      <c r="L146" s="442"/>
      <c r="M146" s="455"/>
      <c r="N146" s="451"/>
      <c r="O146" s="452"/>
      <c r="P146" s="453"/>
      <c r="Q146" s="454"/>
      <c r="R146" s="442"/>
      <c r="S146" s="443"/>
      <c r="T146" s="280"/>
    </row>
    <row r="147" spans="11:20" ht="20.25" x14ac:dyDescent="0.3">
      <c r="K147" s="433"/>
      <c r="L147" s="442"/>
      <c r="M147" s="455"/>
      <c r="N147" s="451"/>
      <c r="O147" s="452"/>
      <c r="P147" s="453"/>
      <c r="Q147" s="454"/>
      <c r="R147" s="442"/>
      <c r="S147" s="443"/>
      <c r="T147" s="280"/>
    </row>
    <row r="148" spans="11:20" ht="20.25" x14ac:dyDescent="0.3">
      <c r="K148" s="433"/>
      <c r="L148" s="442"/>
      <c r="M148" s="455"/>
      <c r="N148" s="451"/>
      <c r="O148" s="452"/>
      <c r="P148" s="453"/>
      <c r="Q148" s="454"/>
      <c r="R148" s="442"/>
      <c r="S148" s="443"/>
      <c r="T148" s="280"/>
    </row>
    <row r="149" spans="11:20" ht="20.25" x14ac:dyDescent="0.3">
      <c r="K149" s="433"/>
      <c r="L149" s="442"/>
      <c r="M149" s="455"/>
      <c r="N149" s="451"/>
      <c r="O149" s="452"/>
      <c r="P149" s="453"/>
      <c r="Q149" s="454"/>
      <c r="R149" s="442"/>
      <c r="S149" s="443"/>
      <c r="T149" s="280"/>
    </row>
    <row r="150" spans="11:20" ht="20.25" x14ac:dyDescent="0.3">
      <c r="K150" s="433"/>
      <c r="L150" s="442"/>
      <c r="M150" s="455"/>
      <c r="N150" s="451"/>
      <c r="O150" s="452"/>
      <c r="P150" s="453"/>
      <c r="Q150" s="454"/>
      <c r="R150" s="442"/>
      <c r="S150" s="443"/>
      <c r="T150" s="280"/>
    </row>
    <row r="151" spans="11:20" ht="20.25" x14ac:dyDescent="0.3">
      <c r="K151" s="433"/>
      <c r="L151" s="442"/>
      <c r="M151" s="455"/>
      <c r="N151" s="451"/>
      <c r="O151" s="452"/>
      <c r="P151" s="453"/>
      <c r="Q151" s="454"/>
      <c r="R151" s="442"/>
      <c r="S151" s="443"/>
      <c r="T151" s="280"/>
    </row>
    <row r="152" spans="11:20" ht="20.25" x14ac:dyDescent="0.3">
      <c r="K152" s="433"/>
      <c r="L152" s="442"/>
      <c r="M152" s="455"/>
      <c r="N152" s="451"/>
      <c r="O152" s="452"/>
      <c r="P152" s="453"/>
      <c r="Q152" s="454"/>
      <c r="R152" s="442"/>
      <c r="S152" s="443"/>
      <c r="T152" s="280"/>
    </row>
    <row r="153" spans="11:20" ht="20.25" x14ac:dyDescent="0.3">
      <c r="K153" s="433"/>
      <c r="L153" s="442"/>
      <c r="M153" s="455"/>
      <c r="N153" s="451"/>
      <c r="O153" s="452"/>
      <c r="P153" s="453"/>
      <c r="Q153" s="454"/>
      <c r="R153" s="442"/>
      <c r="S153" s="443"/>
      <c r="T153" s="280"/>
    </row>
    <row r="154" spans="11:20" ht="20.25" x14ac:dyDescent="0.3">
      <c r="K154" s="433"/>
      <c r="L154" s="442"/>
      <c r="M154" s="455"/>
      <c r="N154" s="451"/>
      <c r="O154" s="452"/>
      <c r="P154" s="453"/>
      <c r="Q154" s="454"/>
      <c r="R154" s="442"/>
      <c r="S154" s="443"/>
      <c r="T154" s="280"/>
    </row>
    <row r="155" spans="11:20" ht="20.25" x14ac:dyDescent="0.3">
      <c r="K155" s="433"/>
      <c r="L155" s="442"/>
      <c r="M155" s="455"/>
      <c r="N155" s="451"/>
      <c r="O155" s="452"/>
      <c r="P155" s="453"/>
      <c r="Q155" s="454"/>
      <c r="R155" s="442"/>
      <c r="S155" s="443"/>
      <c r="T155" s="280"/>
    </row>
    <row r="156" spans="11:20" ht="20.25" x14ac:dyDescent="0.3">
      <c r="K156" s="433"/>
      <c r="L156" s="442"/>
      <c r="M156" s="455"/>
      <c r="N156" s="451"/>
      <c r="O156" s="452"/>
      <c r="P156" s="453"/>
      <c r="Q156" s="454"/>
      <c r="R156" s="442"/>
      <c r="S156" s="443"/>
      <c r="T156" s="280"/>
    </row>
    <row r="157" spans="11:20" ht="20.25" x14ac:dyDescent="0.3">
      <c r="K157" s="433"/>
      <c r="L157" s="442"/>
      <c r="M157" s="455"/>
      <c r="N157" s="451"/>
      <c r="O157" s="452"/>
      <c r="P157" s="453"/>
      <c r="Q157" s="454"/>
      <c r="R157" s="442"/>
      <c r="S157" s="443"/>
      <c r="T157" s="280"/>
    </row>
    <row r="158" spans="11:20" ht="20.25" x14ac:dyDescent="0.3">
      <c r="K158" s="433"/>
      <c r="L158" s="442"/>
      <c r="M158" s="455"/>
      <c r="N158" s="451"/>
      <c r="O158" s="452"/>
      <c r="P158" s="453"/>
      <c r="Q158" s="454"/>
      <c r="R158" s="442"/>
      <c r="S158" s="443"/>
      <c r="T158" s="280"/>
    </row>
    <row r="159" spans="11:20" ht="20.25" x14ac:dyDescent="0.3">
      <c r="K159" s="433"/>
      <c r="L159" s="442"/>
      <c r="M159" s="455"/>
      <c r="N159" s="451"/>
      <c r="O159" s="452"/>
      <c r="P159" s="453"/>
      <c r="Q159" s="454"/>
      <c r="R159" s="442"/>
      <c r="S159" s="443"/>
      <c r="T159" s="280"/>
    </row>
    <row r="160" spans="11:20" ht="20.25" x14ac:dyDescent="0.3">
      <c r="K160" s="433"/>
      <c r="L160" s="442"/>
      <c r="M160" s="455"/>
      <c r="N160" s="451"/>
      <c r="O160" s="452"/>
      <c r="P160" s="453"/>
      <c r="Q160" s="454"/>
      <c r="R160" s="442"/>
      <c r="S160" s="443"/>
      <c r="T160" s="280"/>
    </row>
    <row r="161" spans="11:20" ht="20.25" x14ac:dyDescent="0.3">
      <c r="K161" s="433"/>
      <c r="L161" s="442"/>
      <c r="M161" s="455"/>
      <c r="N161" s="451"/>
      <c r="O161" s="452"/>
      <c r="P161" s="453"/>
      <c r="Q161" s="454"/>
      <c r="R161" s="442"/>
      <c r="S161" s="443"/>
      <c r="T161" s="280"/>
    </row>
    <row r="162" spans="11:20" ht="20.25" x14ac:dyDescent="0.3">
      <c r="K162" s="433"/>
      <c r="L162" s="442"/>
      <c r="M162" s="455"/>
      <c r="N162" s="451"/>
      <c r="O162" s="452"/>
      <c r="P162" s="453"/>
      <c r="Q162" s="454"/>
      <c r="R162" s="442"/>
      <c r="S162" s="443"/>
      <c r="T162" s="280"/>
    </row>
    <row r="163" spans="11:20" ht="20.25" x14ac:dyDescent="0.3">
      <c r="K163" s="433"/>
      <c r="L163" s="442"/>
      <c r="M163" s="455"/>
      <c r="N163" s="451"/>
      <c r="O163" s="452"/>
      <c r="P163" s="453"/>
      <c r="Q163" s="454"/>
      <c r="R163" s="442"/>
      <c r="S163" s="443"/>
      <c r="T163" s="280"/>
    </row>
    <row r="164" spans="11:20" ht="20.25" x14ac:dyDescent="0.3">
      <c r="K164" s="433"/>
      <c r="L164" s="442"/>
      <c r="M164" s="455"/>
      <c r="N164" s="451"/>
      <c r="O164" s="452"/>
      <c r="P164" s="453"/>
      <c r="Q164" s="454"/>
      <c r="R164" s="442"/>
      <c r="S164" s="443"/>
      <c r="T164" s="280"/>
    </row>
    <row r="165" spans="11:20" ht="20.25" x14ac:dyDescent="0.3">
      <c r="K165" s="433"/>
      <c r="L165" s="442"/>
      <c r="M165" s="455"/>
      <c r="N165" s="451"/>
      <c r="O165" s="452"/>
      <c r="P165" s="453"/>
      <c r="Q165" s="454"/>
      <c r="R165" s="442"/>
      <c r="S165" s="443"/>
      <c r="T165" s="280"/>
    </row>
    <row r="166" spans="11:20" ht="20.25" x14ac:dyDescent="0.3">
      <c r="K166" s="433"/>
      <c r="L166" s="442"/>
      <c r="M166" s="455"/>
      <c r="N166" s="451"/>
      <c r="O166" s="452"/>
      <c r="P166" s="453"/>
      <c r="Q166" s="454"/>
      <c r="R166" s="442"/>
      <c r="S166" s="443"/>
      <c r="T166" s="280"/>
    </row>
    <row r="167" spans="11:20" ht="20.25" x14ac:dyDescent="0.3">
      <c r="K167" s="433"/>
      <c r="L167" s="442"/>
      <c r="M167" s="455"/>
      <c r="N167" s="451"/>
      <c r="O167" s="452"/>
      <c r="P167" s="453"/>
      <c r="Q167" s="454"/>
      <c r="R167" s="442"/>
      <c r="S167" s="443"/>
      <c r="T167" s="280"/>
    </row>
    <row r="168" spans="11:20" ht="20.25" x14ac:dyDescent="0.3">
      <c r="K168" s="433"/>
      <c r="L168" s="442"/>
      <c r="M168" s="455"/>
      <c r="N168" s="451"/>
      <c r="O168" s="452"/>
      <c r="P168" s="453"/>
      <c r="Q168" s="454"/>
      <c r="R168" s="442"/>
      <c r="S168" s="443"/>
      <c r="T168" s="280"/>
    </row>
    <row r="169" spans="11:20" ht="20.25" x14ac:dyDescent="0.3">
      <c r="K169" s="433"/>
      <c r="L169" s="442"/>
      <c r="M169" s="455"/>
      <c r="N169" s="451"/>
      <c r="O169" s="452"/>
      <c r="P169" s="453"/>
      <c r="Q169" s="454"/>
      <c r="R169" s="442"/>
      <c r="S169" s="443"/>
      <c r="T169" s="280"/>
    </row>
    <row r="170" spans="11:20" ht="20.25" x14ac:dyDescent="0.3">
      <c r="K170" s="433"/>
      <c r="L170" s="442"/>
      <c r="M170" s="455"/>
      <c r="N170" s="451"/>
      <c r="O170" s="452"/>
      <c r="P170" s="453"/>
      <c r="Q170" s="454"/>
      <c r="R170" s="442"/>
      <c r="S170" s="443"/>
      <c r="T170" s="280"/>
    </row>
    <row r="171" spans="11:20" ht="20.25" x14ac:dyDescent="0.3">
      <c r="K171" s="433"/>
      <c r="L171" s="442"/>
      <c r="M171" s="455"/>
      <c r="N171" s="451"/>
      <c r="O171" s="452"/>
      <c r="P171" s="453"/>
      <c r="Q171" s="454"/>
      <c r="R171" s="442"/>
      <c r="S171" s="443"/>
      <c r="T171" s="280"/>
    </row>
    <row r="172" spans="11:20" ht="20.25" x14ac:dyDescent="0.3">
      <c r="K172" s="433"/>
      <c r="L172" s="442"/>
      <c r="M172" s="455"/>
      <c r="N172" s="451"/>
      <c r="O172" s="452"/>
      <c r="P172" s="453"/>
      <c r="Q172" s="454"/>
      <c r="R172" s="442"/>
      <c r="S172" s="443"/>
      <c r="T172" s="280"/>
    </row>
    <row r="173" spans="11:20" ht="20.25" x14ac:dyDescent="0.3">
      <c r="K173" s="433"/>
      <c r="L173" s="442"/>
      <c r="M173" s="455"/>
      <c r="N173" s="451"/>
      <c r="O173" s="452"/>
      <c r="P173" s="453"/>
      <c r="Q173" s="454"/>
      <c r="R173" s="442"/>
      <c r="S173" s="443"/>
      <c r="T173" s="280"/>
    </row>
    <row r="174" spans="11:20" ht="20.25" x14ac:dyDescent="0.3">
      <c r="K174" s="433"/>
      <c r="L174" s="442"/>
      <c r="M174" s="455"/>
      <c r="N174" s="451"/>
      <c r="O174" s="452"/>
      <c r="P174" s="453"/>
      <c r="Q174" s="454"/>
      <c r="R174" s="442"/>
      <c r="S174" s="443"/>
      <c r="T174" s="280"/>
    </row>
    <row r="175" spans="11:20" ht="20.25" x14ac:dyDescent="0.3">
      <c r="K175" s="433"/>
      <c r="L175" s="442"/>
      <c r="M175" s="455"/>
      <c r="N175" s="451"/>
      <c r="O175" s="452"/>
      <c r="P175" s="453"/>
      <c r="Q175" s="454"/>
      <c r="R175" s="442"/>
      <c r="S175" s="443"/>
      <c r="T175" s="280"/>
    </row>
    <row r="176" spans="11:20" ht="20.25" x14ac:dyDescent="0.3">
      <c r="K176" s="433"/>
      <c r="L176" s="442"/>
      <c r="M176" s="455"/>
      <c r="N176" s="451"/>
      <c r="O176" s="452"/>
      <c r="P176" s="453"/>
      <c r="Q176" s="454"/>
      <c r="R176" s="442"/>
      <c r="S176" s="443"/>
      <c r="T176" s="280"/>
    </row>
    <row r="177" spans="11:20" ht="20.25" x14ac:dyDescent="0.3">
      <c r="K177" s="433"/>
      <c r="L177" s="442"/>
      <c r="M177" s="455"/>
      <c r="N177" s="451"/>
      <c r="O177" s="452"/>
      <c r="P177" s="453"/>
      <c r="Q177" s="454"/>
      <c r="R177" s="442"/>
      <c r="S177" s="443"/>
      <c r="T177" s="280"/>
    </row>
    <row r="178" spans="11:20" ht="20.25" x14ac:dyDescent="0.3">
      <c r="K178" s="433"/>
      <c r="L178" s="442"/>
      <c r="M178" s="455"/>
      <c r="N178" s="451"/>
      <c r="O178" s="452"/>
      <c r="P178" s="453"/>
      <c r="Q178" s="454"/>
      <c r="R178" s="442"/>
      <c r="S178" s="443"/>
      <c r="T178" s="280"/>
    </row>
    <row r="179" spans="11:20" ht="20.25" x14ac:dyDescent="0.3">
      <c r="K179" s="433"/>
      <c r="L179" s="442"/>
      <c r="M179" s="455"/>
      <c r="N179" s="451"/>
      <c r="O179" s="452"/>
      <c r="P179" s="453"/>
      <c r="Q179" s="454"/>
      <c r="R179" s="442"/>
      <c r="S179" s="443"/>
      <c r="T179" s="280"/>
    </row>
    <row r="180" spans="11:20" ht="20.25" x14ac:dyDescent="0.3">
      <c r="K180" s="433"/>
      <c r="L180" s="442"/>
      <c r="M180" s="455"/>
      <c r="N180" s="451"/>
      <c r="O180" s="452"/>
      <c r="P180" s="453"/>
      <c r="Q180" s="454"/>
      <c r="R180" s="442"/>
      <c r="S180" s="443"/>
      <c r="T180" s="280"/>
    </row>
    <row r="181" spans="11:20" ht="20.25" x14ac:dyDescent="0.3">
      <c r="K181" s="433"/>
      <c r="L181" s="442"/>
      <c r="M181" s="455"/>
      <c r="N181" s="451"/>
      <c r="O181" s="452"/>
      <c r="P181" s="453"/>
      <c r="Q181" s="454"/>
      <c r="R181" s="442"/>
      <c r="S181" s="443"/>
      <c r="T181" s="280"/>
    </row>
    <row r="182" spans="11:20" ht="20.25" x14ac:dyDescent="0.3">
      <c r="K182" s="433"/>
      <c r="L182" s="442"/>
      <c r="M182" s="455"/>
      <c r="N182" s="451"/>
      <c r="O182" s="452"/>
      <c r="P182" s="453"/>
      <c r="Q182" s="454"/>
      <c r="R182" s="442"/>
      <c r="S182" s="443"/>
      <c r="T182" s="280"/>
    </row>
    <row r="183" spans="11:20" ht="20.25" x14ac:dyDescent="0.3">
      <c r="K183" s="433"/>
      <c r="L183" s="442"/>
      <c r="M183" s="455"/>
      <c r="N183" s="451"/>
      <c r="O183" s="452"/>
      <c r="P183" s="453"/>
      <c r="Q183" s="454"/>
      <c r="R183" s="442"/>
      <c r="S183" s="443"/>
      <c r="T183" s="280"/>
    </row>
    <row r="184" spans="11:20" ht="20.25" x14ac:dyDescent="0.3">
      <c r="K184" s="433"/>
      <c r="L184" s="442"/>
      <c r="M184" s="455"/>
      <c r="N184" s="451"/>
      <c r="O184" s="452"/>
      <c r="P184" s="453"/>
      <c r="Q184" s="454"/>
      <c r="R184" s="442"/>
      <c r="S184" s="443"/>
      <c r="T184" s="280"/>
    </row>
    <row r="185" spans="11:20" ht="20.25" x14ac:dyDescent="0.3">
      <c r="K185" s="433"/>
      <c r="L185" s="442"/>
      <c r="M185" s="455"/>
      <c r="N185" s="451"/>
      <c r="O185" s="452"/>
      <c r="P185" s="453"/>
      <c r="Q185" s="454"/>
      <c r="R185" s="442"/>
      <c r="S185" s="443"/>
      <c r="T185" s="280"/>
    </row>
    <row r="186" spans="11:20" ht="20.25" x14ac:dyDescent="0.3">
      <c r="K186" s="433"/>
      <c r="L186" s="442"/>
      <c r="M186" s="455"/>
      <c r="N186" s="451"/>
      <c r="O186" s="452"/>
      <c r="P186" s="453"/>
      <c r="Q186" s="454"/>
      <c r="R186" s="442"/>
      <c r="S186" s="443"/>
      <c r="T186" s="280"/>
    </row>
    <row r="187" spans="11:20" ht="20.25" x14ac:dyDescent="0.3">
      <c r="K187" s="433"/>
      <c r="L187" s="442"/>
      <c r="M187" s="455"/>
      <c r="N187" s="451"/>
      <c r="O187" s="452"/>
      <c r="P187" s="453"/>
      <c r="Q187" s="454"/>
      <c r="R187" s="442"/>
      <c r="S187" s="443"/>
      <c r="T187" s="280"/>
    </row>
    <row r="188" spans="11:20" ht="20.25" x14ac:dyDescent="0.3">
      <c r="K188" s="433"/>
      <c r="L188" s="442"/>
      <c r="M188" s="455"/>
      <c r="N188" s="451"/>
      <c r="O188" s="452"/>
      <c r="P188" s="453"/>
      <c r="Q188" s="454"/>
      <c r="R188" s="442"/>
      <c r="S188" s="443"/>
      <c r="T188" s="280"/>
    </row>
    <row r="189" spans="11:20" ht="20.25" x14ac:dyDescent="0.3">
      <c r="K189" s="433"/>
      <c r="L189" s="442"/>
      <c r="M189" s="455"/>
      <c r="N189" s="451"/>
      <c r="O189" s="452"/>
      <c r="P189" s="453"/>
      <c r="Q189" s="454"/>
      <c r="R189" s="442"/>
      <c r="S189" s="443"/>
      <c r="T189" s="280"/>
    </row>
    <row r="190" spans="11:20" ht="20.25" x14ac:dyDescent="0.3">
      <c r="K190" s="433"/>
      <c r="L190" s="442"/>
      <c r="M190" s="455"/>
      <c r="N190" s="451"/>
      <c r="O190" s="452"/>
      <c r="P190" s="453"/>
      <c r="Q190" s="454"/>
      <c r="R190" s="442"/>
      <c r="S190" s="443"/>
      <c r="T190" s="280"/>
    </row>
    <row r="191" spans="11:20" ht="20.25" x14ac:dyDescent="0.3">
      <c r="K191" s="433"/>
      <c r="L191" s="442"/>
      <c r="M191" s="455"/>
      <c r="N191" s="451"/>
      <c r="O191" s="452"/>
      <c r="P191" s="453"/>
      <c r="Q191" s="454"/>
      <c r="R191" s="442"/>
      <c r="S191" s="443"/>
      <c r="T191" s="280"/>
    </row>
    <row r="192" spans="11:20" ht="20.25" x14ac:dyDescent="0.3">
      <c r="K192" s="433"/>
      <c r="L192" s="442"/>
      <c r="M192" s="455"/>
      <c r="N192" s="451"/>
      <c r="O192" s="452"/>
      <c r="P192" s="453"/>
      <c r="Q192" s="454"/>
      <c r="R192" s="442"/>
      <c r="S192" s="443"/>
      <c r="T192" s="280"/>
    </row>
    <row r="193" spans="1:20" ht="20.25" x14ac:dyDescent="0.3">
      <c r="K193" s="433"/>
      <c r="L193" s="442"/>
      <c r="M193" s="455"/>
      <c r="N193" s="451"/>
      <c r="O193" s="452"/>
      <c r="P193" s="453"/>
      <c r="Q193" s="454"/>
      <c r="R193" s="442"/>
      <c r="S193" s="443"/>
      <c r="T193" s="280"/>
    </row>
    <row r="194" spans="1:20" ht="20.25" x14ac:dyDescent="0.3">
      <c r="K194" s="433"/>
      <c r="L194" s="442"/>
      <c r="M194" s="455"/>
      <c r="N194" s="451"/>
      <c r="O194" s="452"/>
      <c r="P194" s="453"/>
      <c r="Q194" s="454"/>
      <c r="R194" s="442"/>
      <c r="S194" s="443"/>
      <c r="T194" s="280"/>
    </row>
    <row r="195" spans="1:20" ht="20.25" x14ac:dyDescent="0.3">
      <c r="K195" s="433"/>
      <c r="L195" s="442"/>
      <c r="M195" s="455"/>
      <c r="N195" s="451"/>
      <c r="O195" s="452"/>
      <c r="P195" s="453"/>
      <c r="Q195" s="454"/>
      <c r="R195" s="442"/>
      <c r="S195" s="443"/>
      <c r="T195" s="280"/>
    </row>
    <row r="196" spans="1:20" ht="20.25" x14ac:dyDescent="0.3">
      <c r="K196" s="433"/>
      <c r="L196" s="442"/>
      <c r="M196" s="455"/>
      <c r="N196" s="451"/>
      <c r="O196" s="452"/>
      <c r="P196" s="453"/>
      <c r="Q196" s="454"/>
      <c r="R196" s="442"/>
      <c r="S196" s="443"/>
      <c r="T196" s="280"/>
    </row>
    <row r="197" spans="1:20" ht="20.25" x14ac:dyDescent="0.3">
      <c r="K197" s="433"/>
      <c r="L197" s="442"/>
      <c r="M197" s="455"/>
      <c r="N197" s="451"/>
      <c r="O197" s="452"/>
      <c r="P197" s="453"/>
      <c r="Q197" s="454"/>
      <c r="R197" s="442"/>
      <c r="S197" s="443"/>
      <c r="T197" s="280"/>
    </row>
    <row r="198" spans="1:20" ht="20.25" x14ac:dyDescent="0.3">
      <c r="K198" s="433"/>
      <c r="L198" s="442"/>
      <c r="M198" s="455"/>
      <c r="N198" s="451"/>
      <c r="O198" s="452"/>
      <c r="P198" s="453"/>
      <c r="Q198" s="454"/>
      <c r="R198" s="442"/>
      <c r="S198" s="443"/>
      <c r="T198" s="280"/>
    </row>
    <row r="199" spans="1:20" ht="20.25" x14ac:dyDescent="0.3">
      <c r="A199" s="290"/>
      <c r="K199" s="433"/>
      <c r="L199" s="442"/>
      <c r="M199" s="455"/>
      <c r="N199" s="451"/>
      <c r="O199" s="452"/>
      <c r="P199" s="453"/>
      <c r="Q199" s="454"/>
      <c r="R199" s="442"/>
      <c r="S199" s="443"/>
      <c r="T199" s="280"/>
    </row>
    <row r="200" spans="1:20" ht="20.25" x14ac:dyDescent="0.3">
      <c r="A200" s="290"/>
      <c r="K200" s="433"/>
      <c r="L200" s="442"/>
      <c r="M200" s="455"/>
      <c r="N200" s="451"/>
      <c r="O200" s="452"/>
      <c r="P200" s="453"/>
      <c r="Q200" s="454"/>
      <c r="R200" s="442"/>
      <c r="S200" s="443"/>
      <c r="T200" s="280"/>
    </row>
    <row r="201" spans="1:20" ht="20.25" x14ac:dyDescent="0.3">
      <c r="A201" s="290"/>
      <c r="K201" s="433"/>
      <c r="L201" s="442"/>
      <c r="M201" s="455"/>
      <c r="N201" s="451"/>
      <c r="O201" s="452"/>
      <c r="P201" s="453"/>
      <c r="Q201" s="454"/>
      <c r="R201" s="442"/>
      <c r="S201" s="443"/>
      <c r="T201" s="280"/>
    </row>
    <row r="202" spans="1:20" ht="20.25" x14ac:dyDescent="0.3">
      <c r="A202" s="290"/>
      <c r="K202" s="433"/>
      <c r="L202" s="442"/>
      <c r="M202" s="455"/>
      <c r="N202" s="451"/>
      <c r="O202" s="452"/>
      <c r="P202" s="453"/>
      <c r="Q202" s="454"/>
      <c r="R202" s="442"/>
      <c r="S202" s="443"/>
      <c r="T202" s="280"/>
    </row>
    <row r="203" spans="1:20" ht="20.25" x14ac:dyDescent="0.3">
      <c r="A203" s="290"/>
      <c r="K203" s="433"/>
      <c r="L203" s="442"/>
      <c r="M203" s="455"/>
      <c r="N203" s="451"/>
      <c r="O203" s="452"/>
      <c r="P203" s="453"/>
      <c r="Q203" s="454"/>
      <c r="R203" s="442"/>
      <c r="S203" s="443"/>
      <c r="T203" s="280"/>
    </row>
    <row r="204" spans="1:20" ht="20.25" x14ac:dyDescent="0.3">
      <c r="A204" s="290"/>
      <c r="K204" s="433"/>
      <c r="L204" s="442"/>
      <c r="M204" s="455"/>
      <c r="N204" s="451"/>
      <c r="O204" s="452"/>
      <c r="P204" s="453"/>
      <c r="Q204" s="454"/>
      <c r="R204" s="442"/>
      <c r="S204" s="443"/>
      <c r="T204" s="280"/>
    </row>
    <row r="205" spans="1:20" ht="20.25" x14ac:dyDescent="0.3">
      <c r="A205" s="290"/>
      <c r="K205" s="433"/>
      <c r="L205" s="442"/>
      <c r="M205" s="455"/>
      <c r="N205" s="451"/>
      <c r="O205" s="452"/>
      <c r="P205" s="453"/>
      <c r="Q205" s="454"/>
      <c r="R205" s="442"/>
      <c r="S205" s="443"/>
      <c r="T205" s="280"/>
    </row>
    <row r="206" spans="1:20" ht="20.25" x14ac:dyDescent="0.3">
      <c r="A206" s="290"/>
      <c r="K206" s="433"/>
      <c r="L206" s="442"/>
      <c r="M206" s="455"/>
      <c r="N206" s="451"/>
      <c r="O206" s="452"/>
      <c r="P206" s="453"/>
      <c r="Q206" s="454"/>
      <c r="R206" s="442"/>
      <c r="S206" s="443"/>
      <c r="T206" s="280"/>
    </row>
    <row r="207" spans="1:20" ht="20.25" x14ac:dyDescent="0.3">
      <c r="A207" s="290"/>
      <c r="K207" s="433"/>
      <c r="L207" s="442"/>
      <c r="M207" s="455"/>
      <c r="N207" s="451"/>
      <c r="O207" s="452"/>
      <c r="P207" s="453"/>
      <c r="Q207" s="454"/>
      <c r="R207" s="442"/>
      <c r="S207" s="443"/>
      <c r="T207" s="280"/>
    </row>
    <row r="208" spans="1:20" ht="20.25" x14ac:dyDescent="0.3">
      <c r="A208" s="290"/>
      <c r="B208" s="101"/>
      <c r="K208" s="433"/>
      <c r="L208" s="442"/>
      <c r="M208" s="455"/>
      <c r="N208" s="451"/>
      <c r="O208" s="452"/>
      <c r="P208" s="453"/>
      <c r="Q208" s="454"/>
      <c r="R208" s="442"/>
      <c r="S208" s="443"/>
      <c r="T208" s="280"/>
    </row>
    <row r="209" spans="1:20" ht="20.25" x14ac:dyDescent="0.3">
      <c r="A209" s="290"/>
      <c r="B209" s="101"/>
      <c r="K209" s="433"/>
      <c r="L209" s="442"/>
      <c r="M209" s="455"/>
      <c r="N209" s="451"/>
      <c r="O209" s="452"/>
      <c r="P209" s="453"/>
      <c r="Q209" s="454"/>
      <c r="R209" s="442"/>
      <c r="S209" s="443"/>
      <c r="T209" s="280"/>
    </row>
    <row r="210" spans="1:20" ht="20.25" x14ac:dyDescent="0.3">
      <c r="A210" s="290"/>
      <c r="B210" s="101"/>
      <c r="K210" s="433"/>
      <c r="L210" s="442"/>
      <c r="M210" s="455"/>
      <c r="N210" s="451"/>
      <c r="O210" s="452"/>
      <c r="P210" s="453"/>
      <c r="Q210" s="454"/>
      <c r="R210" s="442"/>
      <c r="S210" s="443"/>
      <c r="T210" s="280"/>
    </row>
    <row r="211" spans="1:20" ht="20.25" x14ac:dyDescent="0.3">
      <c r="A211" s="290"/>
      <c r="B211" s="101"/>
      <c r="K211" s="433"/>
      <c r="L211" s="442"/>
      <c r="M211" s="455"/>
      <c r="N211" s="451"/>
      <c r="O211" s="452"/>
      <c r="P211" s="453"/>
      <c r="Q211" s="454"/>
      <c r="R211" s="442"/>
      <c r="S211" s="443"/>
      <c r="T211" s="280"/>
    </row>
    <row r="212" spans="1:20" ht="20.25" x14ac:dyDescent="0.3">
      <c r="A212" s="290"/>
      <c r="B212" s="101"/>
      <c r="K212" s="433"/>
      <c r="L212" s="442"/>
      <c r="M212" s="455"/>
      <c r="N212" s="451"/>
      <c r="O212" s="452"/>
      <c r="P212" s="453"/>
      <c r="Q212" s="454"/>
      <c r="R212" s="442"/>
      <c r="S212" s="443"/>
      <c r="T212" s="280"/>
    </row>
    <row r="213" spans="1:20" ht="20.25" x14ac:dyDescent="0.3">
      <c r="A213" s="290"/>
      <c r="B213" s="101"/>
      <c r="K213" s="433"/>
      <c r="L213" s="442"/>
      <c r="M213" s="455"/>
      <c r="N213" s="451"/>
      <c r="O213" s="452"/>
      <c r="P213" s="453"/>
      <c r="Q213" s="454"/>
      <c r="R213" s="442"/>
      <c r="S213" s="443"/>
      <c r="T213" s="280"/>
    </row>
    <row r="214" spans="1:20" ht="20.25" x14ac:dyDescent="0.3">
      <c r="A214" s="290"/>
      <c r="B214" s="101"/>
      <c r="K214" s="433"/>
      <c r="L214" s="442"/>
      <c r="M214" s="455"/>
      <c r="N214" s="451"/>
      <c r="O214" s="452"/>
      <c r="P214" s="453"/>
      <c r="Q214" s="454"/>
      <c r="R214" s="442"/>
      <c r="S214" s="443"/>
      <c r="T214" s="280"/>
    </row>
    <row r="215" spans="1:20" ht="20.25" x14ac:dyDescent="0.3">
      <c r="A215" s="290"/>
      <c r="B215" s="101"/>
      <c r="K215" s="433"/>
      <c r="L215" s="442"/>
      <c r="M215" s="455"/>
      <c r="N215" s="451"/>
      <c r="O215" s="452"/>
      <c r="P215" s="453"/>
      <c r="Q215" s="454"/>
      <c r="R215" s="442"/>
      <c r="S215" s="443"/>
      <c r="T215" s="280"/>
    </row>
    <row r="216" spans="1:20" ht="20.25" x14ac:dyDescent="0.3">
      <c r="A216" s="290"/>
      <c r="B216" s="101"/>
      <c r="K216" s="433"/>
      <c r="L216" s="442"/>
      <c r="M216" s="455"/>
      <c r="N216" s="451"/>
      <c r="O216" s="452"/>
      <c r="P216" s="453"/>
      <c r="Q216" s="454"/>
      <c r="R216" s="442"/>
      <c r="S216" s="443"/>
      <c r="T216" s="280"/>
    </row>
    <row r="217" spans="1:20" ht="20.25" x14ac:dyDescent="0.3">
      <c r="A217" s="290"/>
      <c r="B217" s="101"/>
      <c r="K217" s="433"/>
      <c r="L217" s="442"/>
      <c r="M217" s="455"/>
      <c r="N217" s="451"/>
      <c r="O217" s="452"/>
      <c r="P217" s="453"/>
      <c r="Q217" s="454"/>
      <c r="R217" s="442"/>
      <c r="S217" s="443"/>
      <c r="T217" s="280"/>
    </row>
    <row r="218" spans="1:20" ht="20.25" x14ac:dyDescent="0.3">
      <c r="A218" s="290"/>
      <c r="B218" s="101"/>
      <c r="K218" s="433"/>
      <c r="L218" s="442"/>
      <c r="M218" s="455"/>
      <c r="N218" s="451"/>
      <c r="O218" s="452"/>
      <c r="P218" s="453"/>
      <c r="Q218" s="454"/>
      <c r="R218" s="442"/>
      <c r="S218" s="443"/>
      <c r="T218" s="280"/>
    </row>
    <row r="219" spans="1:20" ht="20.25" x14ac:dyDescent="0.3">
      <c r="A219" s="290"/>
      <c r="B219" s="101"/>
      <c r="K219" s="433"/>
      <c r="L219" s="442"/>
      <c r="M219" s="455"/>
      <c r="N219" s="451"/>
      <c r="O219" s="452"/>
      <c r="P219" s="453"/>
      <c r="Q219" s="454"/>
      <c r="R219" s="442"/>
      <c r="S219" s="443"/>
      <c r="T219" s="280"/>
    </row>
    <row r="220" spans="1:20" ht="20.25" x14ac:dyDescent="0.3">
      <c r="A220" s="290"/>
      <c r="B220" s="101"/>
      <c r="K220" s="433"/>
      <c r="L220" s="442"/>
      <c r="M220" s="455"/>
      <c r="N220" s="451"/>
      <c r="O220" s="452"/>
      <c r="P220" s="453"/>
      <c r="Q220" s="454"/>
      <c r="R220" s="442"/>
      <c r="S220" s="443"/>
      <c r="T220" s="280"/>
    </row>
    <row r="221" spans="1:20" ht="20.25" x14ac:dyDescent="0.3">
      <c r="A221" s="290"/>
      <c r="B221" s="101"/>
      <c r="K221" s="433"/>
      <c r="L221" s="442"/>
      <c r="M221" s="455"/>
      <c r="N221" s="451"/>
      <c r="O221" s="452"/>
      <c r="P221" s="453"/>
      <c r="Q221" s="454"/>
      <c r="R221" s="442"/>
      <c r="S221" s="443"/>
      <c r="T221" s="280"/>
    </row>
    <row r="222" spans="1:20" ht="20.25" x14ac:dyDescent="0.3">
      <c r="A222" s="290"/>
      <c r="B222" s="101"/>
      <c r="K222" s="433"/>
      <c r="L222" s="442"/>
      <c r="M222" s="455"/>
      <c r="N222" s="451"/>
      <c r="O222" s="452"/>
      <c r="P222" s="453"/>
      <c r="Q222" s="454"/>
      <c r="R222" s="442"/>
      <c r="S222" s="443"/>
      <c r="T222" s="280"/>
    </row>
    <row r="223" spans="1:20" ht="20.25" x14ac:dyDescent="0.3">
      <c r="A223" s="290"/>
      <c r="B223" s="101"/>
      <c r="K223" s="433"/>
      <c r="L223" s="442"/>
      <c r="M223" s="455"/>
      <c r="N223" s="451"/>
      <c r="O223" s="452"/>
      <c r="P223" s="453"/>
      <c r="Q223" s="454"/>
      <c r="R223" s="442"/>
      <c r="S223" s="443"/>
      <c r="T223" s="280"/>
    </row>
    <row r="224" spans="1:20" ht="20.25" x14ac:dyDescent="0.3">
      <c r="A224" s="290"/>
      <c r="B224" s="101"/>
      <c r="K224" s="433"/>
      <c r="L224" s="442"/>
      <c r="M224" s="455"/>
      <c r="N224" s="451"/>
      <c r="O224" s="452"/>
      <c r="P224" s="453"/>
      <c r="Q224" s="454"/>
      <c r="R224" s="442"/>
      <c r="S224" s="443"/>
      <c r="T224" s="280"/>
    </row>
    <row r="225" spans="1:20" ht="20.25" x14ac:dyDescent="0.3">
      <c r="A225" s="290"/>
      <c r="B225" s="101"/>
      <c r="K225" s="433"/>
      <c r="L225" s="442"/>
      <c r="M225" s="455"/>
      <c r="N225" s="451"/>
      <c r="O225" s="452"/>
      <c r="P225" s="453"/>
      <c r="Q225" s="454"/>
      <c r="R225" s="442"/>
      <c r="S225" s="443"/>
      <c r="T225" s="280"/>
    </row>
    <row r="226" spans="1:20" ht="20.25" x14ac:dyDescent="0.3">
      <c r="A226" s="290"/>
      <c r="B226" s="101"/>
      <c r="K226" s="433"/>
      <c r="L226" s="442"/>
      <c r="M226" s="455"/>
      <c r="N226" s="451"/>
      <c r="O226" s="452"/>
      <c r="P226" s="453"/>
      <c r="Q226" s="454"/>
      <c r="R226" s="442"/>
      <c r="S226" s="443"/>
      <c r="T226" s="280"/>
    </row>
    <row r="227" spans="1:20" ht="20.25" x14ac:dyDescent="0.3">
      <c r="A227" s="290"/>
      <c r="B227" s="101"/>
      <c r="K227" s="433"/>
      <c r="L227" s="442"/>
      <c r="M227" s="455"/>
      <c r="N227" s="451"/>
      <c r="O227" s="452"/>
      <c r="P227" s="453"/>
      <c r="Q227" s="454"/>
      <c r="R227" s="442"/>
      <c r="S227" s="443"/>
      <c r="T227" s="280"/>
    </row>
    <row r="228" spans="1:20" ht="20.25" x14ac:dyDescent="0.3">
      <c r="A228" s="290"/>
      <c r="B228" s="101"/>
      <c r="K228" s="433"/>
      <c r="L228" s="442"/>
      <c r="M228" s="455"/>
      <c r="N228" s="451"/>
      <c r="O228" s="452"/>
      <c r="P228" s="453"/>
      <c r="Q228" s="454"/>
      <c r="R228" s="442"/>
      <c r="S228" s="443"/>
      <c r="T228" s="280"/>
    </row>
    <row r="229" spans="1:20" ht="20.25" x14ac:dyDescent="0.3">
      <c r="A229" s="290"/>
      <c r="B229" s="101"/>
      <c r="K229" s="433"/>
      <c r="L229" s="442"/>
      <c r="M229" s="455"/>
      <c r="N229" s="451"/>
      <c r="O229" s="452"/>
      <c r="P229" s="453"/>
      <c r="Q229" s="454"/>
      <c r="R229" s="442"/>
      <c r="S229" s="443"/>
      <c r="T229" s="280"/>
    </row>
    <row r="230" spans="1:20" ht="20.25" x14ac:dyDescent="0.3">
      <c r="A230" s="290"/>
      <c r="B230" s="101"/>
      <c r="K230" s="433"/>
      <c r="L230" s="442"/>
      <c r="M230" s="455"/>
      <c r="N230" s="451"/>
      <c r="O230" s="452"/>
      <c r="P230" s="453"/>
      <c r="Q230" s="454"/>
      <c r="R230" s="442"/>
      <c r="S230" s="443"/>
      <c r="T230" s="280"/>
    </row>
    <row r="231" spans="1:20" ht="20.25" x14ac:dyDescent="0.3">
      <c r="A231" s="290"/>
      <c r="B231" s="101"/>
      <c r="K231" s="433"/>
      <c r="L231" s="442"/>
      <c r="M231" s="455"/>
      <c r="N231" s="451"/>
      <c r="O231" s="452"/>
      <c r="P231" s="453"/>
      <c r="Q231" s="454"/>
      <c r="R231" s="442"/>
      <c r="S231" s="443"/>
      <c r="T231" s="280"/>
    </row>
    <row r="232" spans="1:20" ht="20.25" x14ac:dyDescent="0.3">
      <c r="A232" s="290"/>
      <c r="B232" s="101"/>
      <c r="K232" s="433"/>
      <c r="L232" s="442"/>
      <c r="M232" s="455"/>
      <c r="N232" s="451"/>
      <c r="O232" s="452"/>
      <c r="P232" s="453"/>
      <c r="Q232" s="454"/>
      <c r="R232" s="442"/>
      <c r="S232" s="443"/>
      <c r="T232" s="280"/>
    </row>
    <row r="233" spans="1:20" ht="20.25" x14ac:dyDescent="0.3">
      <c r="A233" s="290"/>
      <c r="B233" s="101"/>
      <c r="K233" s="433"/>
      <c r="L233" s="442"/>
      <c r="M233" s="455"/>
      <c r="N233" s="451"/>
      <c r="O233" s="452"/>
      <c r="P233" s="453"/>
      <c r="Q233" s="454"/>
      <c r="R233" s="442"/>
      <c r="S233" s="443"/>
      <c r="T233" s="280"/>
    </row>
    <row r="234" spans="1:20" ht="20.25" x14ac:dyDescent="0.3">
      <c r="A234" s="290"/>
      <c r="B234" s="101"/>
      <c r="K234" s="433"/>
      <c r="L234" s="442"/>
      <c r="M234" s="455"/>
      <c r="N234" s="451"/>
      <c r="O234" s="452"/>
      <c r="P234" s="453"/>
      <c r="Q234" s="454"/>
      <c r="R234" s="442"/>
      <c r="S234" s="443"/>
      <c r="T234" s="280"/>
    </row>
    <row r="235" spans="1:20" ht="20.25" x14ac:dyDescent="0.3">
      <c r="A235" s="290"/>
      <c r="B235" s="101"/>
      <c r="K235" s="433"/>
      <c r="L235" s="442"/>
      <c r="M235" s="455"/>
      <c r="N235" s="451"/>
      <c r="O235" s="452"/>
      <c r="P235" s="453"/>
      <c r="Q235" s="454"/>
      <c r="R235" s="442"/>
      <c r="S235" s="443"/>
      <c r="T235" s="280"/>
    </row>
    <row r="236" spans="1:20" ht="20.25" x14ac:dyDescent="0.3">
      <c r="A236" s="290"/>
      <c r="B236" s="101"/>
      <c r="K236" s="433"/>
      <c r="L236" s="442"/>
      <c r="M236" s="455"/>
      <c r="N236" s="451"/>
      <c r="O236" s="452"/>
      <c r="P236" s="453"/>
      <c r="Q236" s="454"/>
      <c r="R236" s="442"/>
      <c r="S236" s="443"/>
      <c r="T236" s="280"/>
    </row>
    <row r="237" spans="1:20" ht="20.25" x14ac:dyDescent="0.3">
      <c r="A237" s="290"/>
      <c r="B237" s="101"/>
      <c r="K237" s="433"/>
      <c r="L237" s="442"/>
      <c r="M237" s="455"/>
      <c r="N237" s="451"/>
      <c r="O237" s="452"/>
      <c r="P237" s="453"/>
      <c r="Q237" s="454"/>
      <c r="R237" s="442"/>
      <c r="S237" s="443"/>
      <c r="T237" s="280"/>
    </row>
    <row r="238" spans="1:20" ht="20.25" x14ac:dyDescent="0.3">
      <c r="A238" s="290"/>
      <c r="B238" s="101"/>
      <c r="K238" s="433"/>
      <c r="L238" s="442"/>
      <c r="M238" s="455"/>
      <c r="N238" s="451"/>
      <c r="O238" s="452"/>
      <c r="P238" s="453"/>
      <c r="Q238" s="454"/>
      <c r="R238" s="442"/>
      <c r="S238" s="443"/>
      <c r="T238" s="280"/>
    </row>
    <row r="239" spans="1:20" ht="20.25" x14ac:dyDescent="0.3">
      <c r="A239" s="290"/>
      <c r="B239" s="101"/>
      <c r="K239" s="433"/>
      <c r="L239" s="442"/>
      <c r="M239" s="455"/>
      <c r="N239" s="451"/>
      <c r="O239" s="452"/>
      <c r="P239" s="453"/>
      <c r="Q239" s="454"/>
      <c r="R239" s="442"/>
      <c r="S239" s="443"/>
      <c r="T239" s="280"/>
    </row>
    <row r="240" spans="1:20" ht="20.25" x14ac:dyDescent="0.3">
      <c r="A240" s="290"/>
      <c r="B240" s="101"/>
      <c r="K240" s="433"/>
      <c r="L240" s="442"/>
      <c r="M240" s="455"/>
      <c r="N240" s="451"/>
      <c r="O240" s="452"/>
      <c r="P240" s="453"/>
      <c r="Q240" s="454"/>
      <c r="R240" s="442"/>
      <c r="S240" s="443"/>
      <c r="T240" s="280"/>
    </row>
    <row r="241" spans="1:20" ht="20.25" x14ac:dyDescent="0.3">
      <c r="A241" s="290"/>
      <c r="B241" s="101"/>
      <c r="K241" s="433"/>
      <c r="L241" s="442"/>
      <c r="M241" s="455"/>
      <c r="N241" s="451"/>
      <c r="O241" s="452"/>
      <c r="P241" s="453"/>
      <c r="Q241" s="454"/>
      <c r="R241" s="442"/>
      <c r="S241" s="443"/>
      <c r="T241" s="280"/>
    </row>
    <row r="242" spans="1:20" ht="20.25" x14ac:dyDescent="0.3">
      <c r="A242" s="290"/>
      <c r="B242" s="101"/>
      <c r="K242" s="433"/>
      <c r="L242" s="442"/>
      <c r="M242" s="455"/>
      <c r="N242" s="451"/>
      <c r="O242" s="452"/>
      <c r="P242" s="453"/>
      <c r="Q242" s="454"/>
      <c r="R242" s="442"/>
      <c r="S242" s="443"/>
      <c r="T242" s="280"/>
    </row>
    <row r="243" spans="1:20" ht="20.25" x14ac:dyDescent="0.3">
      <c r="A243" s="290"/>
      <c r="B243" s="101"/>
      <c r="K243" s="433"/>
      <c r="L243" s="442"/>
      <c r="M243" s="455"/>
      <c r="N243" s="451"/>
      <c r="O243" s="452"/>
      <c r="P243" s="453"/>
      <c r="Q243" s="454"/>
      <c r="R243" s="442"/>
      <c r="S243" s="443"/>
      <c r="T243" s="280"/>
    </row>
    <row r="244" spans="1:20" ht="20.25" x14ac:dyDescent="0.3">
      <c r="A244" s="290"/>
      <c r="B244" s="101"/>
      <c r="K244" s="433"/>
      <c r="L244" s="442"/>
      <c r="M244" s="455"/>
      <c r="N244" s="451"/>
      <c r="O244" s="452"/>
      <c r="P244" s="453"/>
      <c r="Q244" s="454"/>
      <c r="R244" s="442"/>
      <c r="S244" s="443"/>
      <c r="T244" s="280"/>
    </row>
    <row r="245" spans="1:20" ht="20.25" x14ac:dyDescent="0.3">
      <c r="A245" s="290"/>
      <c r="B245" s="101"/>
      <c r="K245" s="433"/>
      <c r="L245" s="442"/>
      <c r="M245" s="455"/>
      <c r="N245" s="451"/>
      <c r="O245" s="452"/>
      <c r="P245" s="453"/>
      <c r="Q245" s="454"/>
      <c r="R245" s="442"/>
      <c r="S245" s="443"/>
      <c r="T245" s="280"/>
    </row>
    <row r="246" spans="1:20" ht="20.25" x14ac:dyDescent="0.3">
      <c r="A246" s="290"/>
      <c r="B246" s="101"/>
      <c r="K246" s="433"/>
      <c r="L246" s="442"/>
      <c r="M246" s="455"/>
      <c r="N246" s="451"/>
      <c r="O246" s="452"/>
      <c r="P246" s="453"/>
      <c r="Q246" s="454"/>
      <c r="R246" s="442"/>
      <c r="S246" s="443"/>
      <c r="T246" s="280"/>
    </row>
    <row r="247" spans="1:20" ht="20.25" x14ac:dyDescent="0.3">
      <c r="A247" s="290"/>
      <c r="B247" s="101"/>
      <c r="K247" s="433"/>
      <c r="L247" s="442"/>
      <c r="M247" s="455"/>
      <c r="N247" s="451"/>
      <c r="O247" s="452"/>
      <c r="P247" s="453"/>
      <c r="Q247" s="454"/>
      <c r="R247" s="442"/>
      <c r="S247" s="443"/>
      <c r="T247" s="280"/>
    </row>
    <row r="248" spans="1:20" ht="20.25" x14ac:dyDescent="0.3">
      <c r="A248" s="290"/>
      <c r="B248" s="101"/>
      <c r="K248" s="433"/>
      <c r="L248" s="442"/>
      <c r="M248" s="455"/>
      <c r="N248" s="451"/>
      <c r="O248" s="452"/>
      <c r="P248" s="453"/>
      <c r="Q248" s="454"/>
      <c r="R248" s="442"/>
      <c r="S248" s="443"/>
      <c r="T248" s="280"/>
    </row>
    <row r="249" spans="1:20" ht="20.25" x14ac:dyDescent="0.3">
      <c r="A249" s="290"/>
      <c r="B249" s="101"/>
      <c r="K249" s="433"/>
      <c r="L249" s="442"/>
      <c r="M249" s="455"/>
      <c r="N249" s="451"/>
      <c r="O249" s="452"/>
      <c r="P249" s="453"/>
      <c r="Q249" s="454"/>
      <c r="R249" s="442"/>
      <c r="S249" s="443"/>
      <c r="T249" s="280"/>
    </row>
    <row r="250" spans="1:20" ht="20.25" x14ac:dyDescent="0.3">
      <c r="A250" s="290"/>
      <c r="B250" s="101"/>
      <c r="K250" s="433"/>
      <c r="L250" s="442"/>
      <c r="M250" s="455"/>
      <c r="N250" s="451"/>
      <c r="O250" s="452"/>
      <c r="P250" s="453"/>
      <c r="Q250" s="454"/>
      <c r="R250" s="442"/>
      <c r="S250" s="443"/>
      <c r="T250" s="280"/>
    </row>
    <row r="251" spans="1:20" ht="20.25" x14ac:dyDescent="0.3">
      <c r="A251" s="290"/>
      <c r="B251" s="101"/>
      <c r="K251" s="433"/>
      <c r="L251" s="442"/>
      <c r="M251" s="455"/>
      <c r="N251" s="451"/>
      <c r="O251" s="452"/>
      <c r="P251" s="453"/>
      <c r="Q251" s="454"/>
      <c r="R251" s="442"/>
      <c r="S251" s="443"/>
      <c r="T251" s="280"/>
    </row>
    <row r="252" spans="1:20" ht="20.25" x14ac:dyDescent="0.3">
      <c r="A252" s="290"/>
      <c r="B252" s="101"/>
      <c r="K252" s="433"/>
      <c r="L252" s="442"/>
      <c r="M252" s="455"/>
      <c r="N252" s="451"/>
      <c r="O252" s="452"/>
      <c r="P252" s="453"/>
      <c r="Q252" s="454"/>
      <c r="R252" s="442"/>
      <c r="S252" s="443"/>
      <c r="T252" s="280"/>
    </row>
    <row r="253" spans="1:20" ht="20.25" x14ac:dyDescent="0.3">
      <c r="A253" s="290"/>
      <c r="B253" s="101"/>
      <c r="K253" s="433"/>
      <c r="L253" s="442"/>
      <c r="M253" s="455"/>
      <c r="N253" s="451"/>
      <c r="O253" s="452"/>
      <c r="P253" s="453"/>
      <c r="Q253" s="454"/>
      <c r="R253" s="442"/>
      <c r="S253" s="443"/>
      <c r="T253" s="280"/>
    </row>
    <row r="254" spans="1:20" ht="20.25" x14ac:dyDescent="0.3">
      <c r="A254" s="290"/>
      <c r="B254" s="101"/>
      <c r="K254" s="433"/>
      <c r="L254" s="442"/>
      <c r="M254" s="455"/>
      <c r="N254" s="451"/>
      <c r="O254" s="452"/>
      <c r="P254" s="453"/>
      <c r="Q254" s="454"/>
      <c r="R254" s="442"/>
      <c r="S254" s="443"/>
      <c r="T254" s="280"/>
    </row>
    <row r="255" spans="1:20" ht="20.25" x14ac:dyDescent="0.3">
      <c r="A255" s="290"/>
      <c r="B255" s="101"/>
      <c r="K255" s="433"/>
      <c r="L255" s="442"/>
      <c r="M255" s="455"/>
      <c r="N255" s="451"/>
      <c r="O255" s="452"/>
      <c r="P255" s="453"/>
      <c r="Q255" s="454"/>
      <c r="R255" s="442"/>
      <c r="S255" s="443"/>
      <c r="T255" s="280"/>
    </row>
    <row r="256" spans="1:20" ht="20.25" x14ac:dyDescent="0.3">
      <c r="A256" s="290"/>
      <c r="B256" s="101"/>
      <c r="K256" s="433"/>
      <c r="L256" s="442"/>
      <c r="M256" s="455"/>
      <c r="N256" s="451"/>
      <c r="O256" s="452"/>
      <c r="P256" s="453"/>
      <c r="Q256" s="454"/>
      <c r="R256" s="442"/>
      <c r="S256" s="443"/>
      <c r="T256" s="280"/>
    </row>
    <row r="257" spans="1:20" ht="20.25" x14ac:dyDescent="0.3">
      <c r="A257" s="290"/>
      <c r="B257" s="101"/>
      <c r="K257" s="433"/>
      <c r="L257" s="442"/>
      <c r="M257" s="455"/>
      <c r="N257" s="451"/>
      <c r="O257" s="452"/>
      <c r="P257" s="453"/>
      <c r="Q257" s="454"/>
      <c r="R257" s="442"/>
      <c r="S257" s="443"/>
      <c r="T257" s="280"/>
    </row>
    <row r="258" spans="1:20" ht="20.25" x14ac:dyDescent="0.3">
      <c r="A258" s="290"/>
      <c r="B258" s="101"/>
      <c r="K258" s="433"/>
      <c r="L258" s="442"/>
      <c r="M258" s="455"/>
      <c r="N258" s="451"/>
      <c r="O258" s="452"/>
      <c r="P258" s="453"/>
      <c r="Q258" s="454"/>
      <c r="R258" s="442"/>
      <c r="S258" s="443"/>
      <c r="T258" s="280"/>
    </row>
    <row r="259" spans="1:20" ht="20.25" x14ac:dyDescent="0.3">
      <c r="A259" s="290"/>
      <c r="B259" s="101"/>
      <c r="K259" s="433"/>
      <c r="L259" s="442"/>
      <c r="M259" s="455"/>
      <c r="N259" s="451"/>
      <c r="O259" s="452"/>
      <c r="P259" s="453"/>
      <c r="Q259" s="454"/>
      <c r="R259" s="442"/>
      <c r="S259" s="443"/>
      <c r="T259" s="280"/>
    </row>
    <row r="260" spans="1:20" ht="20.25" x14ac:dyDescent="0.3">
      <c r="A260" s="290"/>
      <c r="B260" s="101"/>
      <c r="K260" s="433"/>
      <c r="L260" s="442"/>
      <c r="M260" s="455"/>
      <c r="N260" s="451"/>
      <c r="O260" s="452"/>
      <c r="P260" s="453"/>
      <c r="Q260" s="454"/>
      <c r="R260" s="442"/>
      <c r="S260" s="443"/>
      <c r="T260" s="280"/>
    </row>
    <row r="261" spans="1:20" ht="20.25" x14ac:dyDescent="0.3">
      <c r="A261" s="290"/>
      <c r="B261" s="101"/>
      <c r="K261" s="433"/>
      <c r="L261" s="442"/>
      <c r="M261" s="455"/>
      <c r="N261" s="451"/>
      <c r="O261" s="452"/>
      <c r="P261" s="453"/>
      <c r="Q261" s="454"/>
      <c r="R261" s="442"/>
      <c r="S261" s="443"/>
      <c r="T261" s="280"/>
    </row>
    <row r="262" spans="1:20" ht="20.25" x14ac:dyDescent="0.3">
      <c r="A262" s="290"/>
      <c r="B262" s="101"/>
      <c r="K262" s="433"/>
      <c r="L262" s="442"/>
      <c r="M262" s="455"/>
      <c r="N262" s="451"/>
      <c r="O262" s="452"/>
      <c r="P262" s="453"/>
      <c r="Q262" s="454"/>
      <c r="R262" s="442"/>
      <c r="S262" s="443"/>
      <c r="T262" s="280"/>
    </row>
    <row r="263" spans="1:20" ht="20.25" x14ac:dyDescent="0.3">
      <c r="A263" s="290"/>
      <c r="B263" s="101"/>
      <c r="K263" s="433"/>
      <c r="L263" s="442"/>
      <c r="M263" s="455"/>
      <c r="N263" s="451"/>
      <c r="O263" s="452"/>
      <c r="P263" s="453"/>
      <c r="Q263" s="454"/>
      <c r="R263" s="442"/>
      <c r="S263" s="443"/>
      <c r="T263" s="280"/>
    </row>
    <row r="264" spans="1:20" ht="20.25" x14ac:dyDescent="0.3">
      <c r="A264" s="290"/>
      <c r="B264" s="101"/>
      <c r="K264" s="433"/>
      <c r="L264" s="442"/>
      <c r="M264" s="455"/>
      <c r="N264" s="451"/>
      <c r="O264" s="452"/>
      <c r="P264" s="453"/>
      <c r="Q264" s="454"/>
      <c r="R264" s="442"/>
      <c r="S264" s="443"/>
      <c r="T264" s="280"/>
    </row>
    <row r="265" spans="1:20" ht="20.25" x14ac:dyDescent="0.3">
      <c r="A265" s="290"/>
      <c r="B265" s="101"/>
      <c r="K265" s="433"/>
      <c r="L265" s="442"/>
      <c r="M265" s="455"/>
      <c r="N265" s="451"/>
      <c r="O265" s="452"/>
      <c r="P265" s="453"/>
      <c r="Q265" s="454"/>
      <c r="R265" s="442"/>
      <c r="S265" s="443"/>
      <c r="T265" s="280"/>
    </row>
    <row r="266" spans="1:20" ht="20.25" x14ac:dyDescent="0.3">
      <c r="A266" s="290"/>
      <c r="B266" s="101"/>
      <c r="K266" s="433"/>
      <c r="L266" s="442"/>
      <c r="M266" s="455"/>
      <c r="N266" s="451"/>
      <c r="O266" s="452"/>
      <c r="P266" s="453"/>
      <c r="Q266" s="454"/>
      <c r="R266" s="442"/>
      <c r="S266" s="443"/>
      <c r="T266" s="280"/>
    </row>
    <row r="267" spans="1:20" ht="20.25" x14ac:dyDescent="0.3">
      <c r="A267" s="290"/>
      <c r="B267" s="101"/>
      <c r="K267" s="433"/>
      <c r="L267" s="442"/>
      <c r="M267" s="455"/>
      <c r="N267" s="451"/>
      <c r="O267" s="452"/>
      <c r="P267" s="453"/>
      <c r="Q267" s="454"/>
      <c r="R267" s="442"/>
      <c r="S267" s="443"/>
      <c r="T267" s="280"/>
    </row>
    <row r="268" spans="1:20" ht="20.25" x14ac:dyDescent="0.3">
      <c r="A268" s="290"/>
      <c r="B268" s="101"/>
      <c r="K268" s="433"/>
      <c r="L268" s="442"/>
      <c r="M268" s="455"/>
      <c r="N268" s="451"/>
      <c r="O268" s="452"/>
      <c r="P268" s="453"/>
      <c r="Q268" s="454"/>
      <c r="R268" s="442"/>
      <c r="S268" s="443"/>
      <c r="T268" s="280"/>
    </row>
    <row r="269" spans="1:20" ht="20.25" x14ac:dyDescent="0.3">
      <c r="A269" s="290"/>
      <c r="B269" s="101"/>
      <c r="K269" s="433"/>
      <c r="L269" s="442"/>
      <c r="M269" s="455"/>
      <c r="N269" s="451"/>
      <c r="O269" s="452"/>
      <c r="P269" s="453"/>
      <c r="Q269" s="454"/>
      <c r="R269" s="442"/>
      <c r="S269" s="443"/>
      <c r="T269" s="280"/>
    </row>
    <row r="270" spans="1:20" ht="20.25" x14ac:dyDescent="0.3">
      <c r="A270" s="290"/>
      <c r="B270" s="101"/>
      <c r="K270" s="433"/>
      <c r="L270" s="442"/>
      <c r="M270" s="455"/>
      <c r="N270" s="451"/>
      <c r="O270" s="452"/>
      <c r="P270" s="453"/>
      <c r="Q270" s="454"/>
      <c r="R270" s="442"/>
      <c r="S270" s="443"/>
      <c r="T270" s="280"/>
    </row>
    <row r="271" spans="1:20" ht="20.25" x14ac:dyDescent="0.3">
      <c r="A271" s="290"/>
      <c r="B271" s="101"/>
      <c r="K271" s="433"/>
      <c r="L271" s="442"/>
      <c r="M271" s="455"/>
      <c r="N271" s="451"/>
      <c r="O271" s="452"/>
      <c r="P271" s="453"/>
      <c r="Q271" s="454"/>
      <c r="R271" s="442"/>
      <c r="S271" s="443"/>
      <c r="T271" s="280"/>
    </row>
    <row r="272" spans="1:20" ht="20.25" x14ac:dyDescent="0.3">
      <c r="A272" s="290"/>
      <c r="B272" s="101"/>
      <c r="K272" s="433"/>
      <c r="L272" s="442"/>
      <c r="M272" s="455"/>
      <c r="N272" s="451"/>
      <c r="O272" s="452"/>
      <c r="P272" s="453"/>
      <c r="Q272" s="454"/>
      <c r="R272" s="442"/>
      <c r="S272" s="443"/>
      <c r="T272" s="280"/>
    </row>
    <row r="273" spans="1:20" ht="20.25" x14ac:dyDescent="0.3">
      <c r="A273" s="290"/>
      <c r="B273" s="101"/>
      <c r="K273" s="433"/>
      <c r="L273" s="442"/>
      <c r="M273" s="455"/>
      <c r="N273" s="451"/>
      <c r="O273" s="452"/>
      <c r="P273" s="453"/>
      <c r="Q273" s="454"/>
      <c r="R273" s="442"/>
      <c r="S273" s="443"/>
      <c r="T273" s="280"/>
    </row>
    <row r="274" spans="1:20" ht="20.25" x14ac:dyDescent="0.3">
      <c r="A274" s="290"/>
      <c r="B274" s="101"/>
      <c r="K274" s="433"/>
      <c r="L274" s="442"/>
      <c r="M274" s="455"/>
      <c r="N274" s="451"/>
      <c r="O274" s="452"/>
      <c r="P274" s="453"/>
      <c r="Q274" s="454"/>
      <c r="R274" s="442"/>
      <c r="S274" s="443"/>
      <c r="T274" s="280"/>
    </row>
    <row r="275" spans="1:20" ht="20.25" x14ac:dyDescent="0.3">
      <c r="A275" s="290"/>
      <c r="B275" s="101"/>
      <c r="K275" s="433"/>
      <c r="L275" s="442"/>
      <c r="M275" s="455"/>
      <c r="N275" s="451"/>
      <c r="O275" s="452"/>
      <c r="P275" s="453"/>
      <c r="Q275" s="454"/>
      <c r="R275" s="442"/>
      <c r="S275" s="443"/>
      <c r="T275" s="280"/>
    </row>
    <row r="276" spans="1:20" ht="20.25" x14ac:dyDescent="0.3">
      <c r="A276" s="290"/>
      <c r="B276" s="101"/>
      <c r="K276" s="433"/>
      <c r="L276" s="442"/>
      <c r="M276" s="455"/>
      <c r="N276" s="451"/>
      <c r="O276" s="452"/>
      <c r="P276" s="453"/>
      <c r="Q276" s="454"/>
      <c r="R276" s="442"/>
      <c r="S276" s="443"/>
      <c r="T276" s="280"/>
    </row>
    <row r="277" spans="1:20" ht="20.25" x14ac:dyDescent="0.3">
      <c r="A277" s="290"/>
      <c r="B277" s="101"/>
      <c r="K277" s="433"/>
      <c r="L277" s="442"/>
      <c r="M277" s="455"/>
      <c r="N277" s="451"/>
      <c r="O277" s="452"/>
      <c r="P277" s="453"/>
      <c r="Q277" s="454"/>
      <c r="R277" s="442"/>
      <c r="S277" s="443"/>
      <c r="T277" s="280"/>
    </row>
    <row r="278" spans="1:20" ht="20.25" x14ac:dyDescent="0.3">
      <c r="A278" s="290"/>
      <c r="B278" s="101"/>
      <c r="K278" s="433"/>
      <c r="L278" s="442"/>
      <c r="M278" s="455"/>
      <c r="N278" s="451"/>
      <c r="O278" s="452"/>
      <c r="P278" s="453"/>
      <c r="Q278" s="454"/>
      <c r="R278" s="442"/>
      <c r="S278" s="443"/>
      <c r="T278" s="280"/>
    </row>
    <row r="279" spans="1:20" ht="20.25" x14ac:dyDescent="0.3">
      <c r="A279" s="290"/>
      <c r="B279" s="101"/>
      <c r="K279" s="433"/>
      <c r="L279" s="442"/>
      <c r="M279" s="455"/>
      <c r="N279" s="451"/>
      <c r="O279" s="452"/>
      <c r="P279" s="453"/>
      <c r="Q279" s="454"/>
      <c r="R279" s="442"/>
      <c r="S279" s="443"/>
      <c r="T279" s="280"/>
    </row>
    <row r="280" spans="1:20" ht="20.25" x14ac:dyDescent="0.3">
      <c r="A280" s="290"/>
      <c r="B280" s="101"/>
      <c r="K280" s="433"/>
      <c r="L280" s="442"/>
      <c r="M280" s="455"/>
      <c r="N280" s="451"/>
      <c r="O280" s="452"/>
      <c r="P280" s="453"/>
      <c r="Q280" s="454"/>
      <c r="R280" s="442"/>
      <c r="S280" s="443"/>
      <c r="T280" s="280"/>
    </row>
    <row r="281" spans="1:20" ht="20.25" x14ac:dyDescent="0.3">
      <c r="A281" s="290"/>
      <c r="B281" s="101"/>
      <c r="K281" s="433"/>
      <c r="L281" s="442"/>
      <c r="M281" s="455"/>
      <c r="N281" s="451"/>
      <c r="O281" s="452"/>
      <c r="P281" s="453"/>
      <c r="Q281" s="454"/>
      <c r="R281" s="442"/>
      <c r="S281" s="443"/>
      <c r="T281" s="280"/>
    </row>
    <row r="282" spans="1:20" ht="20.25" x14ac:dyDescent="0.3">
      <c r="A282" s="290"/>
      <c r="B282" s="101"/>
      <c r="K282" s="433"/>
      <c r="L282" s="442"/>
      <c r="M282" s="455"/>
      <c r="N282" s="451"/>
      <c r="O282" s="452"/>
      <c r="P282" s="453"/>
      <c r="Q282" s="454"/>
      <c r="R282" s="442"/>
      <c r="S282" s="443"/>
      <c r="T282" s="280"/>
    </row>
    <row r="283" spans="1:20" ht="20.25" x14ac:dyDescent="0.3">
      <c r="A283" s="290"/>
      <c r="B283" s="101"/>
      <c r="K283" s="433"/>
      <c r="L283" s="442"/>
      <c r="M283" s="455"/>
      <c r="N283" s="451"/>
      <c r="O283" s="452"/>
      <c r="P283" s="453"/>
      <c r="Q283" s="454"/>
      <c r="R283" s="442"/>
      <c r="S283" s="443"/>
      <c r="T283" s="280"/>
    </row>
    <row r="284" spans="1:20" ht="20.25" x14ac:dyDescent="0.3">
      <c r="A284" s="290"/>
      <c r="B284" s="101"/>
      <c r="K284" s="433"/>
      <c r="L284" s="442"/>
      <c r="M284" s="455"/>
      <c r="N284" s="451"/>
      <c r="O284" s="452"/>
      <c r="P284" s="453"/>
      <c r="Q284" s="454"/>
      <c r="R284" s="442"/>
      <c r="S284" s="443"/>
      <c r="T284" s="280"/>
    </row>
    <row r="285" spans="1:20" ht="20.25" x14ac:dyDescent="0.3">
      <c r="A285" s="290"/>
      <c r="B285" s="101"/>
      <c r="K285" s="433"/>
      <c r="L285" s="442"/>
      <c r="M285" s="455"/>
      <c r="N285" s="451"/>
      <c r="O285" s="452"/>
      <c r="P285" s="453"/>
      <c r="Q285" s="454"/>
      <c r="R285" s="442"/>
      <c r="S285" s="443"/>
      <c r="T285" s="280"/>
    </row>
    <row r="286" spans="1:20" ht="20.25" x14ac:dyDescent="0.3">
      <c r="A286" s="290"/>
      <c r="B286" s="101"/>
      <c r="K286" s="433"/>
      <c r="L286" s="442"/>
      <c r="M286" s="455"/>
      <c r="N286" s="451"/>
      <c r="O286" s="452"/>
      <c r="P286" s="453"/>
      <c r="Q286" s="454"/>
      <c r="R286" s="442"/>
      <c r="S286" s="443"/>
      <c r="T286" s="280"/>
    </row>
    <row r="287" spans="1:20" ht="20.25" x14ac:dyDescent="0.3">
      <c r="A287" s="290"/>
      <c r="B287" s="101"/>
      <c r="K287" s="433"/>
      <c r="L287" s="442"/>
      <c r="M287" s="455"/>
      <c r="N287" s="451"/>
      <c r="O287" s="452"/>
      <c r="P287" s="453"/>
      <c r="Q287" s="454"/>
      <c r="R287" s="442"/>
      <c r="S287" s="443"/>
      <c r="T287" s="280"/>
    </row>
    <row r="288" spans="1:20" ht="20.25" x14ac:dyDescent="0.3">
      <c r="A288" s="290"/>
      <c r="B288" s="101"/>
      <c r="K288" s="433"/>
      <c r="L288" s="442"/>
      <c r="M288" s="455"/>
      <c r="N288" s="451"/>
      <c r="O288" s="452"/>
      <c r="P288" s="453"/>
      <c r="Q288" s="454"/>
      <c r="R288" s="442"/>
      <c r="S288" s="443"/>
      <c r="T288" s="280"/>
    </row>
    <row r="289" spans="1:20" ht="20.25" x14ac:dyDescent="0.3">
      <c r="A289" s="290"/>
      <c r="B289" s="101"/>
      <c r="K289" s="433"/>
      <c r="L289" s="442"/>
      <c r="M289" s="455"/>
      <c r="N289" s="451"/>
      <c r="O289" s="452"/>
      <c r="P289" s="453"/>
      <c r="Q289" s="454"/>
      <c r="R289" s="442"/>
      <c r="S289" s="443"/>
      <c r="T289" s="280"/>
    </row>
    <row r="290" spans="1:20" ht="20.25" x14ac:dyDescent="0.3">
      <c r="A290" s="290"/>
      <c r="B290" s="101"/>
      <c r="K290" s="433"/>
      <c r="L290" s="442"/>
      <c r="M290" s="455"/>
      <c r="N290" s="451"/>
      <c r="O290" s="452"/>
      <c r="P290" s="453"/>
      <c r="Q290" s="454"/>
      <c r="R290" s="442"/>
      <c r="S290" s="443"/>
      <c r="T290" s="280"/>
    </row>
    <row r="291" spans="1:20" ht="20.25" x14ac:dyDescent="0.3">
      <c r="A291" s="290"/>
      <c r="B291" s="101"/>
      <c r="K291" s="433"/>
      <c r="L291" s="442"/>
      <c r="M291" s="455"/>
      <c r="N291" s="451"/>
      <c r="O291" s="452"/>
      <c r="P291" s="453"/>
      <c r="Q291" s="454"/>
      <c r="R291" s="442"/>
      <c r="S291" s="443"/>
      <c r="T291" s="280"/>
    </row>
    <row r="292" spans="1:20" ht="20.25" x14ac:dyDescent="0.3">
      <c r="A292" s="290"/>
      <c r="B292" s="101"/>
      <c r="K292" s="433"/>
      <c r="L292" s="442"/>
      <c r="M292" s="455"/>
      <c r="N292" s="451"/>
      <c r="O292" s="452"/>
      <c r="P292" s="453"/>
      <c r="Q292" s="454"/>
      <c r="R292" s="442"/>
      <c r="S292" s="443"/>
      <c r="T292" s="280"/>
    </row>
    <row r="293" spans="1:20" ht="20.25" x14ac:dyDescent="0.3">
      <c r="A293" s="290"/>
      <c r="B293" s="101"/>
      <c r="K293" s="433"/>
      <c r="L293" s="442"/>
      <c r="M293" s="455"/>
      <c r="N293" s="451"/>
      <c r="O293" s="452"/>
      <c r="P293" s="453"/>
      <c r="Q293" s="454"/>
      <c r="R293" s="442"/>
      <c r="S293" s="443"/>
      <c r="T293" s="280"/>
    </row>
    <row r="294" spans="1:20" ht="20.25" x14ac:dyDescent="0.3">
      <c r="A294" s="290"/>
      <c r="B294" s="101"/>
      <c r="K294" s="433"/>
      <c r="L294" s="442"/>
      <c r="M294" s="455"/>
      <c r="N294" s="451"/>
      <c r="O294" s="452"/>
      <c r="P294" s="453"/>
      <c r="Q294" s="454"/>
      <c r="R294" s="442"/>
      <c r="S294" s="443"/>
      <c r="T294" s="280"/>
    </row>
    <row r="295" spans="1:20" ht="20.25" x14ac:dyDescent="0.3">
      <c r="A295" s="290"/>
      <c r="B295" s="101"/>
      <c r="K295" s="433"/>
      <c r="L295" s="442"/>
      <c r="M295" s="455"/>
      <c r="N295" s="451"/>
      <c r="O295" s="452"/>
      <c r="P295" s="453"/>
      <c r="Q295" s="454"/>
      <c r="R295" s="442"/>
      <c r="S295" s="443"/>
      <c r="T295" s="280"/>
    </row>
    <row r="296" spans="1:20" ht="20.25" x14ac:dyDescent="0.3">
      <c r="A296" s="290"/>
      <c r="B296" s="101"/>
      <c r="K296" s="433"/>
      <c r="L296" s="442"/>
      <c r="M296" s="455"/>
      <c r="N296" s="451"/>
      <c r="O296" s="452"/>
      <c r="P296" s="453"/>
      <c r="Q296" s="454"/>
      <c r="R296" s="442"/>
      <c r="S296" s="443"/>
      <c r="T296" s="280"/>
    </row>
    <row r="297" spans="1:20" ht="20.25" x14ac:dyDescent="0.3">
      <c r="A297" s="290"/>
      <c r="B297" s="101"/>
      <c r="K297" s="433"/>
      <c r="L297" s="442"/>
      <c r="M297" s="455"/>
      <c r="N297" s="451"/>
      <c r="O297" s="452"/>
      <c r="P297" s="453"/>
      <c r="Q297" s="454"/>
      <c r="R297" s="442"/>
      <c r="S297" s="443"/>
      <c r="T297" s="280"/>
    </row>
    <row r="298" spans="1:20" ht="20.25" x14ac:dyDescent="0.3">
      <c r="A298" s="290"/>
      <c r="B298" s="101"/>
      <c r="K298" s="433"/>
      <c r="L298" s="442"/>
      <c r="M298" s="455"/>
      <c r="N298" s="451"/>
      <c r="O298" s="452"/>
      <c r="P298" s="453"/>
      <c r="Q298" s="454"/>
      <c r="R298" s="442"/>
      <c r="S298" s="443"/>
      <c r="T298" s="280"/>
    </row>
    <row r="299" spans="1:20" ht="20.25" x14ac:dyDescent="0.3">
      <c r="A299" s="290"/>
      <c r="B299" s="101"/>
      <c r="K299" s="433"/>
      <c r="L299" s="442"/>
      <c r="M299" s="455"/>
      <c r="N299" s="451"/>
      <c r="O299" s="452"/>
      <c r="P299" s="453"/>
      <c r="Q299" s="454"/>
      <c r="R299" s="442"/>
      <c r="S299" s="443"/>
      <c r="T299" s="280"/>
    </row>
    <row r="300" spans="1:20" ht="20.25" x14ac:dyDescent="0.3">
      <c r="A300" s="290"/>
      <c r="B300" s="101"/>
      <c r="K300" s="433"/>
      <c r="L300" s="442"/>
      <c r="M300" s="455"/>
      <c r="N300" s="451"/>
      <c r="O300" s="452"/>
      <c r="P300" s="453"/>
      <c r="Q300" s="454"/>
      <c r="R300" s="442"/>
      <c r="S300" s="443"/>
      <c r="T300" s="280"/>
    </row>
    <row r="301" spans="1:20" ht="20.25" x14ac:dyDescent="0.3">
      <c r="A301" s="290"/>
      <c r="B301" s="101"/>
      <c r="K301" s="433"/>
      <c r="L301" s="442"/>
      <c r="M301" s="455"/>
      <c r="N301" s="451"/>
      <c r="O301" s="452"/>
      <c r="P301" s="453"/>
      <c r="Q301" s="454"/>
      <c r="R301" s="442"/>
      <c r="S301" s="443"/>
      <c r="T301" s="280"/>
    </row>
    <row r="302" spans="1:20" ht="20.25" x14ac:dyDescent="0.3">
      <c r="A302" s="290"/>
      <c r="B302" s="101"/>
      <c r="K302" s="433"/>
      <c r="L302" s="442"/>
      <c r="M302" s="455"/>
      <c r="N302" s="451"/>
      <c r="O302" s="452"/>
      <c r="P302" s="453"/>
      <c r="Q302" s="454"/>
      <c r="R302" s="442"/>
      <c r="S302" s="443"/>
      <c r="T302" s="280"/>
    </row>
    <row r="303" spans="1:20" ht="20.25" x14ac:dyDescent="0.3">
      <c r="A303" s="290"/>
      <c r="B303" s="101"/>
      <c r="K303" s="433"/>
      <c r="L303" s="442"/>
      <c r="M303" s="455"/>
      <c r="N303" s="451"/>
      <c r="O303" s="452"/>
      <c r="P303" s="453"/>
      <c r="Q303" s="454"/>
      <c r="R303" s="442"/>
      <c r="S303" s="443"/>
      <c r="T303" s="280"/>
    </row>
    <row r="304" spans="1:20" ht="20.25" x14ac:dyDescent="0.3">
      <c r="A304" s="290"/>
      <c r="B304" s="101"/>
      <c r="K304" s="433"/>
      <c r="L304" s="442"/>
      <c r="M304" s="455"/>
      <c r="N304" s="451"/>
      <c r="O304" s="452"/>
      <c r="P304" s="453"/>
      <c r="Q304" s="454"/>
      <c r="R304" s="442"/>
      <c r="S304" s="443"/>
      <c r="T304" s="280"/>
    </row>
    <row r="305" spans="1:20" ht="20.25" x14ac:dyDescent="0.3">
      <c r="A305" s="290"/>
      <c r="B305" s="101"/>
      <c r="K305" s="433"/>
      <c r="L305" s="442"/>
      <c r="M305" s="455"/>
      <c r="N305" s="451"/>
      <c r="O305" s="452"/>
      <c r="P305" s="453"/>
      <c r="Q305" s="454"/>
      <c r="R305" s="442"/>
      <c r="S305" s="443"/>
      <c r="T305" s="280"/>
    </row>
    <row r="306" spans="1:20" ht="20.25" x14ac:dyDescent="0.3">
      <c r="A306" s="290"/>
      <c r="B306" s="101"/>
      <c r="K306" s="433"/>
      <c r="L306" s="442"/>
      <c r="M306" s="455"/>
      <c r="N306" s="451"/>
      <c r="O306" s="452"/>
      <c r="P306" s="453"/>
      <c r="Q306" s="454"/>
      <c r="R306" s="442"/>
      <c r="S306" s="443"/>
      <c r="T306" s="280"/>
    </row>
    <row r="307" spans="1:20" ht="20.25" x14ac:dyDescent="0.3">
      <c r="A307" s="290"/>
      <c r="B307" s="101"/>
      <c r="K307" s="433"/>
      <c r="L307" s="442"/>
      <c r="M307" s="455"/>
      <c r="N307" s="451"/>
      <c r="O307" s="452"/>
      <c r="P307" s="453"/>
      <c r="Q307" s="454"/>
      <c r="R307" s="442"/>
      <c r="S307" s="443"/>
      <c r="T307" s="280"/>
    </row>
    <row r="308" spans="1:20" ht="20.25" x14ac:dyDescent="0.3">
      <c r="A308" s="290"/>
      <c r="B308" s="101"/>
      <c r="K308" s="433"/>
      <c r="L308" s="442"/>
      <c r="M308" s="455"/>
      <c r="N308" s="451"/>
      <c r="O308" s="452"/>
      <c r="P308" s="453"/>
      <c r="Q308" s="454"/>
      <c r="R308" s="442"/>
      <c r="S308" s="443"/>
      <c r="T308" s="280"/>
    </row>
    <row r="309" spans="1:20" ht="20.25" x14ac:dyDescent="0.3">
      <c r="A309" s="290"/>
      <c r="B309" s="101"/>
      <c r="K309" s="433"/>
      <c r="L309" s="442"/>
      <c r="M309" s="455"/>
      <c r="N309" s="451"/>
      <c r="O309" s="452"/>
      <c r="P309" s="453"/>
      <c r="Q309" s="454"/>
      <c r="R309" s="442"/>
      <c r="S309" s="443"/>
      <c r="T309" s="280"/>
    </row>
    <row r="310" spans="1:20" ht="20.25" x14ac:dyDescent="0.3">
      <c r="A310" s="290"/>
      <c r="B310" s="101"/>
      <c r="K310" s="433"/>
      <c r="L310" s="442"/>
      <c r="M310" s="455"/>
      <c r="N310" s="451"/>
      <c r="O310" s="452"/>
      <c r="P310" s="453"/>
      <c r="Q310" s="454"/>
      <c r="R310" s="442"/>
      <c r="S310" s="443"/>
      <c r="T310" s="280"/>
    </row>
    <row r="311" spans="1:20" ht="20.25" x14ac:dyDescent="0.3">
      <c r="A311" s="290"/>
      <c r="B311" s="101"/>
      <c r="K311" s="433"/>
      <c r="L311" s="442"/>
      <c r="M311" s="455"/>
      <c r="N311" s="451"/>
      <c r="O311" s="452"/>
      <c r="P311" s="453"/>
      <c r="Q311" s="454"/>
      <c r="R311" s="442"/>
      <c r="S311" s="443"/>
      <c r="T311" s="280"/>
    </row>
    <row r="312" spans="1:20" ht="20.25" x14ac:dyDescent="0.3">
      <c r="A312" s="290"/>
      <c r="B312" s="101"/>
      <c r="K312" s="433"/>
      <c r="L312" s="442"/>
      <c r="M312" s="455"/>
      <c r="N312" s="451"/>
      <c r="O312" s="452"/>
      <c r="P312" s="453"/>
      <c r="Q312" s="454"/>
      <c r="R312" s="442"/>
      <c r="S312" s="443"/>
      <c r="T312" s="280"/>
    </row>
    <row r="313" spans="1:20" ht="20.25" x14ac:dyDescent="0.3">
      <c r="A313" s="290"/>
      <c r="B313" s="101"/>
      <c r="K313" s="433"/>
      <c r="L313" s="442"/>
      <c r="M313" s="455"/>
      <c r="N313" s="451"/>
      <c r="O313" s="452"/>
      <c r="P313" s="453"/>
      <c r="Q313" s="454"/>
      <c r="R313" s="442"/>
      <c r="S313" s="443"/>
      <c r="T313" s="280"/>
    </row>
    <row r="314" spans="1:20" ht="20.25" x14ac:dyDescent="0.3">
      <c r="A314" s="290"/>
      <c r="B314" s="101"/>
      <c r="K314" s="433"/>
      <c r="L314" s="442"/>
      <c r="M314" s="455"/>
      <c r="N314" s="451"/>
      <c r="O314" s="452"/>
      <c r="P314" s="453"/>
      <c r="Q314" s="454"/>
      <c r="R314" s="442"/>
      <c r="S314" s="443"/>
      <c r="T314" s="280"/>
    </row>
    <row r="315" spans="1:20" ht="20.25" x14ac:dyDescent="0.3">
      <c r="A315" s="290"/>
      <c r="B315" s="101"/>
      <c r="K315" s="433"/>
      <c r="L315" s="442"/>
      <c r="M315" s="455"/>
      <c r="N315" s="451"/>
      <c r="O315" s="452"/>
      <c r="P315" s="453"/>
      <c r="Q315" s="454"/>
      <c r="R315" s="442"/>
      <c r="S315" s="443"/>
      <c r="T315" s="280"/>
    </row>
    <row r="316" spans="1:20" ht="20.25" x14ac:dyDescent="0.3">
      <c r="A316" s="290"/>
      <c r="B316" s="101"/>
      <c r="K316" s="433"/>
      <c r="L316" s="442"/>
      <c r="M316" s="455"/>
      <c r="N316" s="451"/>
      <c r="O316" s="452"/>
      <c r="P316" s="453"/>
      <c r="Q316" s="454"/>
      <c r="R316" s="442"/>
      <c r="S316" s="443"/>
      <c r="T316" s="280"/>
    </row>
    <row r="317" spans="1:20" ht="20.25" x14ac:dyDescent="0.3">
      <c r="A317" s="290"/>
      <c r="B317" s="101"/>
      <c r="K317" s="433"/>
      <c r="L317" s="442"/>
      <c r="M317" s="455"/>
      <c r="N317" s="451"/>
      <c r="O317" s="452"/>
      <c r="P317" s="453"/>
      <c r="Q317" s="454"/>
      <c r="R317" s="442"/>
      <c r="S317" s="443"/>
      <c r="T317" s="280"/>
    </row>
    <row r="318" spans="1:20" ht="20.25" x14ac:dyDescent="0.3">
      <c r="A318" s="290"/>
      <c r="B318" s="101"/>
      <c r="K318" s="433"/>
      <c r="L318" s="442"/>
      <c r="M318" s="455"/>
      <c r="N318" s="451"/>
      <c r="O318" s="452"/>
      <c r="P318" s="453"/>
      <c r="Q318" s="454"/>
      <c r="R318" s="442"/>
      <c r="S318" s="443"/>
      <c r="T318" s="280"/>
    </row>
    <row r="319" spans="1:20" ht="20.25" x14ac:dyDescent="0.3">
      <c r="A319" s="290"/>
      <c r="B319" s="101"/>
      <c r="K319" s="433"/>
      <c r="L319" s="442"/>
      <c r="M319" s="455"/>
      <c r="N319" s="451"/>
      <c r="O319" s="452"/>
      <c r="P319" s="453"/>
      <c r="Q319" s="454"/>
      <c r="R319" s="442"/>
      <c r="S319" s="443"/>
      <c r="T319" s="280"/>
    </row>
    <row r="320" spans="1:20" ht="20.25" x14ac:dyDescent="0.3">
      <c r="A320" s="290"/>
      <c r="B320" s="101"/>
      <c r="K320" s="433"/>
      <c r="L320" s="442"/>
      <c r="M320" s="455"/>
      <c r="N320" s="451"/>
      <c r="O320" s="452"/>
      <c r="P320" s="453"/>
      <c r="Q320" s="454"/>
      <c r="R320" s="442"/>
      <c r="S320" s="443"/>
      <c r="T320" s="280"/>
    </row>
    <row r="321" spans="1:20" ht="20.25" x14ac:dyDescent="0.3">
      <c r="A321" s="290"/>
      <c r="B321" s="101"/>
      <c r="K321" s="433"/>
      <c r="L321" s="442"/>
      <c r="M321" s="455"/>
      <c r="N321" s="451"/>
      <c r="O321" s="452"/>
      <c r="P321" s="453"/>
      <c r="Q321" s="454"/>
      <c r="R321" s="442"/>
      <c r="S321" s="443"/>
      <c r="T321" s="280"/>
    </row>
    <row r="322" spans="1:20" ht="20.25" x14ac:dyDescent="0.3">
      <c r="A322" s="290"/>
      <c r="B322" s="101"/>
      <c r="K322" s="433"/>
      <c r="L322" s="442"/>
      <c r="M322" s="455"/>
      <c r="N322" s="451"/>
      <c r="O322" s="452"/>
      <c r="P322" s="453"/>
      <c r="Q322" s="454"/>
      <c r="R322" s="442"/>
      <c r="S322" s="443"/>
      <c r="T322" s="280"/>
    </row>
    <row r="323" spans="1:20" ht="20.25" x14ac:dyDescent="0.3">
      <c r="A323" s="290"/>
      <c r="B323" s="101"/>
      <c r="K323" s="433"/>
      <c r="L323" s="442"/>
      <c r="M323" s="455"/>
      <c r="N323" s="451"/>
      <c r="O323" s="452"/>
      <c r="P323" s="453"/>
      <c r="Q323" s="454"/>
      <c r="R323" s="442"/>
      <c r="S323" s="443"/>
      <c r="T323" s="280"/>
    </row>
    <row r="324" spans="1:20" ht="20.25" x14ac:dyDescent="0.3">
      <c r="A324" s="290"/>
      <c r="B324" s="101"/>
      <c r="K324" s="433"/>
      <c r="L324" s="442"/>
      <c r="M324" s="455"/>
      <c r="N324" s="451"/>
      <c r="O324" s="452"/>
      <c r="P324" s="453"/>
      <c r="Q324" s="454"/>
      <c r="R324" s="442"/>
      <c r="S324" s="443"/>
      <c r="T324" s="280"/>
    </row>
    <row r="325" spans="1:20" ht="20.25" x14ac:dyDescent="0.3">
      <c r="A325" s="290"/>
      <c r="B325" s="101"/>
      <c r="K325" s="433"/>
      <c r="L325" s="442"/>
      <c r="M325" s="455"/>
      <c r="N325" s="451"/>
      <c r="O325" s="452"/>
      <c r="P325" s="453"/>
      <c r="Q325" s="454"/>
      <c r="R325" s="442"/>
      <c r="S325" s="443"/>
      <c r="T325" s="280"/>
    </row>
    <row r="326" spans="1:20" ht="20.25" x14ac:dyDescent="0.3">
      <c r="A326" s="290"/>
      <c r="B326" s="101"/>
      <c r="K326" s="433"/>
      <c r="L326" s="442"/>
      <c r="M326" s="455"/>
      <c r="N326" s="451"/>
      <c r="O326" s="452"/>
      <c r="P326" s="453"/>
      <c r="Q326" s="454"/>
      <c r="R326" s="442"/>
      <c r="S326" s="443"/>
      <c r="T326" s="280"/>
    </row>
    <row r="327" spans="1:20" ht="20.25" x14ac:dyDescent="0.3">
      <c r="A327" s="290"/>
      <c r="B327" s="101"/>
      <c r="K327" s="433"/>
      <c r="L327" s="442"/>
      <c r="M327" s="455"/>
      <c r="N327" s="451"/>
      <c r="O327" s="452"/>
      <c r="P327" s="453"/>
      <c r="Q327" s="454"/>
      <c r="R327" s="442"/>
      <c r="S327" s="443"/>
      <c r="T327" s="280"/>
    </row>
    <row r="328" spans="1:20" ht="20.25" x14ac:dyDescent="0.3">
      <c r="A328" s="290"/>
      <c r="B328" s="101"/>
      <c r="K328" s="433"/>
      <c r="L328" s="442"/>
      <c r="M328" s="455"/>
      <c r="N328" s="451"/>
      <c r="O328" s="452"/>
      <c r="P328" s="453"/>
      <c r="Q328" s="454"/>
      <c r="R328" s="442"/>
      <c r="S328" s="443"/>
      <c r="T328" s="280"/>
    </row>
    <row r="329" spans="1:20" ht="20.25" x14ac:dyDescent="0.3">
      <c r="A329" s="290"/>
      <c r="B329" s="101"/>
      <c r="K329" s="433"/>
      <c r="L329" s="442"/>
      <c r="M329" s="455"/>
      <c r="N329" s="451"/>
      <c r="O329" s="452"/>
      <c r="P329" s="453"/>
      <c r="Q329" s="454"/>
      <c r="R329" s="442"/>
      <c r="S329" s="443"/>
      <c r="T329" s="280"/>
    </row>
    <row r="330" spans="1:20" ht="20.25" x14ac:dyDescent="0.3">
      <c r="A330" s="290"/>
      <c r="B330" s="101"/>
      <c r="K330" s="433"/>
      <c r="L330" s="442"/>
      <c r="M330" s="455"/>
      <c r="N330" s="451"/>
      <c r="O330" s="452"/>
      <c r="P330" s="453"/>
      <c r="Q330" s="454"/>
      <c r="R330" s="442"/>
      <c r="S330" s="443"/>
      <c r="T330" s="280"/>
    </row>
    <row r="331" spans="1:20" ht="20.25" x14ac:dyDescent="0.3">
      <c r="A331" s="290"/>
      <c r="B331" s="101"/>
      <c r="K331" s="433"/>
      <c r="L331" s="442"/>
      <c r="M331" s="455"/>
      <c r="N331" s="451"/>
      <c r="O331" s="452"/>
      <c r="P331" s="453"/>
      <c r="Q331" s="454"/>
      <c r="R331" s="442"/>
      <c r="S331" s="443"/>
      <c r="T331" s="280"/>
    </row>
    <row r="332" spans="1:20" ht="20.25" x14ac:dyDescent="0.3">
      <c r="A332" s="290"/>
      <c r="B332" s="101"/>
      <c r="K332" s="433"/>
      <c r="L332" s="442"/>
      <c r="M332" s="455"/>
      <c r="N332" s="451"/>
      <c r="O332" s="452"/>
      <c r="P332" s="453"/>
      <c r="Q332" s="454"/>
      <c r="R332" s="442"/>
      <c r="S332" s="443"/>
      <c r="T332" s="280"/>
    </row>
    <row r="333" spans="1:20" ht="20.25" x14ac:dyDescent="0.3">
      <c r="K333" s="433"/>
      <c r="L333" s="442"/>
      <c r="M333" s="455"/>
      <c r="N333" s="451"/>
      <c r="O333" s="452"/>
      <c r="P333" s="453"/>
      <c r="Q333" s="454"/>
      <c r="R333" s="442"/>
      <c r="S333" s="443"/>
      <c r="T333" s="280"/>
    </row>
    <row r="334" spans="1:20" ht="20.25" x14ac:dyDescent="0.3">
      <c r="K334" s="433"/>
      <c r="L334" s="442"/>
      <c r="M334" s="455"/>
      <c r="N334" s="451"/>
      <c r="O334" s="452"/>
      <c r="P334" s="453"/>
      <c r="Q334" s="454"/>
      <c r="R334" s="442"/>
      <c r="S334" s="443"/>
      <c r="T334" s="280"/>
    </row>
    <row r="335" spans="1:20" ht="20.25" x14ac:dyDescent="0.3">
      <c r="K335" s="433"/>
      <c r="L335" s="442"/>
      <c r="M335" s="455"/>
      <c r="N335" s="451"/>
      <c r="O335" s="452"/>
      <c r="P335" s="453"/>
      <c r="Q335" s="454"/>
      <c r="R335" s="442"/>
      <c r="S335" s="443"/>
      <c r="T335" s="280"/>
    </row>
    <row r="336" spans="1:20" ht="20.25" x14ac:dyDescent="0.3">
      <c r="K336" s="433"/>
      <c r="L336" s="442"/>
      <c r="M336" s="455"/>
      <c r="N336" s="451"/>
      <c r="O336" s="452"/>
      <c r="P336" s="453"/>
      <c r="Q336" s="454"/>
      <c r="R336" s="442"/>
      <c r="S336" s="443"/>
      <c r="T336" s="280"/>
    </row>
    <row r="337" spans="11:20" ht="20.25" x14ac:dyDescent="0.3">
      <c r="K337" s="433"/>
      <c r="L337" s="442"/>
      <c r="M337" s="455"/>
      <c r="N337" s="451"/>
      <c r="O337" s="452"/>
      <c r="P337" s="453"/>
      <c r="Q337" s="454"/>
      <c r="R337" s="442"/>
      <c r="S337" s="443"/>
      <c r="T337" s="280"/>
    </row>
    <row r="338" spans="11:20" ht="20.25" x14ac:dyDescent="0.3">
      <c r="K338" s="433"/>
      <c r="L338" s="442"/>
      <c r="M338" s="455"/>
      <c r="N338" s="451"/>
      <c r="O338" s="452"/>
      <c r="P338" s="453"/>
      <c r="Q338" s="454"/>
      <c r="R338" s="442"/>
      <c r="S338" s="443"/>
      <c r="T338" s="280"/>
    </row>
    <row r="339" spans="11:20" ht="20.25" x14ac:dyDescent="0.3">
      <c r="K339" s="433"/>
      <c r="L339" s="442"/>
      <c r="M339" s="455"/>
      <c r="N339" s="451"/>
      <c r="O339" s="452"/>
      <c r="P339" s="453"/>
      <c r="Q339" s="454"/>
      <c r="R339" s="442"/>
      <c r="S339" s="443"/>
      <c r="T339" s="280"/>
    </row>
    <row r="340" spans="11:20" ht="20.25" x14ac:dyDescent="0.3">
      <c r="K340" s="433"/>
      <c r="L340" s="442"/>
      <c r="M340" s="455"/>
      <c r="N340" s="451"/>
      <c r="O340" s="452"/>
      <c r="P340" s="453"/>
      <c r="Q340" s="454"/>
      <c r="R340" s="442"/>
      <c r="S340" s="443"/>
      <c r="T340" s="280"/>
    </row>
    <row r="341" spans="11:20" ht="20.25" x14ac:dyDescent="0.3">
      <c r="K341" s="433"/>
      <c r="L341" s="442"/>
      <c r="M341" s="455"/>
      <c r="N341" s="451"/>
      <c r="O341" s="452"/>
      <c r="P341" s="453"/>
      <c r="Q341" s="454"/>
      <c r="R341" s="442"/>
      <c r="S341" s="443"/>
      <c r="T341" s="280"/>
    </row>
    <row r="342" spans="11:20" ht="20.25" x14ac:dyDescent="0.3">
      <c r="K342" s="433"/>
      <c r="L342" s="442"/>
      <c r="M342" s="455"/>
      <c r="N342" s="451"/>
      <c r="O342" s="452"/>
      <c r="P342" s="453"/>
      <c r="Q342" s="454"/>
      <c r="R342" s="442"/>
      <c r="S342" s="443"/>
      <c r="T342" s="280"/>
    </row>
    <row r="343" spans="11:20" ht="20.25" x14ac:dyDescent="0.3">
      <c r="K343" s="433"/>
      <c r="L343" s="442"/>
      <c r="M343" s="455"/>
      <c r="N343" s="451"/>
      <c r="O343" s="452"/>
      <c r="P343" s="453"/>
      <c r="Q343" s="454"/>
      <c r="R343" s="442"/>
      <c r="S343" s="443"/>
      <c r="T343" s="280"/>
    </row>
    <row r="344" spans="11:20" ht="20.25" x14ac:dyDescent="0.3">
      <c r="K344" s="433"/>
      <c r="L344" s="442"/>
      <c r="M344" s="455"/>
      <c r="N344" s="451"/>
      <c r="O344" s="452"/>
      <c r="P344" s="453"/>
      <c r="Q344" s="454"/>
      <c r="R344" s="442"/>
      <c r="S344" s="443"/>
      <c r="T344" s="280"/>
    </row>
    <row r="345" spans="11:20" ht="20.25" x14ac:dyDescent="0.3">
      <c r="K345" s="433"/>
      <c r="L345" s="442"/>
      <c r="M345" s="455"/>
      <c r="N345" s="451"/>
      <c r="O345" s="452"/>
      <c r="P345" s="453"/>
      <c r="Q345" s="454"/>
      <c r="R345" s="442"/>
      <c r="S345" s="443"/>
      <c r="T345" s="280"/>
    </row>
    <row r="346" spans="11:20" ht="20.25" x14ac:dyDescent="0.3">
      <c r="K346" s="433"/>
      <c r="L346" s="442"/>
      <c r="M346" s="455"/>
      <c r="N346" s="451"/>
      <c r="O346" s="452"/>
      <c r="P346" s="453"/>
      <c r="Q346" s="454"/>
      <c r="R346" s="442"/>
      <c r="S346" s="443"/>
      <c r="T346" s="280"/>
    </row>
    <row r="347" spans="11:20" ht="20.25" x14ac:dyDescent="0.3">
      <c r="K347" s="433"/>
      <c r="L347" s="442"/>
      <c r="M347" s="455"/>
      <c r="N347" s="451"/>
      <c r="O347" s="452"/>
      <c r="P347" s="453"/>
      <c r="Q347" s="454"/>
      <c r="R347" s="442"/>
      <c r="S347" s="443"/>
      <c r="T347" s="280"/>
    </row>
    <row r="348" spans="11:20" ht="20.25" x14ac:dyDescent="0.3">
      <c r="K348" s="433"/>
      <c r="L348" s="442"/>
      <c r="M348" s="455"/>
      <c r="N348" s="451"/>
      <c r="O348" s="452"/>
      <c r="P348" s="453"/>
      <c r="Q348" s="454"/>
      <c r="R348" s="442"/>
      <c r="S348" s="443"/>
      <c r="T348" s="280"/>
    </row>
    <row r="349" spans="11:20" ht="20.25" x14ac:dyDescent="0.3">
      <c r="K349" s="433"/>
      <c r="L349" s="442"/>
      <c r="M349" s="455"/>
      <c r="N349" s="451"/>
      <c r="O349" s="452"/>
      <c r="P349" s="453"/>
      <c r="Q349" s="454"/>
      <c r="R349" s="442"/>
      <c r="S349" s="443"/>
      <c r="T349" s="280"/>
    </row>
    <row r="350" spans="11:20" ht="20.25" x14ac:dyDescent="0.3">
      <c r="K350" s="433"/>
      <c r="L350" s="442"/>
      <c r="M350" s="455"/>
      <c r="N350" s="451"/>
      <c r="O350" s="452"/>
      <c r="P350" s="453"/>
      <c r="Q350" s="454"/>
      <c r="R350" s="442"/>
      <c r="S350" s="443"/>
      <c r="T350" s="280"/>
    </row>
    <row r="351" spans="11:20" ht="20.25" x14ac:dyDescent="0.3">
      <c r="K351" s="433"/>
      <c r="L351" s="442"/>
      <c r="M351" s="455"/>
      <c r="N351" s="451"/>
      <c r="O351" s="452"/>
      <c r="P351" s="453"/>
      <c r="Q351" s="454"/>
      <c r="R351" s="442"/>
      <c r="S351" s="443"/>
      <c r="T351" s="280"/>
    </row>
    <row r="352" spans="11:20" ht="20.25" x14ac:dyDescent="0.3">
      <c r="K352" s="433"/>
      <c r="L352" s="442"/>
      <c r="M352" s="455"/>
      <c r="N352" s="451"/>
      <c r="O352" s="452"/>
      <c r="P352" s="453"/>
      <c r="Q352" s="454"/>
      <c r="R352" s="442"/>
      <c r="S352" s="443"/>
      <c r="T352" s="280"/>
    </row>
    <row r="353" spans="11:20" ht="20.25" x14ac:dyDescent="0.3">
      <c r="K353" s="433"/>
      <c r="L353" s="442"/>
      <c r="M353" s="455"/>
      <c r="N353" s="451"/>
      <c r="O353" s="452"/>
      <c r="P353" s="453"/>
      <c r="Q353" s="454"/>
      <c r="R353" s="442"/>
      <c r="S353" s="443"/>
      <c r="T353" s="280"/>
    </row>
    <row r="354" spans="11:20" ht="20.25" x14ac:dyDescent="0.3">
      <c r="K354" s="433"/>
      <c r="L354" s="442"/>
      <c r="M354" s="455"/>
      <c r="N354" s="451"/>
      <c r="O354" s="452"/>
      <c r="P354" s="453"/>
      <c r="Q354" s="454"/>
      <c r="R354" s="442"/>
      <c r="S354" s="443"/>
      <c r="T354" s="280"/>
    </row>
    <row r="355" spans="11:20" ht="20.25" x14ac:dyDescent="0.3">
      <c r="K355" s="433"/>
      <c r="L355" s="442"/>
      <c r="M355" s="455"/>
      <c r="N355" s="451"/>
      <c r="O355" s="452"/>
      <c r="P355" s="453"/>
      <c r="Q355" s="454"/>
      <c r="R355" s="442"/>
      <c r="S355" s="443"/>
      <c r="T355" s="280"/>
    </row>
    <row r="356" spans="11:20" ht="20.25" x14ac:dyDescent="0.3">
      <c r="K356" s="433"/>
      <c r="L356" s="442"/>
      <c r="M356" s="455"/>
      <c r="N356" s="451"/>
      <c r="O356" s="452"/>
      <c r="P356" s="453"/>
      <c r="Q356" s="454"/>
      <c r="R356" s="442"/>
      <c r="S356" s="443"/>
      <c r="T356" s="280"/>
    </row>
    <row r="357" spans="11:20" ht="20.25" x14ac:dyDescent="0.3">
      <c r="K357" s="433"/>
      <c r="L357" s="442"/>
      <c r="M357" s="455"/>
      <c r="N357" s="451"/>
      <c r="O357" s="452"/>
      <c r="P357" s="453"/>
      <c r="Q357" s="454"/>
      <c r="R357" s="442"/>
      <c r="S357" s="443"/>
      <c r="T357" s="280"/>
    </row>
    <row r="358" spans="11:20" ht="20.25" x14ac:dyDescent="0.3">
      <c r="K358" s="433"/>
      <c r="L358" s="442"/>
      <c r="M358" s="455"/>
      <c r="N358" s="451"/>
      <c r="O358" s="452"/>
      <c r="P358" s="453"/>
      <c r="Q358" s="454"/>
      <c r="R358" s="442"/>
      <c r="S358" s="443"/>
      <c r="T358" s="280"/>
    </row>
    <row r="359" spans="11:20" ht="20.25" x14ac:dyDescent="0.3">
      <c r="K359" s="433"/>
      <c r="L359" s="442"/>
      <c r="M359" s="455"/>
      <c r="N359" s="451"/>
      <c r="O359" s="452"/>
      <c r="P359" s="453"/>
      <c r="Q359" s="454"/>
      <c r="R359" s="442"/>
      <c r="S359" s="443"/>
      <c r="T359" s="280"/>
    </row>
    <row r="360" spans="11:20" ht="20.25" x14ac:dyDescent="0.3">
      <c r="K360" s="433"/>
      <c r="L360" s="442"/>
      <c r="M360" s="455"/>
      <c r="N360" s="451"/>
      <c r="O360" s="452"/>
      <c r="P360" s="453"/>
      <c r="Q360" s="454"/>
      <c r="R360" s="442"/>
      <c r="S360" s="443"/>
      <c r="T360" s="280"/>
    </row>
    <row r="361" spans="11:20" ht="20.25" x14ac:dyDescent="0.3">
      <c r="K361" s="433"/>
      <c r="L361" s="442"/>
      <c r="M361" s="455"/>
      <c r="N361" s="451"/>
      <c r="O361" s="452"/>
      <c r="P361" s="453"/>
      <c r="Q361" s="454"/>
      <c r="R361" s="442"/>
      <c r="S361" s="443"/>
      <c r="T361" s="280"/>
    </row>
    <row r="362" spans="11:20" ht="20.25" x14ac:dyDescent="0.3">
      <c r="K362" s="433"/>
      <c r="L362" s="442"/>
      <c r="M362" s="455"/>
      <c r="N362" s="451"/>
      <c r="O362" s="452"/>
      <c r="P362" s="453"/>
      <c r="Q362" s="454"/>
      <c r="R362" s="442"/>
      <c r="S362" s="443"/>
      <c r="T362" s="280"/>
    </row>
    <row r="363" spans="11:20" ht="20.25" x14ac:dyDescent="0.3">
      <c r="K363" s="433"/>
      <c r="L363" s="442"/>
      <c r="M363" s="455"/>
      <c r="N363" s="451"/>
      <c r="O363" s="452"/>
      <c r="P363" s="453"/>
      <c r="Q363" s="454"/>
      <c r="R363" s="442"/>
      <c r="S363" s="443"/>
      <c r="T363" s="280"/>
    </row>
    <row r="364" spans="11:20" ht="20.25" x14ac:dyDescent="0.3">
      <c r="K364" s="433"/>
      <c r="L364" s="442"/>
      <c r="M364" s="455"/>
      <c r="N364" s="451"/>
      <c r="O364" s="452"/>
      <c r="P364" s="453"/>
      <c r="Q364" s="454"/>
      <c r="R364" s="442"/>
      <c r="S364" s="443"/>
      <c r="T364" s="280"/>
    </row>
    <row r="365" spans="11:20" ht="20.25" x14ac:dyDescent="0.3">
      <c r="K365" s="433"/>
      <c r="L365" s="442"/>
      <c r="M365" s="455"/>
      <c r="N365" s="451"/>
      <c r="O365" s="452"/>
      <c r="P365" s="453"/>
      <c r="Q365" s="454"/>
      <c r="R365" s="442"/>
      <c r="S365" s="443"/>
      <c r="T365" s="280"/>
    </row>
    <row r="366" spans="11:20" ht="20.25" x14ac:dyDescent="0.3">
      <c r="K366" s="433"/>
      <c r="L366" s="442"/>
      <c r="M366" s="455"/>
      <c r="N366" s="451"/>
      <c r="O366" s="452"/>
      <c r="P366" s="453"/>
      <c r="Q366" s="454"/>
      <c r="R366" s="442"/>
      <c r="S366" s="443"/>
      <c r="T366" s="280"/>
    </row>
    <row r="367" spans="11:20" ht="20.25" x14ac:dyDescent="0.3">
      <c r="K367" s="433"/>
      <c r="L367" s="442"/>
      <c r="M367" s="455"/>
      <c r="N367" s="451"/>
      <c r="O367" s="452"/>
      <c r="P367" s="453"/>
      <c r="Q367" s="454"/>
      <c r="R367" s="442"/>
      <c r="S367" s="443"/>
      <c r="T367" s="280"/>
    </row>
    <row r="368" spans="11:20" ht="20.25" x14ac:dyDescent="0.3">
      <c r="K368" s="433"/>
      <c r="L368" s="442"/>
      <c r="M368" s="455"/>
      <c r="N368" s="451"/>
      <c r="O368" s="452"/>
      <c r="P368" s="453"/>
      <c r="Q368" s="454"/>
      <c r="R368" s="442"/>
      <c r="S368" s="443"/>
      <c r="T368" s="280"/>
    </row>
    <row r="369" spans="11:20" ht="20.25" x14ac:dyDescent="0.3">
      <c r="K369" s="433"/>
      <c r="L369" s="442"/>
      <c r="M369" s="455"/>
      <c r="N369" s="451"/>
      <c r="O369" s="452"/>
      <c r="P369" s="453"/>
      <c r="Q369" s="454"/>
      <c r="R369" s="442"/>
      <c r="S369" s="443"/>
      <c r="T369" s="280"/>
    </row>
    <row r="370" spans="11:20" ht="20.25" x14ac:dyDescent="0.3">
      <c r="K370" s="433"/>
      <c r="L370" s="442"/>
      <c r="M370" s="455"/>
      <c r="N370" s="451"/>
      <c r="O370" s="452"/>
      <c r="P370" s="453"/>
      <c r="Q370" s="454"/>
      <c r="R370" s="442"/>
      <c r="S370" s="443"/>
      <c r="T370" s="280"/>
    </row>
    <row r="371" spans="11:20" ht="20.25" x14ac:dyDescent="0.3">
      <c r="K371" s="433"/>
      <c r="L371" s="442"/>
      <c r="M371" s="455"/>
      <c r="N371" s="451"/>
      <c r="O371" s="452"/>
      <c r="P371" s="453"/>
      <c r="Q371" s="454"/>
      <c r="R371" s="442"/>
      <c r="S371" s="443"/>
      <c r="T371" s="280"/>
    </row>
    <row r="372" spans="11:20" ht="20.25" x14ac:dyDescent="0.3">
      <c r="K372" s="433"/>
      <c r="L372" s="442"/>
      <c r="M372" s="455"/>
      <c r="N372" s="451"/>
      <c r="O372" s="452"/>
      <c r="P372" s="453"/>
      <c r="Q372" s="454"/>
      <c r="R372" s="442"/>
      <c r="S372" s="443"/>
      <c r="T372" s="280"/>
    </row>
    <row r="373" spans="11:20" ht="20.25" x14ac:dyDescent="0.3">
      <c r="K373" s="433"/>
      <c r="L373" s="442"/>
      <c r="M373" s="455"/>
      <c r="N373" s="451"/>
      <c r="O373" s="452"/>
      <c r="P373" s="453"/>
      <c r="Q373" s="454"/>
      <c r="R373" s="442"/>
      <c r="S373" s="443"/>
      <c r="T373" s="280"/>
    </row>
    <row r="374" spans="11:20" ht="20.25" x14ac:dyDescent="0.3">
      <c r="K374" s="433"/>
      <c r="L374" s="442"/>
      <c r="M374" s="455"/>
      <c r="N374" s="451"/>
      <c r="O374" s="452"/>
      <c r="P374" s="453"/>
      <c r="Q374" s="454"/>
      <c r="R374" s="442"/>
      <c r="S374" s="443"/>
      <c r="T374" s="280"/>
    </row>
    <row r="375" spans="11:20" ht="20.25" x14ac:dyDescent="0.3">
      <c r="K375" s="433"/>
      <c r="L375" s="442"/>
      <c r="M375" s="455"/>
      <c r="N375" s="451"/>
      <c r="O375" s="452"/>
      <c r="P375" s="453"/>
      <c r="Q375" s="454"/>
      <c r="R375" s="442"/>
      <c r="S375" s="443"/>
      <c r="T375" s="280"/>
    </row>
    <row r="376" spans="11:20" ht="20.25" x14ac:dyDescent="0.3">
      <c r="K376" s="433"/>
      <c r="L376" s="442"/>
      <c r="M376" s="455"/>
      <c r="N376" s="451"/>
      <c r="O376" s="452"/>
      <c r="P376" s="453"/>
      <c r="Q376" s="454"/>
      <c r="R376" s="442"/>
      <c r="S376" s="443"/>
      <c r="T376" s="280"/>
    </row>
    <row r="377" spans="11:20" ht="20.25" x14ac:dyDescent="0.3">
      <c r="K377" s="433"/>
      <c r="L377" s="442"/>
      <c r="M377" s="455"/>
      <c r="N377" s="451"/>
      <c r="O377" s="452"/>
      <c r="P377" s="453"/>
      <c r="Q377" s="454"/>
      <c r="R377" s="442"/>
      <c r="S377" s="443"/>
      <c r="T377" s="280"/>
    </row>
    <row r="378" spans="11:20" ht="20.25" x14ac:dyDescent="0.3">
      <c r="K378" s="433"/>
      <c r="L378" s="442"/>
      <c r="M378" s="455"/>
      <c r="N378" s="451"/>
      <c r="O378" s="452"/>
      <c r="P378" s="453"/>
      <c r="Q378" s="454"/>
      <c r="R378" s="442"/>
      <c r="S378" s="443"/>
      <c r="T378" s="280"/>
    </row>
    <row r="379" spans="11:20" ht="20.25" x14ac:dyDescent="0.3">
      <c r="K379" s="433"/>
      <c r="L379" s="442"/>
      <c r="M379" s="455"/>
      <c r="N379" s="451"/>
      <c r="O379" s="452"/>
      <c r="P379" s="453"/>
      <c r="Q379" s="454"/>
      <c r="R379" s="442"/>
      <c r="S379" s="443"/>
      <c r="T379" s="280"/>
    </row>
    <row r="380" spans="11:20" ht="20.25" x14ac:dyDescent="0.3">
      <c r="K380" s="433"/>
      <c r="L380" s="442"/>
      <c r="M380" s="455"/>
      <c r="N380" s="451"/>
      <c r="O380" s="452"/>
      <c r="P380" s="453"/>
      <c r="Q380" s="454"/>
      <c r="R380" s="442"/>
      <c r="S380" s="443"/>
      <c r="T380" s="280"/>
    </row>
    <row r="381" spans="11:20" ht="20.25" x14ac:dyDescent="0.3">
      <c r="K381" s="433"/>
      <c r="L381" s="442"/>
      <c r="M381" s="455"/>
      <c r="N381" s="451"/>
      <c r="O381" s="452"/>
      <c r="P381" s="453"/>
      <c r="Q381" s="454"/>
      <c r="R381" s="442"/>
      <c r="S381" s="443"/>
      <c r="T381" s="280"/>
    </row>
    <row r="382" spans="11:20" ht="20.25" x14ac:dyDescent="0.3">
      <c r="K382" s="433"/>
      <c r="L382" s="442"/>
      <c r="M382" s="455"/>
      <c r="N382" s="451"/>
      <c r="O382" s="452"/>
      <c r="P382" s="453"/>
      <c r="Q382" s="454"/>
      <c r="R382" s="442"/>
      <c r="S382" s="443"/>
      <c r="T382" s="280"/>
    </row>
    <row r="383" spans="11:20" ht="20.25" x14ac:dyDescent="0.3">
      <c r="K383" s="433"/>
      <c r="L383" s="442"/>
      <c r="M383" s="455"/>
      <c r="N383" s="451"/>
      <c r="O383" s="452"/>
      <c r="P383" s="453"/>
      <c r="Q383" s="454"/>
      <c r="R383" s="442"/>
      <c r="S383" s="443"/>
      <c r="T383" s="280"/>
    </row>
    <row r="384" spans="11:20" ht="20.25" x14ac:dyDescent="0.3">
      <c r="K384" s="433"/>
      <c r="L384" s="442"/>
      <c r="M384" s="455"/>
      <c r="N384" s="451"/>
      <c r="O384" s="452"/>
      <c r="P384" s="453"/>
      <c r="Q384" s="454"/>
      <c r="R384" s="442"/>
      <c r="S384" s="443"/>
      <c r="T384" s="280"/>
    </row>
    <row r="385" spans="11:20" ht="20.25" x14ac:dyDescent="0.3">
      <c r="K385" s="433"/>
      <c r="L385" s="442"/>
      <c r="M385" s="455"/>
      <c r="N385" s="451"/>
      <c r="O385" s="452"/>
      <c r="P385" s="453"/>
      <c r="Q385" s="454"/>
      <c r="R385" s="442"/>
      <c r="S385" s="443"/>
      <c r="T385" s="280"/>
    </row>
    <row r="386" spans="11:20" ht="20.25" x14ac:dyDescent="0.3">
      <c r="K386" s="433"/>
      <c r="L386" s="442"/>
      <c r="M386" s="455"/>
      <c r="N386" s="451"/>
      <c r="O386" s="452"/>
      <c r="P386" s="453"/>
      <c r="Q386" s="454"/>
      <c r="R386" s="442"/>
      <c r="S386" s="443"/>
      <c r="T386" s="280"/>
    </row>
    <row r="387" spans="11:20" ht="20.25" x14ac:dyDescent="0.3">
      <c r="K387" s="433"/>
      <c r="L387" s="442"/>
      <c r="M387" s="455"/>
      <c r="N387" s="451"/>
      <c r="O387" s="452"/>
      <c r="P387" s="453"/>
      <c r="Q387" s="454"/>
      <c r="R387" s="442"/>
      <c r="S387" s="443"/>
    </row>
    <row r="388" spans="11:20" ht="20.25" x14ac:dyDescent="0.3">
      <c r="K388" s="433"/>
      <c r="L388" s="442"/>
      <c r="M388" s="455"/>
      <c r="N388" s="451"/>
      <c r="O388" s="452"/>
      <c r="P388" s="453"/>
      <c r="Q388" s="454"/>
      <c r="R388" s="442"/>
      <c r="S388" s="443"/>
    </row>
    <row r="389" spans="11:20" ht="20.25" x14ac:dyDescent="0.3">
      <c r="K389" s="433"/>
      <c r="L389" s="442"/>
      <c r="M389" s="455"/>
      <c r="N389" s="451"/>
      <c r="O389" s="452"/>
      <c r="P389" s="453"/>
      <c r="Q389" s="454"/>
      <c r="R389" s="442"/>
      <c r="S389" s="443"/>
    </row>
    <row r="390" spans="11:20" ht="20.25" x14ac:dyDescent="0.3">
      <c r="K390" s="433"/>
      <c r="L390" s="442"/>
      <c r="M390" s="455"/>
      <c r="N390" s="451"/>
      <c r="O390" s="452"/>
      <c r="P390" s="453"/>
      <c r="Q390" s="454"/>
      <c r="R390" s="442"/>
      <c r="S390" s="443"/>
    </row>
    <row r="391" spans="11:20" ht="20.25" x14ac:dyDescent="0.3">
      <c r="K391" s="433"/>
      <c r="L391" s="442"/>
      <c r="M391" s="455"/>
      <c r="N391" s="451"/>
      <c r="O391" s="452"/>
      <c r="P391" s="453"/>
      <c r="Q391" s="454"/>
      <c r="R391" s="442"/>
      <c r="S391" s="443"/>
    </row>
    <row r="392" spans="11:20" ht="20.25" x14ac:dyDescent="0.3">
      <c r="K392" s="433"/>
      <c r="L392" s="442"/>
      <c r="M392" s="455"/>
      <c r="N392" s="451"/>
      <c r="O392" s="452"/>
      <c r="P392" s="453"/>
      <c r="Q392" s="454"/>
      <c r="R392" s="442"/>
      <c r="S392" s="443"/>
    </row>
    <row r="393" spans="11:20" ht="20.25" x14ac:dyDescent="0.3">
      <c r="K393" s="433"/>
      <c r="L393" s="442"/>
      <c r="M393" s="455"/>
      <c r="N393" s="451"/>
      <c r="O393" s="452"/>
      <c r="P393" s="453"/>
      <c r="Q393" s="454"/>
      <c r="R393" s="442"/>
      <c r="S393" s="443"/>
    </row>
    <row r="394" spans="11:20" ht="20.25" x14ac:dyDescent="0.3">
      <c r="K394" s="433"/>
      <c r="L394" s="442"/>
      <c r="M394" s="455"/>
      <c r="N394" s="451"/>
      <c r="O394" s="452"/>
      <c r="P394" s="453"/>
      <c r="Q394" s="454"/>
      <c r="R394" s="442"/>
      <c r="S394" s="443"/>
    </row>
    <row r="395" spans="11:20" ht="20.25" x14ac:dyDescent="0.3">
      <c r="K395" s="433"/>
      <c r="L395" s="442"/>
      <c r="M395" s="455"/>
      <c r="N395" s="451"/>
      <c r="O395" s="452"/>
      <c r="P395" s="453"/>
      <c r="Q395" s="454"/>
      <c r="R395" s="442"/>
      <c r="S395" s="443"/>
    </row>
    <row r="396" spans="11:20" ht="20.25" x14ac:dyDescent="0.3">
      <c r="K396" s="433"/>
      <c r="L396" s="442"/>
      <c r="M396" s="455"/>
      <c r="N396" s="451"/>
      <c r="O396" s="452"/>
      <c r="P396" s="453"/>
      <c r="Q396" s="454"/>
      <c r="R396" s="442"/>
      <c r="S396" s="443"/>
    </row>
    <row r="397" spans="11:20" ht="20.25" x14ac:dyDescent="0.3">
      <c r="K397" s="433"/>
      <c r="L397" s="442"/>
      <c r="M397" s="455"/>
      <c r="N397" s="451"/>
      <c r="O397" s="452"/>
      <c r="P397" s="453"/>
      <c r="Q397" s="454"/>
      <c r="R397" s="442"/>
      <c r="S397" s="443"/>
    </row>
    <row r="398" spans="11:20" ht="20.25" x14ac:dyDescent="0.3">
      <c r="K398" s="433"/>
      <c r="L398" s="442"/>
      <c r="M398" s="455"/>
      <c r="N398" s="451"/>
      <c r="O398" s="452"/>
      <c r="P398" s="453"/>
      <c r="Q398" s="454"/>
      <c r="R398" s="442"/>
      <c r="S398" s="443"/>
    </row>
    <row r="399" spans="11:20" ht="20.25" x14ac:dyDescent="0.3">
      <c r="K399" s="433"/>
      <c r="L399" s="442"/>
      <c r="M399" s="455"/>
      <c r="N399" s="451"/>
      <c r="O399" s="452"/>
      <c r="P399" s="453"/>
      <c r="Q399" s="454"/>
      <c r="R399" s="442"/>
      <c r="S399" s="443"/>
    </row>
    <row r="400" spans="11:20" ht="20.25" x14ac:dyDescent="0.3">
      <c r="K400" s="433"/>
      <c r="L400" s="442"/>
      <c r="M400" s="455"/>
      <c r="N400" s="451"/>
      <c r="O400" s="452"/>
      <c r="P400" s="453"/>
      <c r="Q400" s="454"/>
      <c r="R400" s="442"/>
      <c r="S400" s="443"/>
    </row>
    <row r="401" spans="11:19" ht="20.25" x14ac:dyDescent="0.3">
      <c r="K401" s="433"/>
      <c r="L401" s="442"/>
      <c r="M401" s="455"/>
      <c r="N401" s="451"/>
      <c r="O401" s="452"/>
      <c r="P401" s="453"/>
      <c r="Q401" s="454"/>
      <c r="R401" s="442"/>
      <c r="S401" s="443"/>
    </row>
    <row r="402" spans="11:19" ht="20.25" x14ac:dyDescent="0.3">
      <c r="K402" s="433"/>
      <c r="L402" s="442"/>
      <c r="M402" s="455"/>
      <c r="N402" s="451"/>
      <c r="O402" s="452"/>
      <c r="P402" s="453"/>
      <c r="Q402" s="454"/>
      <c r="R402" s="442"/>
      <c r="S402" s="443"/>
    </row>
    <row r="403" spans="11:19" ht="20.25" x14ac:dyDescent="0.3">
      <c r="K403" s="433"/>
      <c r="L403" s="442"/>
      <c r="M403" s="455"/>
      <c r="N403" s="451"/>
      <c r="O403" s="452"/>
      <c r="P403" s="453"/>
      <c r="Q403" s="454"/>
      <c r="R403" s="442"/>
      <c r="S403" s="443"/>
    </row>
    <row r="404" spans="11:19" ht="20.25" x14ac:dyDescent="0.3">
      <c r="K404" s="433"/>
      <c r="L404" s="442"/>
      <c r="M404" s="455"/>
      <c r="N404" s="451"/>
      <c r="O404" s="452"/>
      <c r="P404" s="453"/>
      <c r="Q404" s="454"/>
      <c r="R404" s="442"/>
      <c r="S404" s="443"/>
    </row>
    <row r="405" spans="11:19" ht="20.25" x14ac:dyDescent="0.3">
      <c r="K405" s="433"/>
      <c r="L405" s="442"/>
      <c r="M405" s="455"/>
      <c r="N405" s="451"/>
      <c r="O405" s="452"/>
      <c r="P405" s="453"/>
      <c r="Q405" s="454"/>
      <c r="R405" s="442"/>
      <c r="S405" s="443"/>
    </row>
    <row r="406" spans="11:19" ht="20.25" x14ac:dyDescent="0.3">
      <c r="K406" s="433"/>
      <c r="L406" s="442"/>
      <c r="M406" s="455"/>
      <c r="N406" s="451"/>
      <c r="O406" s="452"/>
      <c r="P406" s="453"/>
      <c r="Q406" s="454"/>
      <c r="R406" s="442"/>
      <c r="S406" s="443"/>
    </row>
    <row r="407" spans="11:19" ht="20.25" x14ac:dyDescent="0.3">
      <c r="K407" s="433"/>
      <c r="L407" s="442"/>
      <c r="M407" s="455"/>
      <c r="N407" s="451"/>
      <c r="O407" s="452"/>
      <c r="P407" s="453"/>
      <c r="Q407" s="454"/>
      <c r="R407" s="442"/>
      <c r="S407" s="443"/>
    </row>
    <row r="408" spans="11:19" ht="20.25" x14ac:dyDescent="0.3">
      <c r="K408" s="433"/>
      <c r="L408" s="442"/>
      <c r="M408" s="455"/>
      <c r="N408" s="451"/>
      <c r="O408" s="452"/>
      <c r="P408" s="453"/>
      <c r="Q408" s="454"/>
      <c r="R408" s="442"/>
      <c r="S408" s="443"/>
    </row>
    <row r="409" spans="11:19" ht="20.25" x14ac:dyDescent="0.3">
      <c r="K409" s="433"/>
      <c r="L409" s="442"/>
      <c r="M409" s="455"/>
      <c r="N409" s="451"/>
      <c r="O409" s="452"/>
      <c r="P409" s="453"/>
      <c r="Q409" s="454"/>
      <c r="R409" s="442"/>
      <c r="S409" s="443"/>
    </row>
    <row r="410" spans="11:19" ht="20.25" x14ac:dyDescent="0.3">
      <c r="K410" s="433"/>
      <c r="L410" s="442"/>
      <c r="M410" s="455"/>
      <c r="N410" s="451"/>
      <c r="O410" s="452"/>
      <c r="P410" s="453"/>
      <c r="Q410" s="454"/>
      <c r="R410" s="442"/>
      <c r="S410" s="443"/>
    </row>
    <row r="411" spans="11:19" ht="20.25" x14ac:dyDescent="0.3">
      <c r="K411" s="433"/>
      <c r="L411" s="442"/>
      <c r="M411" s="455"/>
      <c r="N411" s="451"/>
      <c r="O411" s="452"/>
      <c r="P411" s="453"/>
      <c r="Q411" s="454"/>
      <c r="R411" s="442"/>
      <c r="S411" s="443"/>
    </row>
    <row r="412" spans="11:19" ht="20.25" x14ac:dyDescent="0.3">
      <c r="K412" s="433"/>
      <c r="L412" s="442"/>
      <c r="M412" s="455"/>
      <c r="N412" s="451"/>
      <c r="O412" s="452"/>
      <c r="P412" s="453"/>
      <c r="Q412" s="454"/>
      <c r="R412" s="442"/>
      <c r="S412" s="443"/>
    </row>
    <row r="413" spans="11:19" ht="20.25" x14ac:dyDescent="0.3">
      <c r="K413" s="433"/>
      <c r="L413" s="442"/>
      <c r="M413" s="455"/>
      <c r="N413" s="451"/>
      <c r="O413" s="452"/>
      <c r="P413" s="453"/>
      <c r="Q413" s="454"/>
      <c r="R413" s="442"/>
      <c r="S413" s="443"/>
    </row>
    <row r="414" spans="11:19" ht="20.25" x14ac:dyDescent="0.3">
      <c r="K414" s="433"/>
      <c r="L414" s="442"/>
      <c r="M414" s="455"/>
      <c r="N414" s="451"/>
      <c r="O414" s="452"/>
      <c r="P414" s="453"/>
      <c r="Q414" s="454"/>
      <c r="R414" s="442"/>
      <c r="S414" s="443"/>
    </row>
    <row r="415" spans="11:19" ht="20.25" x14ac:dyDescent="0.3">
      <c r="K415" s="433"/>
      <c r="L415" s="442"/>
      <c r="M415" s="455"/>
      <c r="N415" s="451"/>
      <c r="O415" s="452"/>
      <c r="P415" s="453"/>
      <c r="Q415" s="454"/>
      <c r="R415" s="442"/>
      <c r="S415" s="443"/>
    </row>
    <row r="416" spans="11:19" ht="20.25" x14ac:dyDescent="0.3">
      <c r="K416" s="433"/>
      <c r="L416" s="442"/>
      <c r="M416" s="455"/>
      <c r="N416" s="451"/>
      <c r="O416" s="452"/>
      <c r="P416" s="453"/>
      <c r="Q416" s="454"/>
      <c r="R416" s="442"/>
      <c r="S416" s="443"/>
    </row>
    <row r="417" spans="11:19" ht="20.25" x14ac:dyDescent="0.3">
      <c r="K417" s="433"/>
      <c r="L417" s="442"/>
      <c r="M417" s="455"/>
      <c r="N417" s="451"/>
      <c r="O417" s="452"/>
      <c r="P417" s="453"/>
      <c r="Q417" s="454"/>
      <c r="R417" s="442"/>
      <c r="S417" s="443"/>
    </row>
    <row r="418" spans="11:19" ht="20.25" x14ac:dyDescent="0.3">
      <c r="K418" s="433"/>
      <c r="L418" s="442"/>
      <c r="M418" s="455"/>
      <c r="N418" s="451"/>
      <c r="O418" s="452"/>
      <c r="P418" s="453"/>
      <c r="Q418" s="454"/>
      <c r="R418" s="442"/>
      <c r="S418" s="443"/>
    </row>
    <row r="419" spans="11:19" ht="20.25" x14ac:dyDescent="0.3">
      <c r="K419" s="433"/>
      <c r="L419" s="442"/>
      <c r="M419" s="455"/>
      <c r="N419" s="451"/>
      <c r="O419" s="452"/>
      <c r="P419" s="453"/>
      <c r="Q419" s="454"/>
      <c r="R419" s="442"/>
      <c r="S419" s="443"/>
    </row>
    <row r="420" spans="11:19" ht="20.25" x14ac:dyDescent="0.3">
      <c r="K420" s="433"/>
      <c r="L420" s="442"/>
      <c r="M420" s="455"/>
      <c r="N420" s="451"/>
      <c r="O420" s="452"/>
      <c r="P420" s="453"/>
      <c r="Q420" s="454"/>
      <c r="R420" s="442"/>
      <c r="S420" s="443"/>
    </row>
    <row r="421" spans="11:19" ht="20.25" x14ac:dyDescent="0.3">
      <c r="K421" s="433"/>
      <c r="L421" s="442"/>
      <c r="M421" s="455"/>
      <c r="N421" s="451"/>
      <c r="O421" s="452"/>
      <c r="P421" s="453"/>
      <c r="Q421" s="454"/>
      <c r="R421" s="442"/>
      <c r="S421" s="443"/>
    </row>
    <row r="422" spans="11:19" ht="20.25" x14ac:dyDescent="0.3">
      <c r="K422" s="433"/>
      <c r="L422" s="442"/>
      <c r="M422" s="455"/>
      <c r="N422" s="451"/>
      <c r="O422" s="452"/>
      <c r="P422" s="453"/>
      <c r="Q422" s="454"/>
      <c r="R422" s="442"/>
      <c r="S422" s="443"/>
    </row>
    <row r="423" spans="11:19" ht="20.25" x14ac:dyDescent="0.3">
      <c r="K423" s="433"/>
      <c r="L423" s="442"/>
      <c r="M423" s="455"/>
      <c r="N423" s="451"/>
      <c r="O423" s="452"/>
      <c r="P423" s="453"/>
      <c r="Q423" s="454"/>
      <c r="R423" s="442"/>
      <c r="S423" s="443"/>
    </row>
    <row r="424" spans="11:19" ht="20.25" x14ac:dyDescent="0.3">
      <c r="K424" s="433"/>
      <c r="L424" s="442"/>
      <c r="M424" s="455"/>
      <c r="N424" s="451"/>
      <c r="O424" s="452"/>
      <c r="P424" s="453"/>
      <c r="Q424" s="454"/>
      <c r="R424" s="442"/>
      <c r="S424" s="443"/>
    </row>
    <row r="425" spans="11:19" ht="20.25" x14ac:dyDescent="0.3">
      <c r="K425" s="433"/>
      <c r="L425" s="442"/>
      <c r="M425" s="455"/>
      <c r="N425" s="451"/>
      <c r="O425" s="452"/>
      <c r="P425" s="453"/>
      <c r="Q425" s="454"/>
      <c r="R425" s="442"/>
      <c r="S425" s="443"/>
    </row>
    <row r="426" spans="11:19" ht="20.25" x14ac:dyDescent="0.3">
      <c r="K426" s="433"/>
      <c r="L426" s="442"/>
      <c r="M426" s="455"/>
      <c r="N426" s="451"/>
      <c r="O426" s="452"/>
      <c r="P426" s="453"/>
      <c r="Q426" s="454"/>
      <c r="R426" s="442"/>
      <c r="S426" s="443"/>
    </row>
    <row r="427" spans="11:19" ht="20.25" x14ac:dyDescent="0.3">
      <c r="K427" s="433"/>
      <c r="L427" s="442"/>
      <c r="M427" s="455"/>
      <c r="N427" s="451"/>
      <c r="O427" s="452"/>
      <c r="P427" s="453"/>
      <c r="Q427" s="454"/>
      <c r="R427" s="442"/>
      <c r="S427" s="443"/>
    </row>
    <row r="428" spans="11:19" ht="20.25" x14ac:dyDescent="0.3">
      <c r="K428" s="433"/>
      <c r="L428" s="442"/>
      <c r="M428" s="455"/>
      <c r="N428" s="451"/>
      <c r="O428" s="452"/>
      <c r="P428" s="453"/>
      <c r="Q428" s="454"/>
      <c r="R428" s="442"/>
      <c r="S428" s="443"/>
    </row>
    <row r="429" spans="11:19" ht="20.25" x14ac:dyDescent="0.3">
      <c r="K429" s="433"/>
      <c r="L429" s="442"/>
      <c r="M429" s="455"/>
      <c r="N429" s="451"/>
      <c r="O429" s="452"/>
      <c r="P429" s="453"/>
      <c r="Q429" s="454"/>
      <c r="R429" s="442"/>
      <c r="S429" s="443"/>
    </row>
    <row r="430" spans="11:19" ht="20.25" x14ac:dyDescent="0.3">
      <c r="K430" s="433"/>
      <c r="L430" s="442"/>
      <c r="M430" s="455"/>
      <c r="N430" s="451"/>
      <c r="O430" s="452"/>
      <c r="P430" s="453"/>
      <c r="Q430" s="454"/>
      <c r="R430" s="442"/>
      <c r="S430" s="443"/>
    </row>
    <row r="431" spans="11:19" ht="20.25" x14ac:dyDescent="0.3">
      <c r="K431" s="433"/>
      <c r="L431" s="442"/>
      <c r="M431" s="455"/>
      <c r="N431" s="451"/>
      <c r="O431" s="452"/>
      <c r="P431" s="453"/>
      <c r="Q431" s="454"/>
      <c r="R431" s="442"/>
      <c r="S431" s="443"/>
    </row>
    <row r="432" spans="11:19" ht="20.25" x14ac:dyDescent="0.3">
      <c r="K432" s="433"/>
      <c r="L432" s="442"/>
      <c r="M432" s="455"/>
      <c r="N432" s="451"/>
      <c r="O432" s="452"/>
      <c r="P432" s="453"/>
      <c r="Q432" s="454"/>
      <c r="R432" s="442"/>
      <c r="S432" s="443"/>
    </row>
    <row r="433" spans="11:19" ht="20.25" x14ac:dyDescent="0.3">
      <c r="K433" s="433"/>
      <c r="L433" s="442"/>
      <c r="M433" s="455"/>
      <c r="N433" s="451"/>
      <c r="O433" s="452"/>
      <c r="P433" s="453"/>
      <c r="Q433" s="454"/>
      <c r="R433" s="442"/>
      <c r="S433" s="443"/>
    </row>
    <row r="434" spans="11:19" ht="20.25" x14ac:dyDescent="0.3">
      <c r="K434" s="433"/>
      <c r="L434" s="442"/>
      <c r="M434" s="455"/>
      <c r="N434" s="451"/>
      <c r="O434" s="452"/>
      <c r="P434" s="453"/>
      <c r="Q434" s="454"/>
      <c r="R434" s="442"/>
      <c r="S434" s="443"/>
    </row>
    <row r="435" spans="11:19" ht="20.25" x14ac:dyDescent="0.3">
      <c r="K435" s="433"/>
      <c r="L435" s="442"/>
      <c r="M435" s="455"/>
      <c r="N435" s="451"/>
      <c r="O435" s="452"/>
      <c r="P435" s="453"/>
      <c r="Q435" s="454"/>
      <c r="R435" s="442"/>
      <c r="S435" s="443"/>
    </row>
    <row r="436" spans="11:19" ht="20.25" x14ac:dyDescent="0.3">
      <c r="K436" s="433"/>
      <c r="L436" s="442"/>
      <c r="M436" s="455"/>
      <c r="N436" s="451"/>
      <c r="O436" s="452"/>
      <c r="P436" s="453"/>
      <c r="Q436" s="454"/>
      <c r="R436" s="442"/>
      <c r="S436" s="443"/>
    </row>
    <row r="437" spans="11:19" ht="20.25" x14ac:dyDescent="0.3">
      <c r="K437" s="433"/>
      <c r="L437" s="442"/>
      <c r="M437" s="455"/>
      <c r="N437" s="451"/>
      <c r="O437" s="452"/>
      <c r="P437" s="453"/>
      <c r="Q437" s="454"/>
      <c r="R437" s="442"/>
      <c r="S437" s="443"/>
    </row>
    <row r="438" spans="11:19" ht="20.25" x14ac:dyDescent="0.3">
      <c r="K438" s="433"/>
      <c r="L438" s="442"/>
      <c r="M438" s="455"/>
      <c r="N438" s="451"/>
      <c r="O438" s="452"/>
      <c r="P438" s="453"/>
      <c r="Q438" s="454"/>
      <c r="R438" s="442"/>
      <c r="S438" s="443"/>
    </row>
    <row r="439" spans="11:19" ht="20.25" x14ac:dyDescent="0.3">
      <c r="K439" s="433"/>
      <c r="L439" s="442"/>
      <c r="M439" s="455"/>
      <c r="N439" s="451"/>
      <c r="O439" s="452"/>
      <c r="P439" s="453"/>
      <c r="Q439" s="454"/>
      <c r="R439" s="442"/>
      <c r="S439" s="443"/>
    </row>
    <row r="440" spans="11:19" ht="20.25" x14ac:dyDescent="0.3">
      <c r="K440" s="433"/>
      <c r="L440" s="442"/>
      <c r="M440" s="455"/>
      <c r="N440" s="451"/>
      <c r="O440" s="452"/>
      <c r="P440" s="453"/>
      <c r="Q440" s="454"/>
      <c r="R440" s="442"/>
      <c r="S440" s="443"/>
    </row>
    <row r="441" spans="11:19" ht="15.75" customHeight="1" x14ac:dyDescent="0.3">
      <c r="K441" s="433"/>
      <c r="L441" s="442"/>
      <c r="M441" s="455"/>
      <c r="N441" s="451"/>
      <c r="O441" s="452"/>
      <c r="P441" s="453"/>
      <c r="Q441" s="454"/>
      <c r="R441" s="442"/>
      <c r="S441" s="443"/>
    </row>
    <row r="442" spans="11:19" ht="20.25" x14ac:dyDescent="0.3">
      <c r="K442" s="433"/>
      <c r="L442" s="442"/>
      <c r="M442" s="455"/>
      <c r="N442" s="451"/>
      <c r="O442" s="452"/>
      <c r="P442" s="453"/>
      <c r="Q442" s="454"/>
      <c r="R442" s="442"/>
      <c r="S442" s="443"/>
    </row>
    <row r="443" spans="11:19" ht="20.25" x14ac:dyDescent="0.3">
      <c r="K443" s="433"/>
      <c r="L443" s="442"/>
      <c r="M443" s="455"/>
      <c r="N443" s="451"/>
      <c r="O443" s="452"/>
      <c r="P443" s="453"/>
      <c r="Q443" s="454"/>
      <c r="R443" s="442"/>
      <c r="S443" s="443"/>
    </row>
    <row r="444" spans="11:19" ht="20.25" x14ac:dyDescent="0.3">
      <c r="K444" s="433"/>
      <c r="L444" s="442"/>
      <c r="M444" s="455"/>
      <c r="N444" s="451"/>
      <c r="O444" s="452"/>
      <c r="P444" s="453"/>
      <c r="Q444" s="454"/>
      <c r="R444" s="442"/>
      <c r="S444" s="443"/>
    </row>
    <row r="445" spans="11:19" ht="20.25" x14ac:dyDescent="0.3">
      <c r="K445" s="433"/>
      <c r="L445" s="442"/>
      <c r="M445" s="455"/>
      <c r="N445" s="451"/>
      <c r="O445" s="452"/>
      <c r="P445" s="453"/>
      <c r="Q445" s="454"/>
      <c r="R445" s="442"/>
      <c r="S445" s="443"/>
    </row>
    <row r="446" spans="11:19" ht="20.25" x14ac:dyDescent="0.3">
      <c r="K446" s="433"/>
      <c r="L446" s="442"/>
      <c r="M446" s="455"/>
      <c r="N446" s="451"/>
      <c r="O446" s="452"/>
      <c r="P446" s="453"/>
      <c r="Q446" s="454"/>
      <c r="R446" s="442"/>
      <c r="S446" s="443"/>
    </row>
    <row r="447" spans="11:19" ht="20.25" x14ac:dyDescent="0.3">
      <c r="K447" s="433"/>
      <c r="L447" s="442"/>
      <c r="M447" s="455"/>
      <c r="N447" s="451"/>
      <c r="O447" s="452"/>
      <c r="P447" s="453"/>
      <c r="Q447" s="454"/>
      <c r="R447" s="442"/>
      <c r="S447" s="443"/>
    </row>
    <row r="448" spans="11:19" ht="20.25" x14ac:dyDescent="0.3">
      <c r="K448" s="433"/>
      <c r="L448" s="442"/>
      <c r="M448" s="455"/>
      <c r="N448" s="451"/>
      <c r="O448" s="452"/>
      <c r="P448" s="453"/>
      <c r="Q448" s="454"/>
      <c r="R448" s="442"/>
      <c r="S448" s="443"/>
    </row>
    <row r="449" spans="8:21" ht="20.25" x14ac:dyDescent="0.3">
      <c r="K449" s="433"/>
      <c r="L449" s="442"/>
      <c r="M449" s="455"/>
      <c r="N449" s="451"/>
      <c r="O449" s="452"/>
      <c r="P449" s="453"/>
      <c r="Q449" s="454"/>
      <c r="R449" s="442"/>
      <c r="S449" s="443"/>
    </row>
    <row r="450" spans="8:21" ht="20.25" x14ac:dyDescent="0.3">
      <c r="K450" s="433"/>
      <c r="L450" s="442"/>
      <c r="M450" s="455"/>
      <c r="N450" s="451"/>
      <c r="O450" s="452"/>
      <c r="P450" s="453"/>
      <c r="Q450" s="454"/>
      <c r="R450" s="442"/>
      <c r="S450" s="443"/>
    </row>
    <row r="451" spans="8:21" ht="20.25" x14ac:dyDescent="0.3">
      <c r="K451" s="433"/>
      <c r="L451" s="442"/>
      <c r="M451" s="455"/>
      <c r="N451" s="451"/>
      <c r="O451" s="452"/>
      <c r="P451" s="453"/>
      <c r="Q451" s="454"/>
      <c r="R451" s="442"/>
      <c r="S451" s="443"/>
    </row>
    <row r="452" spans="8:21" ht="20.25" x14ac:dyDescent="0.3">
      <c r="K452" s="433"/>
      <c r="L452" s="442"/>
      <c r="M452" s="455"/>
      <c r="N452" s="451"/>
      <c r="O452" s="452"/>
      <c r="P452" s="453"/>
      <c r="Q452" s="454"/>
      <c r="R452" s="442"/>
      <c r="S452" s="443"/>
    </row>
    <row r="453" spans="8:21" ht="20.25" x14ac:dyDescent="0.3">
      <c r="K453" s="433"/>
      <c r="L453" s="442"/>
      <c r="M453" s="455"/>
      <c r="N453" s="451"/>
      <c r="O453" s="452"/>
      <c r="P453" s="453"/>
      <c r="Q453" s="454"/>
      <c r="R453" s="442"/>
      <c r="S453" s="443"/>
    </row>
    <row r="454" spans="8:21" ht="20.25" x14ac:dyDescent="0.3">
      <c r="K454" s="433"/>
      <c r="L454" s="442"/>
      <c r="M454" s="455"/>
      <c r="N454" s="451"/>
      <c r="O454" s="452"/>
      <c r="P454" s="453"/>
      <c r="Q454" s="454"/>
      <c r="R454" s="442"/>
      <c r="S454" s="443"/>
    </row>
    <row r="455" spans="8:21" ht="20.25" x14ac:dyDescent="0.3">
      <c r="K455" s="433"/>
      <c r="L455" s="442"/>
      <c r="M455" s="455"/>
      <c r="N455" s="451"/>
      <c r="O455" s="452"/>
      <c r="P455" s="453"/>
      <c r="Q455" s="454"/>
      <c r="R455" s="442"/>
      <c r="S455" s="443"/>
    </row>
    <row r="456" spans="8:21" ht="20.25" x14ac:dyDescent="0.3">
      <c r="K456" s="433"/>
      <c r="L456" s="442"/>
      <c r="M456" s="455"/>
      <c r="N456" s="451"/>
      <c r="O456" s="452"/>
      <c r="P456" s="453"/>
      <c r="Q456" s="454"/>
      <c r="R456" s="442"/>
      <c r="S456" s="443"/>
    </row>
    <row r="457" spans="8:21" ht="20.25" x14ac:dyDescent="0.3">
      <c r="K457" s="433"/>
      <c r="L457" s="442"/>
      <c r="M457" s="455"/>
      <c r="N457" s="451"/>
      <c r="O457" s="452"/>
      <c r="P457" s="453"/>
      <c r="Q457" s="454"/>
      <c r="R457" s="442"/>
      <c r="S457" s="443"/>
    </row>
    <row r="458" spans="8:21" ht="20.25" x14ac:dyDescent="0.3">
      <c r="K458" s="433"/>
      <c r="L458" s="442"/>
      <c r="M458" s="455"/>
      <c r="N458" s="451"/>
      <c r="O458" s="452"/>
      <c r="P458" s="453"/>
      <c r="Q458" s="454"/>
      <c r="R458" s="442"/>
      <c r="S458" s="443"/>
    </row>
    <row r="459" spans="8:21" ht="20.25" x14ac:dyDescent="0.3">
      <c r="H459" s="292"/>
      <c r="I459" s="293"/>
      <c r="K459" s="433"/>
      <c r="L459" s="442"/>
      <c r="M459" s="455"/>
      <c r="N459" s="451"/>
      <c r="O459" s="452"/>
      <c r="P459" s="453"/>
      <c r="Q459" s="454"/>
      <c r="R459" s="442"/>
      <c r="S459" s="443"/>
      <c r="T459" s="294"/>
      <c r="U459" s="295"/>
    </row>
    <row r="460" spans="8:21" ht="20.25" x14ac:dyDescent="0.3">
      <c r="H460" s="292"/>
      <c r="I460" s="293"/>
      <c r="K460" s="433"/>
      <c r="L460" s="442"/>
      <c r="M460" s="455"/>
      <c r="N460" s="451"/>
      <c r="O460" s="452"/>
      <c r="P460" s="453"/>
      <c r="Q460" s="454"/>
      <c r="R460" s="442"/>
      <c r="S460" s="443"/>
      <c r="T460" s="294"/>
      <c r="U460" s="295"/>
    </row>
    <row r="461" spans="8:21" ht="20.25" x14ac:dyDescent="0.3">
      <c r="H461" s="296"/>
      <c r="I461" s="293"/>
      <c r="K461" s="433"/>
      <c r="L461" s="442"/>
      <c r="M461" s="455"/>
      <c r="N461" s="451"/>
      <c r="O461" s="452"/>
      <c r="P461" s="453"/>
      <c r="Q461" s="454"/>
      <c r="R461" s="442"/>
      <c r="S461" s="443"/>
      <c r="T461" s="294"/>
      <c r="U461" s="295"/>
    </row>
    <row r="462" spans="8:21" ht="20.25" x14ac:dyDescent="0.3">
      <c r="H462" s="296"/>
      <c r="I462" s="293"/>
      <c r="K462" s="433"/>
      <c r="L462" s="442"/>
      <c r="M462" s="455"/>
      <c r="N462" s="451"/>
      <c r="O462" s="452"/>
      <c r="P462" s="453"/>
      <c r="Q462" s="454"/>
      <c r="R462" s="442"/>
      <c r="S462" s="443"/>
      <c r="T462" s="294"/>
      <c r="U462" s="295"/>
    </row>
    <row r="463" spans="8:21" ht="20.25" x14ac:dyDescent="0.3">
      <c r="H463" s="296"/>
      <c r="I463" s="293"/>
      <c r="K463" s="433"/>
      <c r="L463" s="442"/>
      <c r="M463" s="455"/>
      <c r="N463" s="451"/>
      <c r="O463" s="452"/>
      <c r="P463" s="453"/>
      <c r="Q463" s="454"/>
      <c r="R463" s="442"/>
      <c r="S463" s="443"/>
      <c r="T463" s="294"/>
      <c r="U463" s="295"/>
    </row>
    <row r="464" spans="8:21" ht="20.25" x14ac:dyDescent="0.3">
      <c r="H464" s="296"/>
      <c r="I464" s="293"/>
      <c r="K464" s="433"/>
      <c r="L464" s="442"/>
      <c r="M464" s="455"/>
      <c r="N464" s="451"/>
      <c r="O464" s="452"/>
      <c r="P464" s="453"/>
      <c r="Q464" s="454"/>
      <c r="R464" s="442"/>
      <c r="S464" s="443"/>
      <c r="T464" s="294"/>
      <c r="U464" s="295"/>
    </row>
    <row r="465" spans="8:21" ht="20.25" x14ac:dyDescent="0.3">
      <c r="H465" s="296"/>
      <c r="I465" s="293"/>
      <c r="K465" s="433"/>
      <c r="L465" s="442"/>
      <c r="M465" s="455"/>
      <c r="N465" s="451"/>
      <c r="O465" s="452"/>
      <c r="P465" s="453"/>
      <c r="Q465" s="454"/>
      <c r="R465" s="442"/>
      <c r="S465" s="443"/>
      <c r="T465" s="294"/>
      <c r="U465" s="295"/>
    </row>
    <row r="466" spans="8:21" ht="20.25" x14ac:dyDescent="0.3">
      <c r="H466" s="296"/>
      <c r="I466" s="293"/>
      <c r="K466" s="433"/>
      <c r="L466" s="442"/>
      <c r="M466" s="455"/>
      <c r="N466" s="451"/>
      <c r="O466" s="452"/>
      <c r="P466" s="453"/>
      <c r="Q466" s="454"/>
      <c r="R466" s="442"/>
      <c r="S466" s="443"/>
      <c r="T466" s="294"/>
      <c r="U466" s="295"/>
    </row>
    <row r="467" spans="8:21" ht="20.25" x14ac:dyDescent="0.3">
      <c r="H467" s="296"/>
      <c r="I467" s="293"/>
      <c r="K467" s="433"/>
      <c r="L467" s="442"/>
      <c r="M467" s="455"/>
      <c r="N467" s="451"/>
      <c r="O467" s="452"/>
      <c r="P467" s="453"/>
      <c r="Q467" s="454"/>
      <c r="R467" s="442"/>
      <c r="S467" s="443"/>
      <c r="T467" s="294"/>
      <c r="U467" s="295"/>
    </row>
    <row r="468" spans="8:21" ht="20.25" x14ac:dyDescent="0.3">
      <c r="H468" s="296"/>
      <c r="I468" s="293"/>
      <c r="K468" s="433"/>
      <c r="L468" s="442"/>
      <c r="M468" s="455"/>
      <c r="N468" s="451"/>
      <c r="O468" s="452"/>
      <c r="P468" s="453"/>
      <c r="Q468" s="454"/>
      <c r="R468" s="442"/>
      <c r="S468" s="443"/>
      <c r="T468" s="294"/>
      <c r="U468" s="295"/>
    </row>
    <row r="469" spans="8:21" ht="20.25" x14ac:dyDescent="0.3">
      <c r="H469" s="296"/>
      <c r="I469" s="293"/>
      <c r="K469" s="433"/>
      <c r="L469" s="442"/>
      <c r="M469" s="455"/>
      <c r="N469" s="451"/>
      <c r="O469" s="452"/>
      <c r="P469" s="453"/>
      <c r="Q469" s="454"/>
      <c r="R469" s="442"/>
      <c r="S469" s="443"/>
      <c r="T469" s="294"/>
      <c r="U469" s="295"/>
    </row>
    <row r="470" spans="8:21" ht="20.25" x14ac:dyDescent="0.3">
      <c r="H470" s="296"/>
      <c r="I470" s="293"/>
      <c r="K470" s="433"/>
      <c r="L470" s="442"/>
      <c r="M470" s="455"/>
      <c r="N470" s="451"/>
      <c r="O470" s="452"/>
      <c r="P470" s="453"/>
      <c r="Q470" s="454"/>
      <c r="R470" s="442"/>
      <c r="S470" s="443"/>
      <c r="T470" s="294"/>
      <c r="U470" s="295"/>
    </row>
    <row r="471" spans="8:21" ht="20.25" x14ac:dyDescent="0.3">
      <c r="H471" s="296"/>
      <c r="I471" s="293"/>
      <c r="K471" s="433"/>
      <c r="L471" s="442"/>
      <c r="M471" s="455"/>
      <c r="N471" s="451"/>
      <c r="O471" s="452"/>
      <c r="P471" s="453"/>
      <c r="Q471" s="454"/>
      <c r="R471" s="442"/>
      <c r="S471" s="443"/>
      <c r="T471" s="294"/>
      <c r="U471" s="295"/>
    </row>
    <row r="472" spans="8:21" ht="20.25" x14ac:dyDescent="0.3">
      <c r="H472" s="296"/>
      <c r="I472" s="293"/>
      <c r="K472" s="433"/>
      <c r="L472" s="442"/>
      <c r="M472" s="455"/>
      <c r="N472" s="451"/>
      <c r="O472" s="452"/>
      <c r="P472" s="453"/>
      <c r="Q472" s="454"/>
      <c r="R472" s="442"/>
      <c r="S472" s="443"/>
      <c r="T472" s="294"/>
      <c r="U472" s="295"/>
    </row>
    <row r="473" spans="8:21" ht="20.25" x14ac:dyDescent="0.3">
      <c r="H473" s="296"/>
      <c r="I473" s="293"/>
      <c r="K473" s="433"/>
      <c r="L473" s="442"/>
      <c r="M473" s="455"/>
      <c r="N473" s="451"/>
      <c r="O473" s="452"/>
      <c r="P473" s="453"/>
      <c r="Q473" s="454"/>
      <c r="R473" s="442"/>
      <c r="S473" s="443"/>
      <c r="T473" s="294"/>
      <c r="U473" s="295"/>
    </row>
    <row r="474" spans="8:21" ht="20.25" x14ac:dyDescent="0.3">
      <c r="H474" s="296"/>
      <c r="I474" s="293"/>
      <c r="K474" s="433"/>
      <c r="L474" s="442"/>
      <c r="M474" s="455"/>
      <c r="N474" s="451"/>
      <c r="O474" s="452"/>
      <c r="P474" s="453"/>
      <c r="Q474" s="454"/>
      <c r="R474" s="442"/>
      <c r="S474" s="443"/>
      <c r="T474" s="294"/>
      <c r="U474" s="295"/>
    </row>
    <row r="475" spans="8:21" ht="20.25" x14ac:dyDescent="0.3">
      <c r="H475" s="296"/>
      <c r="I475" s="293"/>
      <c r="K475" s="433"/>
      <c r="L475" s="442"/>
      <c r="M475" s="455"/>
      <c r="N475" s="451"/>
      <c r="O475" s="452"/>
      <c r="P475" s="453"/>
      <c r="Q475" s="454"/>
      <c r="R475" s="442"/>
      <c r="S475" s="443"/>
      <c r="T475" s="294"/>
      <c r="U475" s="295"/>
    </row>
    <row r="476" spans="8:21" ht="20.25" x14ac:dyDescent="0.3">
      <c r="H476" s="296"/>
      <c r="I476" s="293"/>
      <c r="K476" s="433"/>
      <c r="L476" s="442"/>
      <c r="M476" s="455"/>
      <c r="N476" s="451"/>
      <c r="O476" s="452"/>
      <c r="P476" s="453"/>
      <c r="Q476" s="454"/>
      <c r="R476" s="442"/>
      <c r="S476" s="443"/>
      <c r="T476" s="294"/>
      <c r="U476" s="295"/>
    </row>
    <row r="477" spans="8:21" ht="20.25" x14ac:dyDescent="0.3">
      <c r="H477" s="296"/>
      <c r="I477" s="293"/>
      <c r="K477" s="433"/>
      <c r="L477" s="442"/>
      <c r="M477" s="455"/>
      <c r="N477" s="451"/>
      <c r="O477" s="452"/>
      <c r="P477" s="453"/>
      <c r="Q477" s="454"/>
      <c r="R477" s="442"/>
      <c r="S477" s="443"/>
      <c r="T477" s="294"/>
      <c r="U477" s="295"/>
    </row>
    <row r="478" spans="8:21" ht="20.25" x14ac:dyDescent="0.3">
      <c r="H478" s="296"/>
      <c r="I478" s="293"/>
      <c r="K478" s="433"/>
      <c r="L478" s="442"/>
      <c r="M478" s="455"/>
      <c r="N478" s="451"/>
      <c r="O478" s="452"/>
      <c r="P478" s="453"/>
      <c r="Q478" s="454"/>
      <c r="R478" s="442"/>
      <c r="S478" s="443"/>
      <c r="T478" s="294"/>
      <c r="U478" s="295"/>
    </row>
    <row r="479" spans="8:21" ht="20.25" x14ac:dyDescent="0.3">
      <c r="H479" s="296"/>
      <c r="I479" s="293"/>
      <c r="K479" s="433"/>
      <c r="L479" s="442"/>
      <c r="M479" s="455"/>
      <c r="N479" s="451"/>
      <c r="O479" s="452"/>
      <c r="P479" s="453"/>
      <c r="Q479" s="454"/>
      <c r="R479" s="442"/>
      <c r="S479" s="443"/>
      <c r="T479" s="294"/>
      <c r="U479" s="295"/>
    </row>
    <row r="480" spans="8:21" ht="20.25" x14ac:dyDescent="0.3">
      <c r="H480" s="296"/>
      <c r="I480" s="293"/>
      <c r="K480" s="433"/>
      <c r="L480" s="442"/>
      <c r="M480" s="455"/>
      <c r="N480" s="451"/>
      <c r="O480" s="452"/>
      <c r="P480" s="453"/>
      <c r="Q480" s="454"/>
      <c r="R480" s="442"/>
      <c r="S480" s="443"/>
      <c r="T480" s="294"/>
      <c r="U480" s="295"/>
    </row>
    <row r="481" spans="8:21" ht="20.25" x14ac:dyDescent="0.3">
      <c r="H481" s="296"/>
      <c r="I481" s="293"/>
      <c r="K481" s="433"/>
      <c r="L481" s="442"/>
      <c r="M481" s="455"/>
      <c r="N481" s="451"/>
      <c r="O481" s="452"/>
      <c r="P481" s="453"/>
      <c r="Q481" s="454"/>
      <c r="R481" s="442"/>
      <c r="S481" s="443"/>
      <c r="T481" s="294"/>
      <c r="U481" s="295"/>
    </row>
    <row r="482" spans="8:21" ht="20.25" x14ac:dyDescent="0.3">
      <c r="H482" s="296"/>
      <c r="I482" s="293"/>
      <c r="K482" s="433"/>
      <c r="L482" s="442"/>
      <c r="M482" s="455"/>
      <c r="N482" s="451"/>
      <c r="O482" s="452"/>
      <c r="P482" s="453"/>
      <c r="Q482" s="454"/>
      <c r="R482" s="442"/>
      <c r="S482" s="443"/>
      <c r="T482" s="294"/>
      <c r="U482" s="295"/>
    </row>
    <row r="483" spans="8:21" ht="20.25" x14ac:dyDescent="0.3">
      <c r="H483" s="296"/>
      <c r="I483" s="293"/>
      <c r="K483" s="433"/>
      <c r="L483" s="442"/>
      <c r="M483" s="455"/>
      <c r="N483" s="451"/>
      <c r="O483" s="452"/>
      <c r="P483" s="453"/>
      <c r="Q483" s="454"/>
      <c r="R483" s="442"/>
      <c r="S483" s="443"/>
      <c r="T483" s="294"/>
      <c r="U483" s="295"/>
    </row>
    <row r="484" spans="8:21" ht="20.25" x14ac:dyDescent="0.3">
      <c r="H484" s="296"/>
      <c r="I484" s="293"/>
      <c r="K484" s="433"/>
      <c r="L484" s="442"/>
      <c r="M484" s="455"/>
      <c r="N484" s="451"/>
      <c r="O484" s="452"/>
      <c r="P484" s="453"/>
      <c r="Q484" s="454"/>
      <c r="R484" s="442"/>
      <c r="S484" s="443"/>
      <c r="T484" s="294"/>
      <c r="U484" s="295"/>
    </row>
    <row r="485" spans="8:21" ht="20.25" x14ac:dyDescent="0.3">
      <c r="H485" s="296"/>
      <c r="I485" s="293"/>
      <c r="K485" s="433"/>
      <c r="L485" s="442"/>
      <c r="M485" s="455"/>
      <c r="N485" s="451"/>
      <c r="O485" s="452"/>
      <c r="P485" s="453"/>
      <c r="Q485" s="454"/>
      <c r="R485" s="442"/>
      <c r="S485" s="443"/>
      <c r="T485" s="294"/>
      <c r="U485" s="295"/>
    </row>
    <row r="486" spans="8:21" ht="20.25" x14ac:dyDescent="0.3">
      <c r="H486" s="296"/>
      <c r="I486" s="293"/>
      <c r="K486" s="433"/>
      <c r="L486" s="442"/>
      <c r="M486" s="455"/>
      <c r="N486" s="451"/>
      <c r="O486" s="452"/>
      <c r="P486" s="453"/>
      <c r="Q486" s="454"/>
      <c r="R486" s="442"/>
      <c r="S486" s="443"/>
      <c r="T486" s="294"/>
      <c r="U486" s="295"/>
    </row>
    <row r="487" spans="8:21" ht="20.25" x14ac:dyDescent="0.3">
      <c r="H487" s="296"/>
      <c r="I487" s="293"/>
      <c r="K487" s="433"/>
      <c r="L487" s="442"/>
      <c r="M487" s="455"/>
      <c r="N487" s="451"/>
      <c r="O487" s="452"/>
      <c r="P487" s="453"/>
      <c r="Q487" s="454"/>
      <c r="R487" s="442"/>
      <c r="S487" s="443"/>
      <c r="T487" s="294"/>
      <c r="U487" s="295"/>
    </row>
    <row r="488" spans="8:21" ht="20.25" x14ac:dyDescent="0.3">
      <c r="H488" s="296"/>
      <c r="I488" s="293"/>
      <c r="K488" s="433"/>
      <c r="L488" s="442"/>
      <c r="M488" s="455"/>
      <c r="N488" s="451"/>
      <c r="O488" s="452"/>
      <c r="P488" s="453"/>
      <c r="Q488" s="454"/>
      <c r="R488" s="442"/>
      <c r="S488" s="443"/>
      <c r="T488" s="294"/>
      <c r="U488" s="295"/>
    </row>
    <row r="489" spans="8:21" ht="20.25" x14ac:dyDescent="0.3">
      <c r="H489" s="296"/>
      <c r="I489" s="293"/>
      <c r="K489" s="433"/>
      <c r="L489" s="442"/>
      <c r="M489" s="455"/>
      <c r="N489" s="451"/>
      <c r="O489" s="452"/>
      <c r="P489" s="453"/>
      <c r="Q489" s="454"/>
      <c r="R489" s="442"/>
      <c r="S489" s="443"/>
      <c r="T489" s="294"/>
      <c r="U489" s="295"/>
    </row>
    <row r="490" spans="8:21" ht="20.25" x14ac:dyDescent="0.3">
      <c r="H490" s="296"/>
      <c r="I490" s="293"/>
      <c r="K490" s="433"/>
      <c r="L490" s="442"/>
      <c r="M490" s="455"/>
      <c r="N490" s="451"/>
      <c r="O490" s="452"/>
      <c r="P490" s="453"/>
      <c r="Q490" s="454"/>
      <c r="R490" s="442"/>
      <c r="S490" s="443"/>
      <c r="T490" s="294"/>
      <c r="U490" s="295"/>
    </row>
    <row r="491" spans="8:21" ht="20.25" x14ac:dyDescent="0.3">
      <c r="H491" s="296"/>
      <c r="I491" s="293"/>
      <c r="K491" s="433"/>
      <c r="L491" s="442"/>
      <c r="M491" s="455"/>
      <c r="N491" s="451"/>
      <c r="O491" s="452"/>
      <c r="P491" s="453"/>
      <c r="Q491" s="454"/>
      <c r="R491" s="442"/>
      <c r="S491" s="443"/>
      <c r="T491" s="294"/>
      <c r="U491" s="295"/>
    </row>
    <row r="492" spans="8:21" ht="20.25" x14ac:dyDescent="0.3">
      <c r="H492" s="296"/>
      <c r="I492" s="293"/>
      <c r="K492" s="433"/>
      <c r="L492" s="442"/>
      <c r="M492" s="455"/>
      <c r="N492" s="451"/>
      <c r="O492" s="452"/>
      <c r="P492" s="453"/>
      <c r="Q492" s="454"/>
      <c r="R492" s="442"/>
      <c r="S492" s="443"/>
      <c r="T492" s="294"/>
      <c r="U492" s="295"/>
    </row>
    <row r="493" spans="8:21" ht="20.25" x14ac:dyDescent="0.3">
      <c r="H493" s="296"/>
      <c r="I493" s="293"/>
      <c r="K493" s="433"/>
      <c r="L493" s="442"/>
      <c r="M493" s="455"/>
      <c r="N493" s="451"/>
      <c r="O493" s="452"/>
      <c r="P493" s="453"/>
      <c r="Q493" s="454"/>
      <c r="R493" s="442"/>
      <c r="S493" s="443"/>
      <c r="T493" s="294"/>
      <c r="U493" s="295"/>
    </row>
    <row r="494" spans="8:21" ht="20.25" x14ac:dyDescent="0.3">
      <c r="H494" s="296"/>
      <c r="I494" s="293"/>
      <c r="K494" s="433"/>
      <c r="L494" s="442"/>
      <c r="M494" s="455"/>
      <c r="N494" s="451"/>
      <c r="O494" s="452"/>
      <c r="P494" s="453"/>
      <c r="Q494" s="454"/>
      <c r="R494" s="442"/>
      <c r="S494" s="443"/>
      <c r="T494" s="294"/>
      <c r="U494" s="295"/>
    </row>
    <row r="495" spans="8:21" ht="20.25" x14ac:dyDescent="0.3">
      <c r="H495" s="296"/>
      <c r="I495" s="293"/>
      <c r="K495" s="433"/>
      <c r="L495" s="442"/>
      <c r="M495" s="455"/>
      <c r="N495" s="451"/>
      <c r="O495" s="452"/>
      <c r="P495" s="453"/>
      <c r="Q495" s="454"/>
      <c r="R495" s="442"/>
      <c r="S495" s="443"/>
      <c r="T495" s="294"/>
      <c r="U495" s="295"/>
    </row>
    <row r="496" spans="8:21" ht="20.25" x14ac:dyDescent="0.3">
      <c r="H496" s="296"/>
      <c r="I496" s="293"/>
      <c r="K496" s="433"/>
      <c r="L496" s="442"/>
      <c r="M496" s="455"/>
      <c r="N496" s="451"/>
      <c r="O496" s="452"/>
      <c r="P496" s="453"/>
      <c r="Q496" s="454"/>
      <c r="R496" s="442"/>
      <c r="S496" s="443"/>
      <c r="T496" s="294"/>
      <c r="U496" s="295"/>
    </row>
    <row r="497" spans="8:21" ht="20.25" x14ac:dyDescent="0.3">
      <c r="H497" s="296"/>
      <c r="I497" s="293"/>
      <c r="K497" s="433"/>
      <c r="L497" s="442"/>
      <c r="M497" s="455"/>
      <c r="N497" s="451"/>
      <c r="O497" s="452"/>
      <c r="P497" s="453"/>
      <c r="Q497" s="454"/>
      <c r="R497" s="442"/>
      <c r="S497" s="443"/>
      <c r="T497" s="294"/>
      <c r="U497" s="295"/>
    </row>
    <row r="498" spans="8:21" ht="20.25" x14ac:dyDescent="0.3">
      <c r="H498" s="296"/>
      <c r="I498" s="293"/>
      <c r="K498" s="433"/>
      <c r="L498" s="442"/>
      <c r="M498" s="455"/>
      <c r="N498" s="451"/>
      <c r="O498" s="452"/>
      <c r="P498" s="453"/>
      <c r="Q498" s="454"/>
      <c r="R498" s="442"/>
      <c r="S498" s="443"/>
      <c r="T498" s="294"/>
      <c r="U498" s="295"/>
    </row>
    <row r="499" spans="8:21" ht="20.25" x14ac:dyDescent="0.3">
      <c r="H499" s="296"/>
      <c r="I499" s="293"/>
      <c r="K499" s="433"/>
      <c r="L499" s="442"/>
      <c r="M499" s="455"/>
      <c r="N499" s="451"/>
      <c r="O499" s="452"/>
      <c r="P499" s="453"/>
      <c r="Q499" s="454"/>
      <c r="R499" s="442"/>
      <c r="S499" s="443"/>
      <c r="T499" s="294"/>
      <c r="U499" s="295"/>
    </row>
    <row r="500" spans="8:21" ht="20.25" x14ac:dyDescent="0.3">
      <c r="H500" s="296"/>
      <c r="I500" s="293"/>
      <c r="K500" s="433"/>
      <c r="L500" s="442"/>
      <c r="M500" s="455"/>
      <c r="N500" s="451"/>
      <c r="O500" s="452"/>
      <c r="P500" s="453"/>
      <c r="Q500" s="454"/>
      <c r="R500" s="442"/>
      <c r="S500" s="443"/>
      <c r="T500" s="294"/>
      <c r="U500" s="295"/>
    </row>
    <row r="501" spans="8:21" x14ac:dyDescent="0.35">
      <c r="H501" s="296"/>
      <c r="I501" s="293"/>
      <c r="L501" s="388"/>
      <c r="S501" s="387"/>
      <c r="T501" s="294"/>
      <c r="U501" s="295"/>
    </row>
    <row r="502" spans="8:21" x14ac:dyDescent="0.35">
      <c r="H502" s="296"/>
      <c r="I502" s="293"/>
      <c r="S502" s="387"/>
      <c r="T502" s="294"/>
      <c r="U502" s="295"/>
    </row>
    <row r="503" spans="8:21" x14ac:dyDescent="0.35">
      <c r="H503" s="296"/>
      <c r="I503" s="293"/>
      <c r="S503" s="387"/>
      <c r="T503" s="294"/>
      <c r="U503" s="295"/>
    </row>
    <row r="504" spans="8:21" x14ac:dyDescent="0.35">
      <c r="H504" s="296"/>
      <c r="I504" s="293"/>
      <c r="S504" s="387"/>
      <c r="T504" s="294"/>
      <c r="U504" s="295"/>
    </row>
    <row r="505" spans="8:21" x14ac:dyDescent="0.35">
      <c r="H505" s="296"/>
      <c r="I505" s="293"/>
      <c r="S505" s="387"/>
      <c r="T505" s="294"/>
      <c r="U505" s="295"/>
    </row>
    <row r="506" spans="8:21" x14ac:dyDescent="0.35">
      <c r="H506" s="296"/>
      <c r="I506" s="293"/>
      <c r="S506" s="387"/>
      <c r="T506" s="294"/>
      <c r="U506" s="295"/>
    </row>
    <row r="507" spans="8:21" x14ac:dyDescent="0.35">
      <c r="H507" s="296"/>
      <c r="I507" s="293"/>
      <c r="S507" s="387"/>
      <c r="T507" s="294"/>
      <c r="U507" s="295"/>
    </row>
    <row r="508" spans="8:21" x14ac:dyDescent="0.35">
      <c r="H508" s="296"/>
      <c r="I508" s="293"/>
      <c r="S508" s="387"/>
      <c r="T508" s="294"/>
      <c r="U508" s="295"/>
    </row>
    <row r="509" spans="8:21" x14ac:dyDescent="0.35">
      <c r="H509" s="296"/>
      <c r="I509" s="293"/>
      <c r="S509" s="387"/>
      <c r="T509" s="294"/>
      <c r="U509" s="295"/>
    </row>
    <row r="510" spans="8:21" x14ac:dyDescent="0.35">
      <c r="H510" s="296"/>
      <c r="I510" s="293"/>
      <c r="S510" s="387"/>
      <c r="T510" s="294"/>
      <c r="U510" s="295"/>
    </row>
    <row r="511" spans="8:21" x14ac:dyDescent="0.35">
      <c r="H511" s="296"/>
      <c r="I511" s="293"/>
      <c r="S511" s="387"/>
      <c r="T511" s="294"/>
      <c r="U511" s="295"/>
    </row>
    <row r="512" spans="8:21" x14ac:dyDescent="0.35">
      <c r="H512" s="296"/>
      <c r="I512" s="293"/>
      <c r="S512" s="387"/>
      <c r="T512" s="294"/>
      <c r="U512" s="295"/>
    </row>
    <row r="513" spans="8:21" x14ac:dyDescent="0.35">
      <c r="H513" s="296"/>
      <c r="I513" s="293"/>
      <c r="S513" s="387"/>
      <c r="T513" s="294"/>
      <c r="U513" s="295"/>
    </row>
    <row r="514" spans="8:21" x14ac:dyDescent="0.35">
      <c r="H514" s="296"/>
      <c r="I514" s="293"/>
      <c r="S514" s="387"/>
      <c r="T514" s="294"/>
      <c r="U514" s="295"/>
    </row>
    <row r="515" spans="8:21" x14ac:dyDescent="0.35">
      <c r="H515" s="296"/>
      <c r="I515" s="293"/>
      <c r="S515" s="387"/>
      <c r="T515" s="294"/>
      <c r="U515" s="295"/>
    </row>
    <row r="516" spans="8:21" x14ac:dyDescent="0.35">
      <c r="H516" s="296"/>
      <c r="I516" s="293"/>
      <c r="S516" s="387"/>
      <c r="T516" s="294"/>
      <c r="U516" s="295"/>
    </row>
    <row r="517" spans="8:21" x14ac:dyDescent="0.35">
      <c r="H517" s="296"/>
      <c r="I517" s="293"/>
      <c r="S517" s="387"/>
      <c r="T517" s="294"/>
      <c r="U517" s="295"/>
    </row>
    <row r="518" spans="8:21" x14ac:dyDescent="0.35">
      <c r="H518" s="296"/>
      <c r="I518" s="293"/>
      <c r="S518" s="387"/>
      <c r="T518" s="294"/>
      <c r="U518" s="295"/>
    </row>
    <row r="519" spans="8:21" x14ac:dyDescent="0.35">
      <c r="H519" s="296"/>
      <c r="I519" s="293"/>
      <c r="S519" s="387"/>
      <c r="T519" s="294"/>
      <c r="U519" s="295"/>
    </row>
    <row r="520" spans="8:21" x14ac:dyDescent="0.35">
      <c r="H520" s="296"/>
      <c r="I520" s="293"/>
      <c r="S520" s="387"/>
      <c r="T520" s="294"/>
      <c r="U520" s="295"/>
    </row>
    <row r="521" spans="8:21" x14ac:dyDescent="0.35">
      <c r="H521" s="296"/>
      <c r="I521" s="293"/>
      <c r="S521" s="387"/>
      <c r="T521" s="294"/>
      <c r="U521" s="295"/>
    </row>
    <row r="522" spans="8:21" x14ac:dyDescent="0.35">
      <c r="H522" s="296"/>
      <c r="I522" s="293"/>
      <c r="S522" s="387"/>
      <c r="T522" s="294"/>
      <c r="U522" s="295"/>
    </row>
    <row r="523" spans="8:21" x14ac:dyDescent="0.35">
      <c r="H523" s="296"/>
      <c r="I523" s="293"/>
      <c r="S523" s="387"/>
      <c r="T523" s="294"/>
      <c r="U523" s="295"/>
    </row>
    <row r="524" spans="8:21" x14ac:dyDescent="0.35">
      <c r="H524" s="296"/>
      <c r="I524" s="293"/>
      <c r="S524" s="387"/>
      <c r="T524" s="294"/>
      <c r="U524" s="295"/>
    </row>
    <row r="525" spans="8:21" x14ac:dyDescent="0.35">
      <c r="H525" s="296"/>
      <c r="I525" s="293"/>
      <c r="S525" s="387"/>
      <c r="T525" s="294"/>
      <c r="U525" s="295"/>
    </row>
    <row r="526" spans="8:21" x14ac:dyDescent="0.35">
      <c r="H526" s="296"/>
      <c r="I526" s="293"/>
      <c r="S526" s="387"/>
      <c r="T526" s="294"/>
      <c r="U526" s="295"/>
    </row>
    <row r="527" spans="8:21" x14ac:dyDescent="0.35">
      <c r="H527" s="296"/>
      <c r="I527" s="293"/>
      <c r="S527" s="387"/>
      <c r="T527" s="294"/>
      <c r="U527" s="295"/>
    </row>
    <row r="528" spans="8:21" x14ac:dyDescent="0.35">
      <c r="H528" s="296"/>
      <c r="I528" s="293"/>
      <c r="S528" s="387"/>
      <c r="T528" s="294"/>
      <c r="U528" s="295"/>
    </row>
    <row r="529" spans="8:21" x14ac:dyDescent="0.35">
      <c r="H529" s="296"/>
      <c r="I529" s="293"/>
      <c r="S529" s="387"/>
      <c r="T529" s="294"/>
      <c r="U529" s="295"/>
    </row>
    <row r="530" spans="8:21" x14ac:dyDescent="0.35">
      <c r="H530" s="296"/>
      <c r="I530" s="293"/>
      <c r="S530" s="387"/>
      <c r="T530" s="294"/>
      <c r="U530" s="295"/>
    </row>
    <row r="531" spans="8:21" x14ac:dyDescent="0.35">
      <c r="H531" s="296"/>
      <c r="I531" s="293"/>
      <c r="S531" s="387"/>
      <c r="T531" s="294"/>
      <c r="U531" s="295"/>
    </row>
    <row r="532" spans="8:21" x14ac:dyDescent="0.35">
      <c r="H532" s="296"/>
      <c r="I532" s="293"/>
      <c r="S532" s="387"/>
      <c r="T532" s="294"/>
      <c r="U532" s="295"/>
    </row>
    <row r="533" spans="8:21" x14ac:dyDescent="0.35">
      <c r="H533" s="296"/>
      <c r="I533" s="293"/>
      <c r="S533" s="387"/>
      <c r="T533" s="294"/>
      <c r="U533" s="295"/>
    </row>
    <row r="534" spans="8:21" x14ac:dyDescent="0.35">
      <c r="H534" s="296"/>
      <c r="I534" s="293"/>
      <c r="S534" s="387"/>
      <c r="T534" s="294"/>
      <c r="U534" s="295"/>
    </row>
    <row r="535" spans="8:21" x14ac:dyDescent="0.35">
      <c r="H535" s="296"/>
      <c r="I535" s="293"/>
      <c r="S535" s="387"/>
      <c r="T535" s="294"/>
      <c r="U535" s="295"/>
    </row>
    <row r="536" spans="8:21" x14ac:dyDescent="0.35">
      <c r="H536" s="296"/>
      <c r="I536" s="293"/>
      <c r="S536" s="387"/>
      <c r="T536" s="294"/>
      <c r="U536" s="295"/>
    </row>
    <row r="537" spans="8:21" x14ac:dyDescent="0.35">
      <c r="H537" s="296"/>
      <c r="I537" s="293"/>
      <c r="S537" s="387"/>
      <c r="T537" s="294"/>
      <c r="U537" s="295"/>
    </row>
    <row r="538" spans="8:21" x14ac:dyDescent="0.35">
      <c r="H538" s="296"/>
      <c r="I538" s="293"/>
      <c r="S538" s="387"/>
      <c r="T538" s="294"/>
      <c r="U538" s="295"/>
    </row>
    <row r="539" spans="8:21" x14ac:dyDescent="0.35">
      <c r="H539" s="296"/>
      <c r="I539" s="293"/>
      <c r="S539" s="387"/>
      <c r="T539" s="294"/>
      <c r="U539" s="295"/>
    </row>
    <row r="540" spans="8:21" x14ac:dyDescent="0.35">
      <c r="H540" s="296"/>
      <c r="I540" s="293"/>
      <c r="S540" s="387"/>
      <c r="T540" s="294"/>
      <c r="U540" s="295"/>
    </row>
    <row r="541" spans="8:21" x14ac:dyDescent="0.35">
      <c r="H541" s="296"/>
      <c r="I541" s="293"/>
      <c r="S541" s="387"/>
      <c r="T541" s="294"/>
      <c r="U541" s="295"/>
    </row>
    <row r="542" spans="8:21" x14ac:dyDescent="0.35">
      <c r="H542" s="296"/>
      <c r="I542" s="293"/>
      <c r="S542" s="387"/>
      <c r="T542" s="294"/>
      <c r="U542" s="295"/>
    </row>
    <row r="543" spans="8:21" x14ac:dyDescent="0.35">
      <c r="H543" s="296"/>
      <c r="I543" s="293"/>
      <c r="S543" s="387"/>
      <c r="T543" s="294"/>
      <c r="U543" s="295"/>
    </row>
    <row r="544" spans="8:21" x14ac:dyDescent="0.35">
      <c r="H544" s="296"/>
      <c r="I544" s="293"/>
      <c r="S544" s="387"/>
      <c r="T544" s="294"/>
      <c r="U544" s="295"/>
    </row>
    <row r="545" spans="8:21" x14ac:dyDescent="0.35">
      <c r="H545" s="296"/>
      <c r="I545" s="293"/>
      <c r="S545" s="387"/>
      <c r="T545" s="294"/>
      <c r="U545" s="295"/>
    </row>
    <row r="546" spans="8:21" x14ac:dyDescent="0.35">
      <c r="H546" s="296"/>
      <c r="I546" s="293"/>
      <c r="S546" s="387"/>
      <c r="T546" s="294"/>
      <c r="U546" s="295"/>
    </row>
    <row r="547" spans="8:21" x14ac:dyDescent="0.35">
      <c r="H547" s="296"/>
      <c r="I547" s="293"/>
      <c r="S547" s="387"/>
      <c r="T547" s="294"/>
      <c r="U547" s="295"/>
    </row>
    <row r="548" spans="8:21" x14ac:dyDescent="0.35">
      <c r="H548" s="296"/>
      <c r="I548" s="293"/>
      <c r="S548" s="387"/>
      <c r="T548" s="294"/>
      <c r="U548" s="295"/>
    </row>
    <row r="549" spans="8:21" x14ac:dyDescent="0.35">
      <c r="H549" s="296"/>
      <c r="I549" s="293"/>
      <c r="S549" s="387"/>
      <c r="T549" s="294"/>
      <c r="U549" s="295"/>
    </row>
    <row r="550" spans="8:21" x14ac:dyDescent="0.35">
      <c r="H550" s="296"/>
      <c r="I550" s="293"/>
      <c r="S550" s="387"/>
      <c r="T550" s="294"/>
      <c r="U550" s="295"/>
    </row>
    <row r="551" spans="8:21" x14ac:dyDescent="0.35">
      <c r="H551" s="296"/>
      <c r="I551" s="293"/>
      <c r="S551" s="387"/>
      <c r="T551" s="294"/>
      <c r="U551" s="295"/>
    </row>
    <row r="552" spans="8:21" x14ac:dyDescent="0.35">
      <c r="H552" s="296"/>
      <c r="I552" s="293"/>
      <c r="S552" s="387"/>
      <c r="T552" s="294"/>
      <c r="U552" s="295"/>
    </row>
    <row r="553" spans="8:21" x14ac:dyDescent="0.35">
      <c r="H553" s="296"/>
      <c r="I553" s="293"/>
      <c r="S553" s="387"/>
      <c r="T553" s="294"/>
      <c r="U553" s="295"/>
    </row>
    <row r="554" spans="8:21" x14ac:dyDescent="0.35">
      <c r="H554" s="296"/>
      <c r="I554" s="293"/>
      <c r="S554" s="387"/>
      <c r="T554" s="294"/>
      <c r="U554" s="295"/>
    </row>
    <row r="555" spans="8:21" x14ac:dyDescent="0.35">
      <c r="H555" s="296"/>
      <c r="I555" s="293"/>
      <c r="S555" s="387"/>
      <c r="T555" s="294"/>
      <c r="U555" s="295"/>
    </row>
    <row r="556" spans="8:21" x14ac:dyDescent="0.35">
      <c r="H556" s="296"/>
      <c r="I556" s="293"/>
      <c r="S556" s="387"/>
      <c r="T556" s="294"/>
      <c r="U556" s="295"/>
    </row>
    <row r="557" spans="8:21" x14ac:dyDescent="0.35">
      <c r="H557" s="296"/>
      <c r="I557" s="293"/>
      <c r="S557" s="387"/>
      <c r="T557" s="294"/>
      <c r="U557" s="295"/>
    </row>
    <row r="558" spans="8:21" x14ac:dyDescent="0.35">
      <c r="H558" s="296"/>
      <c r="I558" s="293"/>
      <c r="S558" s="387"/>
      <c r="T558" s="294"/>
      <c r="U558" s="295"/>
    </row>
    <row r="559" spans="8:21" x14ac:dyDescent="0.35">
      <c r="H559" s="296"/>
      <c r="I559" s="293"/>
      <c r="S559" s="387"/>
      <c r="T559" s="294"/>
      <c r="U559" s="295"/>
    </row>
    <row r="560" spans="8:21" x14ac:dyDescent="0.35">
      <c r="H560" s="296"/>
      <c r="I560" s="293"/>
      <c r="S560" s="387"/>
      <c r="T560" s="294"/>
      <c r="U560" s="295"/>
    </row>
    <row r="561" spans="8:21" x14ac:dyDescent="0.35">
      <c r="H561" s="296"/>
      <c r="I561" s="293"/>
      <c r="S561" s="387"/>
      <c r="T561" s="294"/>
      <c r="U561" s="295"/>
    </row>
    <row r="562" spans="8:21" x14ac:dyDescent="0.35">
      <c r="H562" s="296"/>
      <c r="I562" s="293"/>
      <c r="S562" s="387"/>
      <c r="T562" s="294"/>
      <c r="U562" s="295"/>
    </row>
    <row r="563" spans="8:21" x14ac:dyDescent="0.35">
      <c r="H563" s="296"/>
      <c r="I563" s="293"/>
      <c r="S563" s="387"/>
      <c r="T563" s="294"/>
      <c r="U563" s="295"/>
    </row>
    <row r="564" spans="8:21" x14ac:dyDescent="0.35">
      <c r="H564" s="296"/>
      <c r="I564" s="293"/>
      <c r="S564" s="387"/>
      <c r="T564" s="294"/>
      <c r="U564" s="295"/>
    </row>
    <row r="565" spans="8:21" x14ac:dyDescent="0.35">
      <c r="H565" s="296"/>
      <c r="I565" s="293"/>
      <c r="S565" s="387"/>
      <c r="T565" s="294"/>
      <c r="U565" s="295"/>
    </row>
    <row r="566" spans="8:21" x14ac:dyDescent="0.35">
      <c r="H566" s="296"/>
      <c r="I566" s="293"/>
      <c r="S566" s="387"/>
      <c r="T566" s="294"/>
      <c r="U566" s="295"/>
    </row>
    <row r="567" spans="8:21" x14ac:dyDescent="0.35">
      <c r="H567" s="296"/>
      <c r="I567" s="293"/>
      <c r="S567" s="387"/>
      <c r="T567" s="294"/>
      <c r="U567" s="295"/>
    </row>
    <row r="568" spans="8:21" x14ac:dyDescent="0.35">
      <c r="H568" s="296"/>
      <c r="I568" s="293"/>
      <c r="S568" s="387"/>
      <c r="T568" s="294"/>
      <c r="U568" s="295"/>
    </row>
    <row r="569" spans="8:21" x14ac:dyDescent="0.35">
      <c r="H569" s="296"/>
      <c r="I569" s="293"/>
      <c r="S569" s="387"/>
      <c r="T569" s="294"/>
      <c r="U569" s="295"/>
    </row>
    <row r="570" spans="8:21" x14ac:dyDescent="0.35">
      <c r="H570" s="296"/>
      <c r="I570" s="293"/>
      <c r="S570" s="387"/>
      <c r="T570" s="294"/>
      <c r="U570" s="295"/>
    </row>
    <row r="571" spans="8:21" x14ac:dyDescent="0.35">
      <c r="H571" s="296"/>
      <c r="I571" s="293"/>
      <c r="S571" s="387"/>
      <c r="T571" s="294"/>
      <c r="U571" s="295"/>
    </row>
    <row r="572" spans="8:21" x14ac:dyDescent="0.35">
      <c r="H572" s="296"/>
      <c r="I572" s="293"/>
      <c r="S572" s="387"/>
      <c r="T572" s="294"/>
      <c r="U572" s="295"/>
    </row>
    <row r="573" spans="8:21" x14ac:dyDescent="0.35">
      <c r="H573" s="296"/>
      <c r="I573" s="293"/>
      <c r="S573" s="387"/>
      <c r="T573" s="294"/>
      <c r="U573" s="295"/>
    </row>
    <row r="574" spans="8:21" x14ac:dyDescent="0.35">
      <c r="H574" s="296"/>
      <c r="I574" s="293"/>
      <c r="S574" s="387"/>
      <c r="T574" s="294"/>
      <c r="U574" s="295"/>
    </row>
    <row r="575" spans="8:21" x14ac:dyDescent="0.35">
      <c r="H575" s="296"/>
      <c r="I575" s="293"/>
      <c r="S575" s="387"/>
      <c r="T575" s="294"/>
      <c r="U575" s="295"/>
    </row>
    <row r="576" spans="8:21" x14ac:dyDescent="0.35">
      <c r="H576" s="296"/>
      <c r="I576" s="293"/>
      <c r="S576" s="387"/>
      <c r="T576" s="294"/>
      <c r="U576" s="295"/>
    </row>
    <row r="577" spans="8:21" x14ac:dyDescent="0.35">
      <c r="H577" s="296"/>
      <c r="I577" s="293"/>
      <c r="S577" s="387"/>
      <c r="T577" s="294"/>
      <c r="U577" s="295"/>
    </row>
    <row r="578" spans="8:21" x14ac:dyDescent="0.35">
      <c r="H578" s="296"/>
      <c r="I578" s="293"/>
      <c r="S578" s="387"/>
      <c r="T578" s="294"/>
      <c r="U578" s="295"/>
    </row>
    <row r="579" spans="8:21" x14ac:dyDescent="0.35">
      <c r="H579" s="296"/>
      <c r="I579" s="293"/>
      <c r="S579" s="387"/>
      <c r="T579" s="294"/>
      <c r="U579" s="295"/>
    </row>
    <row r="580" spans="8:21" x14ac:dyDescent="0.35">
      <c r="H580" s="296"/>
      <c r="I580" s="293"/>
      <c r="S580" s="387"/>
      <c r="T580" s="294"/>
      <c r="U580" s="295"/>
    </row>
    <row r="581" spans="8:21" x14ac:dyDescent="0.35">
      <c r="H581" s="296"/>
      <c r="I581" s="293"/>
      <c r="S581" s="387"/>
      <c r="T581" s="294"/>
      <c r="U581" s="295"/>
    </row>
    <row r="582" spans="8:21" x14ac:dyDescent="0.35">
      <c r="H582" s="296"/>
      <c r="I582" s="293"/>
      <c r="S582" s="387"/>
      <c r="T582" s="294"/>
      <c r="U582" s="295"/>
    </row>
    <row r="583" spans="8:21" x14ac:dyDescent="0.35">
      <c r="H583" s="296"/>
      <c r="I583" s="293"/>
      <c r="S583" s="387"/>
      <c r="T583" s="294"/>
      <c r="U583" s="295"/>
    </row>
    <row r="584" spans="8:21" x14ac:dyDescent="0.35">
      <c r="H584" s="296"/>
      <c r="I584" s="293"/>
      <c r="S584" s="387"/>
      <c r="T584" s="294"/>
      <c r="U584" s="295"/>
    </row>
    <row r="585" spans="8:21" x14ac:dyDescent="0.35">
      <c r="H585" s="296"/>
      <c r="I585" s="293"/>
      <c r="S585" s="387"/>
      <c r="T585" s="294"/>
      <c r="U585" s="295"/>
    </row>
    <row r="586" spans="8:21" x14ac:dyDescent="0.35">
      <c r="H586" s="296"/>
      <c r="I586" s="293"/>
      <c r="S586" s="387"/>
      <c r="T586" s="294"/>
      <c r="U586" s="295"/>
    </row>
    <row r="587" spans="8:21" x14ac:dyDescent="0.35">
      <c r="H587" s="296"/>
      <c r="I587" s="293"/>
      <c r="S587" s="387"/>
      <c r="T587" s="294"/>
      <c r="U587" s="295"/>
    </row>
    <row r="588" spans="8:21" x14ac:dyDescent="0.35">
      <c r="H588" s="296"/>
      <c r="I588" s="293"/>
      <c r="S588" s="387"/>
      <c r="T588" s="294"/>
      <c r="U588" s="295"/>
    </row>
    <row r="589" spans="8:21" x14ac:dyDescent="0.35">
      <c r="H589" s="296"/>
      <c r="I589" s="293"/>
      <c r="S589" s="387"/>
      <c r="T589" s="294"/>
      <c r="U589" s="295"/>
    </row>
    <row r="590" spans="8:21" x14ac:dyDescent="0.35">
      <c r="H590" s="296"/>
      <c r="I590" s="293"/>
      <c r="S590" s="387"/>
      <c r="T590" s="294"/>
      <c r="U590" s="295"/>
    </row>
    <row r="591" spans="8:21" x14ac:dyDescent="0.35">
      <c r="H591" s="296"/>
      <c r="I591" s="293"/>
      <c r="S591" s="387"/>
      <c r="T591" s="294"/>
      <c r="U591" s="295"/>
    </row>
    <row r="592" spans="8:21" x14ac:dyDescent="0.35">
      <c r="H592" s="296"/>
      <c r="I592" s="293"/>
      <c r="S592" s="387"/>
      <c r="T592" s="294"/>
      <c r="U592" s="295"/>
    </row>
    <row r="593" spans="8:21" x14ac:dyDescent="0.35">
      <c r="H593" s="296"/>
      <c r="I593" s="293"/>
      <c r="S593" s="387"/>
      <c r="T593" s="294"/>
      <c r="U593" s="295"/>
    </row>
    <row r="594" spans="8:21" x14ac:dyDescent="0.35">
      <c r="H594" s="296"/>
      <c r="I594" s="293"/>
      <c r="S594" s="387"/>
      <c r="T594" s="294"/>
      <c r="U594" s="295"/>
    </row>
    <row r="595" spans="8:21" x14ac:dyDescent="0.35">
      <c r="H595" s="296"/>
      <c r="I595" s="293"/>
      <c r="S595" s="387"/>
      <c r="T595" s="294"/>
      <c r="U595" s="295"/>
    </row>
    <row r="596" spans="8:21" x14ac:dyDescent="0.35">
      <c r="H596" s="296"/>
      <c r="I596" s="293"/>
      <c r="S596" s="387"/>
      <c r="T596" s="294"/>
      <c r="U596" s="295"/>
    </row>
    <row r="597" spans="8:21" x14ac:dyDescent="0.35">
      <c r="H597" s="296"/>
      <c r="I597" s="293"/>
      <c r="S597" s="387"/>
      <c r="T597" s="294"/>
      <c r="U597" s="295"/>
    </row>
    <row r="598" spans="8:21" x14ac:dyDescent="0.35">
      <c r="H598" s="296"/>
      <c r="I598" s="293"/>
      <c r="S598" s="387"/>
      <c r="T598" s="294"/>
      <c r="U598" s="295"/>
    </row>
    <row r="599" spans="8:21" x14ac:dyDescent="0.35">
      <c r="H599" s="296"/>
      <c r="I599" s="293"/>
      <c r="S599" s="387"/>
      <c r="T599" s="294"/>
      <c r="U599" s="295"/>
    </row>
    <row r="600" spans="8:21" x14ac:dyDescent="0.35">
      <c r="H600" s="296"/>
      <c r="I600" s="293"/>
      <c r="S600" s="387"/>
      <c r="T600" s="294"/>
      <c r="U600" s="295"/>
    </row>
    <row r="601" spans="8:21" x14ac:dyDescent="0.35">
      <c r="H601" s="296"/>
      <c r="I601" s="293"/>
      <c r="S601" s="387"/>
      <c r="T601" s="294"/>
      <c r="U601" s="295"/>
    </row>
    <row r="602" spans="8:21" x14ac:dyDescent="0.35">
      <c r="H602" s="296"/>
      <c r="I602" s="293"/>
      <c r="S602" s="387"/>
      <c r="T602" s="294"/>
      <c r="U602" s="295"/>
    </row>
    <row r="603" spans="8:21" x14ac:dyDescent="0.35">
      <c r="H603" s="296"/>
      <c r="I603" s="293"/>
      <c r="T603" s="294"/>
      <c r="U603" s="295"/>
    </row>
    <row r="604" spans="8:21" x14ac:dyDescent="0.35">
      <c r="H604" s="296"/>
      <c r="I604" s="293"/>
      <c r="T604" s="294"/>
      <c r="U604" s="295"/>
    </row>
    <row r="605" spans="8:21" x14ac:dyDescent="0.35">
      <c r="H605" s="296"/>
      <c r="I605" s="293"/>
      <c r="T605" s="294"/>
      <c r="U605" s="295"/>
    </row>
    <row r="606" spans="8:21" x14ac:dyDescent="0.35">
      <c r="H606" s="296"/>
      <c r="I606" s="293"/>
      <c r="T606" s="294"/>
      <c r="U606" s="295"/>
    </row>
    <row r="607" spans="8:21" x14ac:dyDescent="0.35">
      <c r="H607" s="296"/>
      <c r="I607" s="293"/>
      <c r="T607" s="294"/>
      <c r="U607" s="295"/>
    </row>
    <row r="608" spans="8:21" x14ac:dyDescent="0.35">
      <c r="H608" s="296"/>
      <c r="I608" s="293"/>
      <c r="T608" s="294"/>
      <c r="U608" s="295"/>
    </row>
  </sheetData>
  <sheetProtection formatCells="0"/>
  <conditionalFormatting sqref="C5:I5">
    <cfRule type="iconSet" priority="907">
      <iconSet iconSet="4TrafficLights" showValue="0">
        <cfvo type="percent" val="0"/>
        <cfvo type="num" val="-1"/>
        <cfvo type="num" val="0"/>
        <cfvo type="num" val="1"/>
      </iconSet>
    </cfRule>
  </conditionalFormatting>
  <conditionalFormatting sqref="U5">
    <cfRule type="iconSet" priority="447">
      <iconSet iconSet="4TrafficLights" showValue="0">
        <cfvo type="percent" val="0"/>
        <cfvo type="num" val="-1"/>
        <cfvo type="num" val="0"/>
        <cfvo type="num" val="1"/>
      </iconSet>
    </cfRule>
  </conditionalFormatting>
  <conditionalFormatting sqref="U3:U6">
    <cfRule type="expression" dxfId="31" priority="446">
      <formula>$U$4&lt;&gt;""</formula>
    </cfRule>
  </conditionalFormatting>
  <conditionalFormatting sqref="U7:U12">
    <cfRule type="expression" dxfId="30" priority="445">
      <formula>$U$4&lt;&gt;""</formula>
    </cfRule>
  </conditionalFormatting>
  <conditionalFormatting sqref="V5">
    <cfRule type="iconSet" priority="444">
      <iconSet iconSet="4TrafficLights" showValue="0">
        <cfvo type="percent" val="0"/>
        <cfvo type="num" val="-1"/>
        <cfvo type="num" val="0"/>
        <cfvo type="num" val="1"/>
      </iconSet>
    </cfRule>
  </conditionalFormatting>
  <conditionalFormatting sqref="V3:V6">
    <cfRule type="expression" dxfId="29" priority="443">
      <formula>$V$4&lt;&gt;""</formula>
    </cfRule>
  </conditionalFormatting>
  <conditionalFormatting sqref="V7:V12">
    <cfRule type="expression" dxfId="28" priority="442">
      <formula>$V$4&lt;&gt;""</formula>
    </cfRule>
  </conditionalFormatting>
  <conditionalFormatting sqref="W5">
    <cfRule type="iconSet" priority="441">
      <iconSet iconSet="4TrafficLights" showValue="0">
        <cfvo type="percent" val="0"/>
        <cfvo type="num" val="-1"/>
        <cfvo type="num" val="0"/>
        <cfvo type="num" val="1"/>
      </iconSet>
    </cfRule>
  </conditionalFormatting>
  <conditionalFormatting sqref="W3:W6">
    <cfRule type="expression" dxfId="27" priority="440">
      <formula>$W$4&lt;&gt;""</formula>
    </cfRule>
  </conditionalFormatting>
  <conditionalFormatting sqref="W7:W12">
    <cfRule type="expression" dxfId="26" priority="230">
      <formula>"$W$4&lt;&gt;"""""</formula>
    </cfRule>
    <cfRule type="expression" dxfId="25" priority="439">
      <formula>$W$4&lt;&gt;""</formula>
    </cfRule>
  </conditionalFormatting>
  <conditionalFormatting sqref="I28">
    <cfRule type="expression" dxfId="24" priority="232">
      <formula>E24&gt;0</formula>
    </cfRule>
    <cfRule type="expression" dxfId="23" priority="233">
      <formula>I29&lt;-E24</formula>
    </cfRule>
    <cfRule type="expression" dxfId="22" priority="234">
      <formula>I29&gt;-E24</formula>
    </cfRule>
  </conditionalFormatting>
  <conditionalFormatting sqref="X7:X12">
    <cfRule type="expression" dxfId="21" priority="215">
      <formula>$X$4&lt;&gt;""</formula>
    </cfRule>
  </conditionalFormatting>
  <conditionalFormatting sqref="X5">
    <cfRule type="iconSet" priority="214">
      <iconSet iconSet="4TrafficLights" showValue="0">
        <cfvo type="percent" val="0"/>
        <cfvo type="num" val="-1"/>
        <cfvo type="num" val="0"/>
        <cfvo type="num" val="1"/>
      </iconSet>
    </cfRule>
  </conditionalFormatting>
  <conditionalFormatting sqref="X3:X6">
    <cfRule type="expression" dxfId="20" priority="213">
      <formula>$X$4&lt;&gt;""</formula>
    </cfRule>
  </conditionalFormatting>
  <conditionalFormatting sqref="Y7:Y12">
    <cfRule type="expression" dxfId="19" priority="212">
      <formula>$Y$4&lt;&gt;""</formula>
    </cfRule>
  </conditionalFormatting>
  <conditionalFormatting sqref="Y5">
    <cfRule type="iconSet" priority="211">
      <iconSet iconSet="4TrafficLights" showValue="0">
        <cfvo type="percent" val="0"/>
        <cfvo type="num" val="-1"/>
        <cfvo type="num" val="0"/>
        <cfvo type="num" val="1"/>
      </iconSet>
    </cfRule>
  </conditionalFormatting>
  <conditionalFormatting sqref="Y3:Y6">
    <cfRule type="expression" dxfId="18" priority="210">
      <formula>$Y$4&lt;&gt;""</formula>
    </cfRule>
  </conditionalFormatting>
  <conditionalFormatting sqref="Z7:Z12">
    <cfRule type="expression" dxfId="17" priority="209">
      <formula>$Z$4&lt;&gt;""</formula>
    </cfRule>
  </conditionalFormatting>
  <conditionalFormatting sqref="Z5">
    <cfRule type="iconSet" priority="208">
      <iconSet iconSet="4TrafficLights" showValue="0">
        <cfvo type="percent" val="0"/>
        <cfvo type="num" val="-1"/>
        <cfvo type="num" val="0"/>
        <cfvo type="num" val="1"/>
      </iconSet>
    </cfRule>
  </conditionalFormatting>
  <conditionalFormatting sqref="Z3:Z6">
    <cfRule type="expression" dxfId="16" priority="207">
      <formula>$Z$4&lt;&gt;""</formula>
    </cfRule>
  </conditionalFormatting>
  <conditionalFormatting sqref="AA7:AA12">
    <cfRule type="expression" dxfId="15" priority="206">
      <formula>$AA$4&lt;&gt;""</formula>
    </cfRule>
  </conditionalFormatting>
  <conditionalFormatting sqref="AA5">
    <cfRule type="iconSet" priority="205">
      <iconSet iconSet="4TrafficLights" showValue="0">
        <cfvo type="percent" val="0"/>
        <cfvo type="num" val="-1"/>
        <cfvo type="num" val="0"/>
        <cfvo type="num" val="1"/>
      </iconSet>
    </cfRule>
  </conditionalFormatting>
  <conditionalFormatting sqref="AA3:AA6">
    <cfRule type="expression" dxfId="14" priority="204">
      <formula>$AA$4&lt;&gt;""</formula>
    </cfRule>
  </conditionalFormatting>
  <conditionalFormatting sqref="AB7:AB12">
    <cfRule type="expression" dxfId="13" priority="203">
      <formula>$AB$4&lt;&gt;""</formula>
    </cfRule>
  </conditionalFormatting>
  <conditionalFormatting sqref="AB5">
    <cfRule type="iconSet" priority="202">
      <iconSet iconSet="4TrafficLights" showValue="0">
        <cfvo type="percent" val="0"/>
        <cfvo type="num" val="-1"/>
        <cfvo type="num" val="0"/>
        <cfvo type="num" val="1"/>
      </iconSet>
    </cfRule>
  </conditionalFormatting>
  <conditionalFormatting sqref="AB3:AB6">
    <cfRule type="expression" dxfId="12" priority="201">
      <formula>$AB$4&lt;&gt;""</formula>
    </cfRule>
  </conditionalFormatting>
  <conditionalFormatting sqref="AC7:AC12">
    <cfRule type="expression" dxfId="11" priority="200">
      <formula>$AC$4&lt;&gt;""</formula>
    </cfRule>
  </conditionalFormatting>
  <conditionalFormatting sqref="AC5">
    <cfRule type="iconSet" priority="199">
      <iconSet iconSet="4TrafficLights" showValue="0">
        <cfvo type="percent" val="0"/>
        <cfvo type="num" val="-1"/>
        <cfvo type="num" val="0"/>
        <cfvo type="num" val="1"/>
      </iconSet>
    </cfRule>
  </conditionalFormatting>
  <conditionalFormatting sqref="AC3:AC6">
    <cfRule type="expression" dxfId="10" priority="198">
      <formula>$AC$4&lt;&gt;""</formula>
    </cfRule>
  </conditionalFormatting>
  <conditionalFormatting sqref="L501">
    <cfRule type="cellIs" dxfId="9" priority="29" operator="lessThan">
      <formula>0</formula>
    </cfRule>
    <cfRule type="cellIs" dxfId="8" priority="30" operator="greaterThan">
      <formula>0</formula>
    </cfRule>
  </conditionalFormatting>
  <conditionalFormatting sqref="L7:L67">
    <cfRule type="cellIs" dxfId="7" priority="1" operator="lessThan">
      <formula>0</formula>
    </cfRule>
    <cfRule type="cellIs" dxfId="6" priority="2" operator="greaterThan">
      <formula>0</formula>
    </cfRule>
  </conditionalFormatting>
  <conditionalFormatting sqref="L68:L400">
    <cfRule type="cellIs" dxfId="5" priority="3" operator="lessThan">
      <formula>0</formula>
    </cfRule>
    <cfRule type="cellIs" dxfId="4" priority="4" operator="greaterThan">
      <formula>0</formula>
    </cfRule>
  </conditionalFormatting>
  <pageMargins left="0.7" right="0.7" top="0.75" bottom="0.75" header="0.51180555555555551" footer="0.51180555555555551"/>
  <pageSetup paperSize="9" firstPageNumber="0" orientation="portrait" horizontalDpi="300" verticalDpi="300" r:id="rId1"/>
  <headerFooter alignWithMargins="0"/>
  <rowBreaks count="1" manualBreakCount="1">
    <brk id="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173" r:id="rId4" name="Button 149">
              <controlPr defaultSize="0" print="0" autoFill="0" autoPict="0" macro="[0]!enter">
                <anchor moveWithCells="1" sizeWithCells="1">
                  <from>
                    <xdr:col>5</xdr:col>
                    <xdr:colOff>952500</xdr:colOff>
                    <xdr:row>21</xdr:row>
                    <xdr:rowOff>0</xdr:rowOff>
                  </from>
                  <to>
                    <xdr:col>5</xdr:col>
                    <xdr:colOff>1781175</xdr:colOff>
                    <xdr:row>22</xdr:row>
                    <xdr:rowOff>0</xdr:rowOff>
                  </to>
                </anchor>
              </controlPr>
            </control>
          </mc:Choice>
        </mc:AlternateContent>
        <mc:AlternateContent xmlns:mc="http://schemas.openxmlformats.org/markup-compatibility/2006">
          <mc:Choice Requires="x14">
            <control shapeId="972982" r:id="rId5" name="Button 17590">
              <controlPr defaultSize="0" print="0" autoFill="0" autoPict="0" macro="[0]!p">
                <anchor moveWithCells="1">
                  <from>
                    <xdr:col>8</xdr:col>
                    <xdr:colOff>1019175</xdr:colOff>
                    <xdr:row>20</xdr:row>
                    <xdr:rowOff>400050</xdr:rowOff>
                  </from>
                  <to>
                    <xdr:col>8</xdr:col>
                    <xdr:colOff>1838325</xdr:colOff>
                    <xdr:row>22</xdr:row>
                    <xdr:rowOff>0</xdr:rowOff>
                  </to>
                </anchor>
              </controlPr>
            </control>
          </mc:Choice>
        </mc:AlternateContent>
        <mc:AlternateContent xmlns:mc="http://schemas.openxmlformats.org/markup-compatibility/2006">
          <mc:Choice Requires="x14">
            <control shapeId="972984" r:id="rId6" name="Button 17592">
              <controlPr defaultSize="0" print="0" autoFill="0" autoPict="0" macro="[0]!up">
                <anchor moveWithCells="1">
                  <from>
                    <xdr:col>6</xdr:col>
                    <xdr:colOff>800100</xdr:colOff>
                    <xdr:row>20</xdr:row>
                    <xdr:rowOff>409575</xdr:rowOff>
                  </from>
                  <to>
                    <xdr:col>6</xdr:col>
                    <xdr:colOff>1524000</xdr:colOff>
                    <xdr:row>22</xdr:row>
                    <xdr:rowOff>0</xdr:rowOff>
                  </to>
                </anchor>
              </controlPr>
            </control>
          </mc:Choice>
        </mc:AlternateContent>
        <mc:AlternateContent xmlns:mc="http://schemas.openxmlformats.org/markup-compatibility/2006">
          <mc:Choice Requires="x14">
            <control shapeId="972985" r:id="rId7" name="Button 17593">
              <controlPr defaultSize="0" print="0" autoFill="0" autoPict="0" macro="[0]!down">
                <anchor moveWithCells="1">
                  <from>
                    <xdr:col>6</xdr:col>
                    <xdr:colOff>47625</xdr:colOff>
                    <xdr:row>20</xdr:row>
                    <xdr:rowOff>409575</xdr:rowOff>
                  </from>
                  <to>
                    <xdr:col>6</xdr:col>
                    <xdr:colOff>809625</xdr:colOff>
                    <xdr:row>22</xdr:row>
                    <xdr:rowOff>0</xdr:rowOff>
                  </to>
                </anchor>
              </controlPr>
            </control>
          </mc:Choice>
        </mc:AlternateContent>
        <mc:AlternateContent xmlns:mc="http://schemas.openxmlformats.org/markup-compatibility/2006">
          <mc:Choice Requires="x14">
            <control shapeId="972997" r:id="rId8" name="Button 17605">
              <controlPr defaultSize="0" print="0" autoFill="0" autoPict="0" macro="[0]!load">
                <anchor moveWithCells="1">
                  <from>
                    <xdr:col>3</xdr:col>
                    <xdr:colOff>581025</xdr:colOff>
                    <xdr:row>16</xdr:row>
                    <xdr:rowOff>0</xdr:rowOff>
                  </from>
                  <to>
                    <xdr:col>3</xdr:col>
                    <xdr:colOff>1571625</xdr:colOff>
                    <xdr:row>17</xdr:row>
                    <xdr:rowOff>0</xdr:rowOff>
                  </to>
                </anchor>
              </controlPr>
            </control>
          </mc:Choice>
        </mc:AlternateContent>
        <mc:AlternateContent xmlns:mc="http://schemas.openxmlformats.org/markup-compatibility/2006">
          <mc:Choice Requires="x14">
            <control shapeId="973002" r:id="rId9" name="Button 17610">
              <controlPr defaultSize="0" print="0" autoFill="0" autoPict="0" macro="[0]!_xludf.Clear">
                <anchor moveWithCells="1">
                  <from>
                    <xdr:col>7</xdr:col>
                    <xdr:colOff>428625</xdr:colOff>
                    <xdr:row>15</xdr:row>
                    <xdr:rowOff>428625</xdr:rowOff>
                  </from>
                  <to>
                    <xdr:col>7</xdr:col>
                    <xdr:colOff>1143000</xdr:colOff>
                    <xdr:row>16</xdr:row>
                    <xdr:rowOff>381000</xdr:rowOff>
                  </to>
                </anchor>
              </controlPr>
            </control>
          </mc:Choice>
        </mc:AlternateContent>
        <mc:AlternateContent xmlns:mc="http://schemas.openxmlformats.org/markup-compatibility/2006">
          <mc:Choice Requires="x14">
            <control shapeId="973003" r:id="rId10" name="Button 17611">
              <controlPr defaultSize="0" print="0" autoFill="0" autoPict="0" macro="[0]!sendit">
                <anchor moveWithCells="1">
                  <from>
                    <xdr:col>8</xdr:col>
                    <xdr:colOff>95250</xdr:colOff>
                    <xdr:row>15</xdr:row>
                    <xdr:rowOff>428625</xdr:rowOff>
                  </from>
                  <to>
                    <xdr:col>8</xdr:col>
                    <xdr:colOff>1838325</xdr:colOff>
                    <xdr:row>16</xdr:row>
                    <xdr:rowOff>381000</xdr:rowOff>
                  </to>
                </anchor>
              </controlPr>
            </control>
          </mc:Choice>
        </mc:AlternateContent>
        <mc:AlternateContent xmlns:mc="http://schemas.openxmlformats.org/markup-compatibility/2006">
          <mc:Choice Requires="x14">
            <control shapeId="973017" r:id="rId11" name="Button 17625">
              <controlPr defaultSize="0" print="0" autoFill="0" autoPict="0" macro="[0]!delete">
                <anchor moveWithCells="1">
                  <from>
                    <xdr:col>7</xdr:col>
                    <xdr:colOff>438150</xdr:colOff>
                    <xdr:row>20</xdr:row>
                    <xdr:rowOff>409575</xdr:rowOff>
                  </from>
                  <to>
                    <xdr:col>7</xdr:col>
                    <xdr:colOff>1190625</xdr:colOff>
                    <xdr:row>22</xdr:row>
                    <xdr:rowOff>0</xdr:rowOff>
                  </to>
                </anchor>
              </controlPr>
            </control>
          </mc:Choice>
        </mc:AlternateContent>
        <mc:AlternateContent xmlns:mc="http://schemas.openxmlformats.org/markup-compatibility/2006">
          <mc:Choice Requires="x14">
            <control shapeId="973018" r:id="rId12" name="Button 17626">
              <controlPr defaultSize="0" print="0" autoFill="0" autoPict="0" macro="[0]!Module1.Reward">
                <anchor moveWithCells="1">
                  <from>
                    <xdr:col>8</xdr:col>
                    <xdr:colOff>95250</xdr:colOff>
                    <xdr:row>20</xdr:row>
                    <xdr:rowOff>400050</xdr:rowOff>
                  </from>
                  <to>
                    <xdr:col>8</xdr:col>
                    <xdr:colOff>1000125</xdr:colOff>
                    <xdr:row>22</xdr:row>
                    <xdr:rowOff>0</xdr:rowOff>
                  </to>
                </anchor>
              </controlPr>
            </control>
          </mc:Choice>
        </mc:AlternateContent>
        <mc:AlternateContent xmlns:mc="http://schemas.openxmlformats.org/markup-compatibility/2006">
          <mc:Choice Requires="x14">
            <control shapeId="973023" r:id="rId13" name="Button 17631">
              <controlPr defaultSize="0" print="0" autoFill="0" autoPict="0" macro="[0]!dunno">
                <anchor moveWithCells="1">
                  <from>
                    <xdr:col>5</xdr:col>
                    <xdr:colOff>285750</xdr:colOff>
                    <xdr:row>21</xdr:row>
                    <xdr:rowOff>0</xdr:rowOff>
                  </from>
                  <to>
                    <xdr:col>5</xdr:col>
                    <xdr:colOff>742950</xdr:colOff>
                    <xdr:row>22</xdr:row>
                    <xdr:rowOff>0</xdr:rowOff>
                  </to>
                </anchor>
              </controlPr>
            </control>
          </mc:Choice>
        </mc:AlternateContent>
        <mc:AlternateContent xmlns:mc="http://schemas.openxmlformats.org/markup-compatibility/2006">
          <mc:Choice Requires="x14">
            <control shapeId="973032" r:id="rId14" name="Button 17640">
              <controlPr defaultSize="0" print="0" autoFill="0" autoPict="0" macro="[0]!CSV">
                <anchor moveWithCells="1">
                  <from>
                    <xdr:col>18</xdr:col>
                    <xdr:colOff>904875</xdr:colOff>
                    <xdr:row>1</xdr:row>
                    <xdr:rowOff>990600</xdr:rowOff>
                  </from>
                  <to>
                    <xdr:col>18</xdr:col>
                    <xdr:colOff>1628775</xdr:colOff>
                    <xdr:row>2</xdr:row>
                    <xdr:rowOff>361950</xdr:rowOff>
                  </to>
                </anchor>
              </controlPr>
            </control>
          </mc:Choice>
        </mc:AlternateContent>
        <mc:AlternateContent xmlns:mc="http://schemas.openxmlformats.org/markup-compatibility/2006">
          <mc:Choice Requires="x14">
            <control shapeId="973159" r:id="rId15" name="Button 17767">
              <controlPr defaultSize="0" print="0" autoFill="0" autoPict="0" macro="[0]!Import">
                <anchor moveWithCells="1">
                  <from>
                    <xdr:col>17</xdr:col>
                    <xdr:colOff>828675</xdr:colOff>
                    <xdr:row>2</xdr:row>
                    <xdr:rowOff>9525</xdr:rowOff>
                  </from>
                  <to>
                    <xdr:col>17</xdr:col>
                    <xdr:colOff>1571625</xdr:colOff>
                    <xdr:row>2</xdr:row>
                    <xdr:rowOff>400050</xdr:rowOff>
                  </to>
                </anchor>
              </controlPr>
            </control>
          </mc:Choice>
        </mc:AlternateContent>
        <mc:AlternateContent xmlns:mc="http://schemas.openxmlformats.org/markup-compatibility/2006">
          <mc:Choice Requires="x14">
            <control shapeId="973190" r:id="rId16" name="Button 17798">
              <controlPr defaultSize="0" print="0" autoFill="0" autoPict="0" macro="[0]!taxrate">
                <anchor moveWithCells="1">
                  <from>
                    <xdr:col>8</xdr:col>
                    <xdr:colOff>1533525</xdr:colOff>
                    <xdr:row>19</xdr:row>
                    <xdr:rowOff>0</xdr:rowOff>
                  </from>
                  <to>
                    <xdr:col>9</xdr:col>
                    <xdr:colOff>0</xdr:colOff>
                    <xdr:row>20</xdr:row>
                    <xdr:rowOff>66675</xdr:rowOff>
                  </to>
                </anchor>
              </controlPr>
            </control>
          </mc:Choice>
        </mc:AlternateContent>
        <mc:AlternateContent xmlns:mc="http://schemas.openxmlformats.org/markup-compatibility/2006">
          <mc:Choice Requires="x14">
            <control shapeId="973197" r:id="rId17" name="Button 17805">
              <controlPr defaultSize="0" print="0" autoFill="0" autoPict="0" macro="[0]!export">
                <anchor moveWithCells="1">
                  <from>
                    <xdr:col>17</xdr:col>
                    <xdr:colOff>85725</xdr:colOff>
                    <xdr:row>2</xdr:row>
                    <xdr:rowOff>9525</xdr:rowOff>
                  </from>
                  <to>
                    <xdr:col>17</xdr:col>
                    <xdr:colOff>809625</xdr:colOff>
                    <xdr:row>2</xdr:row>
                    <xdr:rowOff>400050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1000"/>
  <sheetViews>
    <sheetView zoomScale="70" zoomScaleNormal="70" workbookViewId="0">
      <selection activeCell="C370" sqref="C370"/>
    </sheetView>
  </sheetViews>
  <sheetFormatPr baseColWidth="10" defaultColWidth="8.7109375" defaultRowHeight="15" x14ac:dyDescent="0.25"/>
  <cols>
    <col min="1" max="1" width="12.85546875" style="456" customWidth="1"/>
    <col min="2" max="2" width="18.42578125" style="32" customWidth="1"/>
    <col min="3" max="3" width="19" style="84" customWidth="1"/>
    <col min="4" max="4" width="13.5703125" style="33" customWidth="1"/>
    <col min="5" max="5" width="13.28515625" style="52" customWidth="1"/>
    <col min="6" max="6" width="15.42578125" style="32" customWidth="1"/>
    <col min="7" max="7" width="17.42578125" style="32" customWidth="1"/>
    <col min="8" max="8" width="43.85546875" style="78" customWidth="1"/>
    <col min="9" max="9" width="8.7109375" style="32"/>
    <col min="10" max="10" width="14.85546875" style="32" customWidth="1"/>
    <col min="11" max="11" width="12.7109375" style="32" customWidth="1"/>
    <col min="12" max="12" width="15.140625" style="32" customWidth="1"/>
    <col min="13" max="13" width="8.7109375" style="47"/>
    <col min="14" max="14" width="18.7109375" style="47" customWidth="1"/>
    <col min="15" max="15" width="17.85546875" style="32" customWidth="1"/>
    <col min="16" max="16" width="14.42578125" style="32" customWidth="1"/>
    <col min="17" max="17" width="13" style="55" customWidth="1"/>
    <col min="18" max="18" width="17.7109375" style="32" customWidth="1"/>
    <col min="19" max="19" width="15" style="465" customWidth="1"/>
    <col min="20" max="20" width="17" style="84" customWidth="1"/>
    <col min="21" max="21" width="8.7109375" style="32"/>
    <col min="22" max="22" width="13.5703125" style="32" customWidth="1"/>
    <col min="23" max="23" width="12.140625" style="32" bestFit="1" customWidth="1"/>
    <col min="24" max="32" width="10.5703125" style="32" bestFit="1" customWidth="1"/>
    <col min="33" max="34" width="10.28515625" style="32" bestFit="1" customWidth="1"/>
    <col min="35" max="42" width="10.5703125" style="32" bestFit="1" customWidth="1"/>
    <col min="43" max="43" width="10.28515625" style="32" bestFit="1" customWidth="1"/>
    <col min="44" max="44" width="10.140625" style="32" bestFit="1" customWidth="1"/>
    <col min="45" max="52" width="10.28515625" style="32" bestFit="1" customWidth="1"/>
    <col min="53" max="53" width="10.5703125" style="32" bestFit="1" customWidth="1"/>
    <col min="54" max="54" width="10.28515625" style="32" bestFit="1" customWidth="1"/>
    <col min="55" max="63" width="10.5703125" style="32" bestFit="1" customWidth="1"/>
    <col min="64" max="64" width="10.28515625" style="32" bestFit="1" customWidth="1"/>
    <col min="65" max="72" width="10.5703125" style="32" bestFit="1" customWidth="1"/>
    <col min="73" max="73" width="10.28515625" style="32" bestFit="1" customWidth="1"/>
    <col min="74" max="74" width="10.140625" style="32" bestFit="1" customWidth="1"/>
    <col min="75" max="82" width="10.28515625" style="32" bestFit="1" customWidth="1"/>
    <col min="83" max="83" width="10.5703125" style="32" bestFit="1" customWidth="1"/>
    <col min="84" max="84" width="10.28515625" style="32" bestFit="1" customWidth="1"/>
    <col min="85" max="93" width="10.5703125" style="32" bestFit="1" customWidth="1"/>
    <col min="94" max="95" width="10.28515625" style="32" bestFit="1" customWidth="1"/>
    <col min="96" max="96" width="10.5703125" style="32" bestFit="1" customWidth="1"/>
    <col min="97" max="97" width="10.28515625" style="32" bestFit="1" customWidth="1"/>
    <col min="98" max="16384" width="8.7109375" style="32"/>
  </cols>
  <sheetData>
    <row r="1" spans="1:26" s="85" customFormat="1" x14ac:dyDescent="0.25">
      <c r="A1" s="57"/>
      <c r="H1" s="357"/>
      <c r="I1" s="85" t="str">
        <f ca="1">IFERROR(SMALL(M$8:M$500,ROW(Q1)),"")</f>
        <v/>
      </c>
      <c r="M1" s="357"/>
      <c r="N1" s="358"/>
      <c r="O1" s="82"/>
      <c r="P1" s="82"/>
      <c r="Q1" s="83"/>
      <c r="R1" s="82"/>
      <c r="S1" s="461"/>
      <c r="T1" s="82"/>
      <c r="U1" s="82"/>
      <c r="V1" s="82"/>
    </row>
    <row r="2" spans="1:26" s="52" customFormat="1" x14ac:dyDescent="0.25">
      <c r="A2" s="359">
        <v>13082801</v>
      </c>
      <c r="B2" s="52">
        <v>3969910</v>
      </c>
      <c r="C2" s="52">
        <v>65535</v>
      </c>
      <c r="D2" s="52">
        <v>255</v>
      </c>
      <c r="E2" s="52">
        <v>14470546</v>
      </c>
      <c r="F2" s="52">
        <v>13811316</v>
      </c>
      <c r="G2" s="52">
        <v>15261367</v>
      </c>
      <c r="H2" s="360"/>
      <c r="I2" s="57" t="str">
        <f t="shared" ref="I2:I16" ca="1" si="0">IFERROR(SMALL(M$8:M$500,ROW(Q2)),"")</f>
        <v/>
      </c>
      <c r="M2" s="360"/>
      <c r="N2" s="361"/>
      <c r="O2" s="362"/>
      <c r="P2" s="362"/>
      <c r="Q2" s="59"/>
      <c r="R2" s="362"/>
      <c r="S2" s="461"/>
      <c r="T2" s="363"/>
      <c r="U2" s="362"/>
      <c r="V2" s="362"/>
      <c r="W2" s="364"/>
    </row>
    <row r="3" spans="1:26" x14ac:dyDescent="0.25">
      <c r="A3" s="359">
        <v>0</v>
      </c>
      <c r="B3" s="52">
        <v>0</v>
      </c>
      <c r="C3" s="52">
        <v>0</v>
      </c>
      <c r="D3" s="52">
        <v>0</v>
      </c>
      <c r="I3" s="31" t="str">
        <f t="shared" ca="1" si="0"/>
        <v/>
      </c>
      <c r="N3" s="48"/>
      <c r="O3" s="46"/>
      <c r="P3" s="46"/>
      <c r="R3" s="46" t="s">
        <v>57</v>
      </c>
      <c r="S3" s="461" t="s">
        <v>58</v>
      </c>
      <c r="T3" s="82" t="s">
        <v>64</v>
      </c>
      <c r="U3" s="46"/>
      <c r="V3" s="46"/>
      <c r="W3" s="45"/>
    </row>
    <row r="4" spans="1:26" ht="21" x14ac:dyDescent="0.35">
      <c r="A4" s="359"/>
      <c r="B4" s="34" t="s">
        <v>2</v>
      </c>
      <c r="C4" s="34" t="s">
        <v>22</v>
      </c>
      <c r="D4" s="35" t="s">
        <v>6</v>
      </c>
      <c r="E4" s="58" t="s">
        <v>33</v>
      </c>
      <c r="F4" s="36"/>
      <c r="G4" s="35"/>
      <c r="H4" s="79"/>
      <c r="I4" s="31" t="str">
        <f t="shared" ca="1" si="0"/>
        <v/>
      </c>
      <c r="J4" s="37"/>
      <c r="K4" s="38" t="s">
        <v>11</v>
      </c>
      <c r="L4" s="23" t="s">
        <v>12</v>
      </c>
      <c r="N4" s="48"/>
      <c r="O4" s="53" t="s">
        <v>44</v>
      </c>
      <c r="P4" s="46"/>
      <c r="R4" s="68">
        <f>SUMIFS(Sheet1!R7:R500,Sheet1!N7:N500,"&lt;"&amp;INDEX(Sheet3!A:A,Sheet3!B3))</f>
        <v>0</v>
      </c>
      <c r="S4" s="68">
        <f>SUMIFS(Sheet1!S7:S500,Sheet1!N7:N500,"&lt;"&amp;INDEX(Sheet3!A:A,Sheet3!B3))</f>
        <v>0</v>
      </c>
      <c r="T4" s="83">
        <f ca="1">SUM(INDIRECT(ADDRESS(9,Sheet3!B3+17)&amp;":" &amp; ADDRESS(J6,Sheet3!B3+17)))</f>
        <v>0</v>
      </c>
      <c r="U4" s="41"/>
      <c r="V4" s="41"/>
      <c r="W4" s="45"/>
    </row>
    <row r="5" spans="1:26" s="41" customFormat="1" x14ac:dyDescent="0.25">
      <c r="A5" s="59"/>
      <c r="B5" s="55">
        <f ca="1">IF(R6=0,0,6 + MATCH(MAX(B7:B500),B7:B500,0))</f>
        <v>0</v>
      </c>
      <c r="C5" s="83"/>
      <c r="E5" s="59"/>
      <c r="G5" s="41">
        <f>IF(LEFT(Sheet1!K6,2)="0x",Sheet1!K5,IF(AND(Sheet1!L5="",Sheet1!L4=""),"",G4))</f>
        <v>0</v>
      </c>
      <c r="H5" s="80"/>
      <c r="I5" s="31" t="str">
        <f t="shared" ca="1" si="0"/>
        <v/>
      </c>
      <c r="J5" s="41" t="s">
        <v>41</v>
      </c>
      <c r="P5" s="41">
        <f ca="1">IF(R6=0,0,6 + MATCH(MAX(P7:P500),P7:P500,0))</f>
        <v>0</v>
      </c>
      <c r="Q5" s="55"/>
      <c r="R5" s="46" t="s">
        <v>56</v>
      </c>
      <c r="S5" s="461" t="s">
        <v>53</v>
      </c>
      <c r="T5" s="82" t="s">
        <v>59</v>
      </c>
      <c r="U5" s="46"/>
      <c r="V5" s="61" t="s">
        <v>34</v>
      </c>
    </row>
    <row r="6" spans="1:26" ht="21" x14ac:dyDescent="0.35">
      <c r="B6" s="41"/>
      <c r="C6" s="42"/>
      <c r="D6" s="39"/>
      <c r="E6" s="40"/>
      <c r="F6" s="30"/>
      <c r="G6" s="25" t="str">
        <f>IF(LEFT(Sheet1!K7,2)="0x",Sheet1!K6,IF(AND(Sheet1!L6="",Sheet1!L5=""),"",G5))</f>
        <v/>
      </c>
      <c r="H6" s="81"/>
      <c r="I6" s="31" t="str">
        <f t="shared" ca="1" si="0"/>
        <v/>
      </c>
      <c r="J6" s="26">
        <f t="array" ref="J6">MAX(IF(Sheet1!L:L&lt;&gt;"",ROW(Sheet1!L:L)))</f>
        <v>4</v>
      </c>
      <c r="K6" s="24"/>
      <c r="L6" s="24"/>
      <c r="N6" s="48" t="str">
        <f>IF(LEFT(Sheet1!K6,2)="0x",Sheet1!K6,IF(AND(Sheet1!L6="",Sheet1!L5=""),"",N5))</f>
        <v/>
      </c>
      <c r="O6" s="46"/>
      <c r="P6" s="46"/>
      <c r="R6" s="64">
        <f ca="1">SUM(P7:P500)</f>
        <v>0</v>
      </c>
      <c r="S6" s="462">
        <f ca="1">SUM(C7:C500)</f>
        <v>0</v>
      </c>
      <c r="T6" s="65">
        <f ca="1">SUM(D7:D500)</f>
        <v>0</v>
      </c>
      <c r="U6" s="66"/>
      <c r="V6" s="67">
        <f>SUMIFS(S8:S500, Sheet1!N8:N500, "&lt;" &amp; Sheet1!C22)</f>
        <v>0</v>
      </c>
      <c r="W6" s="45"/>
    </row>
    <row r="7" spans="1:26" s="313" customFormat="1" ht="18.75" x14ac:dyDescent="0.3">
      <c r="A7" s="457"/>
      <c r="B7" s="304" t="str">
        <f>IF(AND(Sheet1!L7&lt;0,INDEX(Sheet3!A:A,Sheet3!$B$3)&gt;Sheet1!N7+1-O7),   IF(OR(Sheet1!L8="",INDEX(Sheet3!A:A,Sheet3!$B$3)&lt;=Sheet1!N8-O8),   -1*Sheet1!L7,""),"")</f>
        <v/>
      </c>
      <c r="C7" s="305"/>
      <c r="D7" s="305">
        <f>IF(Sheet3!$B$5="",0,IF(B7="","",IF(E7&lt;1,0,    IF(AND(ROW()=$B$5,  INDEX(Sheet3!B:B,Sheet3!$C$3)&lt;&gt;"-"),      INDEX(Sheet3!B:B,Sheet3!$C$3)  +  (Sheet3!$B$3-Sheet3!$C$3)*C7,          B7*(1+Sheet3!$Q$4)^(E7)+Sheet1!L7))))</f>
        <v>0</v>
      </c>
      <c r="E7" s="305" t="str">
        <f ca="1">IF(Sheet1!L7&lt;0,  IF(Sheet1!L8="",     IF(AND(INDEX(Sheet3!A:A,Sheet3!$C$3)=TODAY(),MOD(NOW(),1)&lt;TIME(7,39,0)+Sheet1!$E$3/24),    INDEX(Sheet3!A:A,Sheet3!$C$3)-Sheet1!N7-2+O7,   INDEX(Sheet3!A:A,Sheet3!$C$3)-Sheet1!N7-1+O7),                                     IF(INDEX(Sheet3!A:A,Sheet3!$C$3)&lt;Sheet1!N8,      INDEX(Sheet3!A:A,Sheet3!$C$3)-Sheet1!N7-1+O7,      Sheet1!N8-Sheet1!N7-1+O7)),"")</f>
        <v/>
      </c>
      <c r="F7" s="305"/>
      <c r="G7" s="305" t="str">
        <f>IF(LEFT(Sheet1!K8,2)="0x",Sheet1!K7,IF(AND(Sheet1!L7="",Sheet1!L6=""),"",G6))</f>
        <v/>
      </c>
      <c r="H7" s="306"/>
      <c r="I7" s="307" t="str">
        <f t="shared" ca="1" si="0"/>
        <v/>
      </c>
      <c r="J7" s="308"/>
      <c r="K7" s="309"/>
      <c r="L7" s="309"/>
      <c r="M7" s="310"/>
      <c r="N7" s="311"/>
      <c r="O7" s="312"/>
      <c r="P7" s="312"/>
      <c r="Q7" s="430"/>
      <c r="R7" s="431"/>
      <c r="S7" s="463"/>
      <c r="T7" s="431"/>
      <c r="U7" s="431"/>
    </row>
    <row r="8" spans="1:26" s="318" customFormat="1" ht="18.75" x14ac:dyDescent="0.3">
      <c r="A8" s="458"/>
      <c r="B8" s="41" t="str">
        <f ca="1">IF(AND(Sheet1!L8&lt;0, Sheet1!$C$21&gt;R8+1,OR(Sheet1!$C$21&lt;=R9,Sheet1!L9="")),   -1*Sheet1!L8,"")</f>
        <v/>
      </c>
      <c r="C8" s="42">
        <f ca="1">IF(Sheet3!$B$5="",0,    IF(E8&lt;1,0,  IF(B8="","",     IF(OR(Sheet3!$B$6=0,INDIRECT(ADDRESS(ROW(),Sheet3!$B$3+16))="" ),D8/E8,    IF(E8&lt;0,0,    IF(OR( INDIRECT(ADDRESS(8,Sheet3!$B$3+16))="",INDIRECT(ADDRESS(ROW(),Sheet3!$B$3+17))=""),        (INDIRECT(ADDRESS(ROW(),Sheet3!$B$3+16))+B8)*Sheet3!$Q$4,         INDIRECT(ADDRESS(ROW(),Sheet3!$B$3+17))-INDIRECT(ADDRESS(ROW(),Sheet3!$B$3+16))))))))</f>
        <v>0</v>
      </c>
      <c r="D8" s="39">
        <f ca="1">IF(Sheet3!$B$5="",0,IF(B8="","",IF(E8&lt;1,0,   IF(INDIRECT(ADDRESS(ROW(), Sheet3!$B$3+17))="",        INDIRECT(ADDRESS(ROW(), Sheet3!$B$3+16))*  (1+Sheet3!$Q$4)   +B8*Sheet3!$Q$4,       INDIRECT(ADDRESS(ROW(), Sheet3!$B$3+17))))))</f>
        <v>0</v>
      </c>
      <c r="E8" s="40">
        <f ca="1">IF(AND(Sheet1!L8&lt;0,  Sheet1!$C$21&gt;R8),    IF(OR(Sheet1!$C$21&lt;=R9,  Sheet1!L9=""),       IF(AND(MOD(NOW(),1)&lt;TIME(9,39,0),Sheet1!$C$22=TODAY()),    Sheet1!$C$21-R8,     Sheet1!$C$21-R8-1),               R9-R8-1),    0)</f>
        <v>0</v>
      </c>
      <c r="F8" s="319"/>
      <c r="G8" s="25" t="str">
        <f>IF(LEFT(Sheet1!K9,2)="0x",Sheet1!K8,IF(AND(Sheet1!L8="",Sheet1!L7=""),"",G7))</f>
        <v/>
      </c>
      <c r="H8" s="320"/>
      <c r="I8" s="321" t="str">
        <f t="shared" ca="1" si="0"/>
        <v/>
      </c>
      <c r="J8" s="322"/>
      <c r="K8" s="323" t="str">
        <f>IF(Sheet1!L8="","",IF(Sheet1!L8&gt;0,ROW(),""))</f>
        <v/>
      </c>
      <c r="L8" s="323" t="str">
        <f t="shared" ref="L8:L71" ca="1" si="1">IF(B8&lt;&gt;"",ROW(),"")</f>
        <v/>
      </c>
      <c r="M8" s="324" t="str">
        <f t="shared" ref="M8:M71" ca="1" si="2">IF(P8&lt;&gt;"",ROW(),"")</f>
        <v/>
      </c>
      <c r="N8" s="325" t="str">
        <f>IF(LEFT(Sheet1!K8,2)="0x",Sheet1!K8,IF(AND(Sheet1!L8="",Sheet1!L7=""),"",N7))</f>
        <v/>
      </c>
      <c r="O8" s="326">
        <f>IF(Sheet1!L8="",0,IF(Sheet1!O8&lt;TIME(7,39,0)+Sheet1!$E$3/24,1,0))</f>
        <v>0</v>
      </c>
      <c r="P8" s="46" t="str">
        <f ca="1">IF(AND(Sheet1!L8&lt;0, Sheet1!$C$21&gt;R8,OR(Sheet1!$C$21&lt;=R9,Sheet1!L9="")),   -1*Sheet1!L8,"")</f>
        <v/>
      </c>
      <c r="Q8" s="315"/>
      <c r="R8" s="316"/>
      <c r="S8" s="464"/>
      <c r="T8" s="317"/>
      <c r="U8" s="314"/>
      <c r="V8" s="314"/>
      <c r="W8" s="314"/>
      <c r="X8" s="314"/>
      <c r="Y8" s="314"/>
      <c r="Z8" s="314"/>
    </row>
    <row r="9" spans="1:26" ht="15.75" x14ac:dyDescent="0.25">
      <c r="A9" s="456" t="str">
        <f>IF(AND(R9&lt;&gt;"",R8&lt;&gt;""),(-Sheet1!L9/Sheet1!L8)^(360/(R9-R8-1))-1,"")</f>
        <v/>
      </c>
      <c r="B9" s="41" t="str">
        <f ca="1">IF(AND(Sheet1!L9&lt;0, Sheet1!$C$21&gt;R9+1,OR(Sheet1!$C$21&lt;=R10,Sheet1!L10="")),   -1*Sheet1!L9,"")</f>
        <v/>
      </c>
      <c r="C9" s="42">
        <f ca="1">IF(Sheet3!$B$5="",0,    IF(E9&lt;1,0,  IF(B9="","",     IF(OR(Sheet3!$B$6=0,INDIRECT(ADDRESS(ROW(),Sheet3!$B$3+16))="" ),D9/E9,    IF(E9&lt;0,0,    IF(OR( INDIRECT(ADDRESS(8,Sheet3!$B$3+16))="",INDIRECT(ADDRESS(ROW(),Sheet3!$B$3+17))=""),        (INDIRECT(ADDRESS(ROW(),Sheet3!$B$3+16))+B9)*Sheet3!$Q$4,         INDIRECT(ADDRESS(ROW(),Sheet3!$B$3+17))-INDIRECT(ADDRESS(ROW(),Sheet3!$B$3+16))))))))</f>
        <v>0</v>
      </c>
      <c r="D9" s="39">
        <f ca="1">IF(Sheet3!$B$5="",0,IF(B9="","",IF(E9&lt;1,0,   IF(INDIRECT(ADDRESS(ROW(), Sheet3!$B$3+17))="",        INDIRECT(ADDRESS(ROW(), Sheet3!$B$3+16))*  (1+Sheet3!$Q$4)   +B9*Sheet3!$Q$4,       INDIRECT(ADDRESS(ROW(), Sheet3!$B$3+17))))))</f>
        <v>0</v>
      </c>
      <c r="E9" s="40">
        <f ca="1">IF(AND(Sheet1!L9&lt;0,  Sheet1!$C$21&gt;R9),    IF(OR(Sheet1!$C$21&lt;=R10,  Sheet1!L10=""),       IF(AND(MOD(NOW(),1)&lt;TIME(9,39,0),Sheet1!$C$22=TODAY()),    Sheet1!$C$21-R9,     Sheet1!$C$21-R9-1),               R10-R9-1),    0)</f>
        <v>0</v>
      </c>
      <c r="F9" s="30"/>
      <c r="G9" s="25" t="str">
        <f>IF(LEFT(Sheet1!K10,2)="0x",Sheet1!K9,IF(AND(Sheet1!L9="",Sheet1!L8=""),"",G8))</f>
        <v/>
      </c>
      <c r="H9" s="81"/>
      <c r="I9" s="31" t="str">
        <f t="shared" ca="1" si="0"/>
        <v/>
      </c>
      <c r="J9" s="27"/>
      <c r="K9" s="24" t="str">
        <f>IF(Sheet1!L9="","",IF(Sheet1!L9&gt;0,ROW(),""))</f>
        <v/>
      </c>
      <c r="L9" s="24" t="str">
        <f t="shared" ca="1" si="1"/>
        <v/>
      </c>
      <c r="M9" s="47" t="str">
        <f t="shared" ca="1" si="2"/>
        <v/>
      </c>
      <c r="N9" s="48" t="str">
        <f>IF(LEFT(Sheet1!K9,2)="0x",Sheet1!K9,IF(AND(Sheet1!L9="",Sheet1!L8=""),"",N8))</f>
        <v/>
      </c>
      <c r="O9" s="46">
        <f>IF(Sheet1!L9="",0,IF(Sheet1!O9&lt;TIME(7,39,0)+Sheet1!$E$3/24,1,0))</f>
        <v>0</v>
      </c>
      <c r="P9" s="46" t="str">
        <f ca="1">IF(AND(Sheet1!L9&lt;0, Sheet1!$C$21&gt;R9,OR(Sheet1!$C$21&lt;=R10,Sheet1!L10="")),   -1*Sheet1!L9,"")</f>
        <v/>
      </c>
    </row>
    <row r="10" spans="1:26" ht="15.75" x14ac:dyDescent="0.25">
      <c r="A10" s="456" t="str">
        <f>IF(AND(R10&lt;&gt;"",R9&lt;&gt;""),(-Sheet1!L10/Sheet1!L9)^(360/(R10-R9-1))-1,"")</f>
        <v/>
      </c>
      <c r="B10" s="41" t="str">
        <f ca="1">IF(AND(Sheet1!L10&lt;0, Sheet1!$C$21&gt;R10+1,OR(Sheet1!$C$21&lt;=R11,Sheet1!L11="")),   -1*Sheet1!L10,"")</f>
        <v/>
      </c>
      <c r="C10" s="42">
        <f ca="1">IF(Sheet3!$B$5="",0,    IF(E10&lt;1,0,  IF(B10="","",     IF(OR(Sheet3!$B$6=0,INDIRECT(ADDRESS(ROW(),Sheet3!$B$3+16))="" ),D10/E10,    IF(E10&lt;0,0,    IF(OR( INDIRECT(ADDRESS(8,Sheet3!$B$3+16))="",INDIRECT(ADDRESS(ROW(),Sheet3!$B$3+17))=""),        (INDIRECT(ADDRESS(ROW(),Sheet3!$B$3+16))+B10)*Sheet3!$Q$4,         INDIRECT(ADDRESS(ROW(),Sheet3!$B$3+17))-INDIRECT(ADDRESS(ROW(),Sheet3!$B$3+16))))))))</f>
        <v>0</v>
      </c>
      <c r="D10" s="39">
        <f ca="1">IF(Sheet3!$B$5="",0,IF(B10="","",IF(E10&lt;1,0,   IF(INDIRECT(ADDRESS(ROW(), Sheet3!$B$3+17))="",        INDIRECT(ADDRESS(ROW(), Sheet3!$B$3+16))*  (1+Sheet3!$Q$4)   +B10*Sheet3!$Q$4,       INDIRECT(ADDRESS(ROW(), Sheet3!$B$3+17))))))</f>
        <v>0</v>
      </c>
      <c r="E10" s="40">
        <f ca="1">IF(AND(Sheet1!L10&lt;0,  Sheet1!$C$21&gt;R10),    IF(OR(Sheet1!$C$21&lt;=R11,  Sheet1!L11=""),       IF(AND(MOD(NOW(),1)&lt;TIME(9,39,0),Sheet1!$C$22=TODAY()),    Sheet1!$C$21-R10,     Sheet1!$C$21-R10-1),               R11-R10-1),    0)</f>
        <v>0</v>
      </c>
      <c r="F10" s="30"/>
      <c r="G10" s="25" t="str">
        <f>IF(LEFT(Sheet1!K11,2)="0x",Sheet1!K10,IF(AND(Sheet1!L10="",Sheet1!L9=""),"",G9))</f>
        <v/>
      </c>
      <c r="H10" s="81"/>
      <c r="I10" s="31" t="str">
        <f t="shared" ca="1" si="0"/>
        <v/>
      </c>
      <c r="J10" s="75" t="s">
        <v>45</v>
      </c>
      <c r="K10" s="24" t="str">
        <f>IF(Sheet1!L10="","",IF(Sheet1!L10&gt;0,ROW(),""))</f>
        <v/>
      </c>
      <c r="L10" s="24" t="str">
        <f t="shared" ca="1" si="1"/>
        <v/>
      </c>
      <c r="M10" s="47" t="str">
        <f t="shared" ca="1" si="2"/>
        <v/>
      </c>
      <c r="N10" s="48" t="str">
        <f>IF(LEFT(Sheet1!K10,2)="0x",Sheet1!K10,IF(AND(Sheet1!L10="",Sheet1!L9=""),"",N9))</f>
        <v/>
      </c>
      <c r="O10" s="46">
        <f>IF(Sheet1!L10="",0,IF(Sheet1!O10&lt;TIME(7,39,0)+Sheet1!$E$3/24,1,0))</f>
        <v>0</v>
      </c>
      <c r="P10" s="46" t="str">
        <f ca="1">IF(AND(Sheet1!L10&lt;0, Sheet1!$C$21&gt;R10,OR(Sheet1!$C$21&lt;=R11,Sheet1!L11="")),   -1*Sheet1!L10,"")</f>
        <v/>
      </c>
      <c r="T10" s="82"/>
      <c r="V10" s="46"/>
    </row>
    <row r="11" spans="1:26" ht="15.75" x14ac:dyDescent="0.25">
      <c r="A11" s="456" t="str">
        <f>IF(AND(R11&lt;&gt;"",R10&lt;&gt;""),(-Sheet1!L11/Sheet1!L10)^(360/(R11-R10-1))-1,"")</f>
        <v/>
      </c>
      <c r="B11" s="41" t="str">
        <f ca="1">IF(AND(Sheet1!L11&lt;0, Sheet1!$C$21&gt;R11+1,OR(Sheet1!$C$21&lt;=R12,Sheet1!L12="")),   -1*Sheet1!L11,"")</f>
        <v/>
      </c>
      <c r="C11" s="42">
        <f ca="1">IF(Sheet3!$B$5="",0,    IF(E11&lt;1,0,  IF(B11="","",     IF(OR(Sheet3!$B$6=0,INDIRECT(ADDRESS(ROW(),Sheet3!$B$3+16))="" ),D11/E11,    IF(E11&lt;0,0,    IF(OR( INDIRECT(ADDRESS(8,Sheet3!$B$3+16))="",INDIRECT(ADDRESS(ROW(),Sheet3!$B$3+17))=""),        (INDIRECT(ADDRESS(ROW(),Sheet3!$B$3+16))+B11)*Sheet3!$Q$4,         INDIRECT(ADDRESS(ROW(),Sheet3!$B$3+17))-INDIRECT(ADDRESS(ROW(),Sheet3!$B$3+16))))))))</f>
        <v>0</v>
      </c>
      <c r="D11" s="39">
        <f ca="1">IF(Sheet3!$B$5="",0,IF(B11="","",IF(E11&lt;1,0,   IF(INDIRECT(ADDRESS(ROW(), Sheet3!$B$3+17))="",        INDIRECT(ADDRESS(ROW(), Sheet3!$B$3+16))*  (1+Sheet3!$Q$4)   +B11*Sheet3!$Q$4,       INDIRECT(ADDRESS(ROW(), Sheet3!$B$3+17))))))</f>
        <v>0</v>
      </c>
      <c r="E11" s="40">
        <f ca="1">IF(AND(Sheet1!L11&lt;0,  Sheet1!$C$21&gt;R11),    IF(OR(Sheet1!$C$21&lt;=R12,  Sheet1!L12=""),       IF(AND(MOD(NOW(),1)&lt;TIME(9,39,0),Sheet1!$C$22=TODAY()),    Sheet1!$C$21-R11,     Sheet1!$C$21-R11-1),               R12-R11-1),    0)</f>
        <v>0</v>
      </c>
      <c r="F11" s="30"/>
      <c r="G11" s="25" t="str">
        <f>IF(LEFT(Sheet1!K12,2)="0x",Sheet1!K11,IF(AND(Sheet1!L11="",Sheet1!L10=""),"",G10))</f>
        <v/>
      </c>
      <c r="H11" s="81"/>
      <c r="I11" s="31" t="str">
        <f t="shared" ca="1" si="0"/>
        <v/>
      </c>
      <c r="J11" s="26">
        <f>IF(MAX(Q7:Q500)=0,0,6 + MATCH(MAX(Q7:Q500),Q7:Q500, 0))</f>
        <v>0</v>
      </c>
      <c r="K11" s="24" t="str">
        <f>IF(Sheet1!L11="","",IF(Sheet1!L11&gt;0,ROW(),""))</f>
        <v/>
      </c>
      <c r="L11" s="24" t="str">
        <f t="shared" ca="1" si="1"/>
        <v/>
      </c>
      <c r="M11" s="47" t="str">
        <f t="shared" ca="1" si="2"/>
        <v/>
      </c>
      <c r="N11" s="48" t="str">
        <f>IF(LEFT(Sheet1!K11,2)="0x",Sheet1!K11,IF(AND(Sheet1!L11="",Sheet1!L10=""),"",N10))</f>
        <v/>
      </c>
      <c r="O11" s="46">
        <f>IF(Sheet1!L11="",0,IF(Sheet1!O11&lt;TIME(7,39,0)+Sheet1!$E$3/24,1,0))</f>
        <v>0</v>
      </c>
      <c r="P11" s="46" t="str">
        <f ca="1">IF(AND(Sheet1!L11&lt;0, Sheet1!$C$21&gt;R11,OR(Sheet1!$C$21&lt;=R12,Sheet1!L12="")),   -1*Sheet1!L11,"")</f>
        <v/>
      </c>
      <c r="T11" s="82"/>
      <c r="V11" s="46"/>
    </row>
    <row r="12" spans="1:26" ht="15.75" x14ac:dyDescent="0.25">
      <c r="A12" s="456" t="str">
        <f>IF(AND(R12&lt;&gt;"",R11&lt;&gt;""),(-Sheet1!L12/Sheet1!L11)^(360/(R12-R11-1))-1,"")</f>
        <v/>
      </c>
      <c r="B12" s="41" t="str">
        <f ca="1">IF(AND(Sheet1!L12&lt;0, Sheet1!$C$21&gt;R12+1,OR(Sheet1!$C$21&lt;=R13,Sheet1!L13="")),   -1*Sheet1!L12,"")</f>
        <v/>
      </c>
      <c r="C12" s="42">
        <f ca="1">IF(Sheet3!$B$5="",0,    IF(E12&lt;1,0,  IF(B12="","",     IF(OR(Sheet3!$B$6=0,INDIRECT(ADDRESS(ROW(),Sheet3!$B$3+16))="" ),D12/E12,    IF(E12&lt;0,0,    IF(OR( INDIRECT(ADDRESS(8,Sheet3!$B$3+16))="",INDIRECT(ADDRESS(ROW(),Sheet3!$B$3+17))=""),        (INDIRECT(ADDRESS(ROW(),Sheet3!$B$3+16))+B12)*Sheet3!$Q$4,         INDIRECT(ADDRESS(ROW(),Sheet3!$B$3+17))-INDIRECT(ADDRESS(ROW(),Sheet3!$B$3+16))))))))</f>
        <v>0</v>
      </c>
      <c r="D12" s="39">
        <f ca="1">IF(Sheet3!$B$5="",0,IF(B12="","",IF(E12&lt;1,0,   IF(INDIRECT(ADDRESS(ROW(), Sheet3!$B$3+17))="",        INDIRECT(ADDRESS(ROW(), Sheet3!$B$3+16))*  (1+Sheet3!$Q$4)   +B12*Sheet3!$Q$4,       INDIRECT(ADDRESS(ROW(), Sheet3!$B$3+17))))))</f>
        <v>0</v>
      </c>
      <c r="E12" s="40">
        <f ca="1">IF(AND(Sheet1!L12&lt;0,  Sheet1!$C$21&gt;R12),    IF(OR(Sheet1!$C$21&lt;=R13,  Sheet1!L13=""),       IF(AND(MOD(NOW(),1)&lt;TIME(9,39,0),Sheet1!$C$22=TODAY()),    Sheet1!$C$21-R12,     Sheet1!$C$21-R12-1),               R13-R12-1),    0)</f>
        <v>0</v>
      </c>
      <c r="F12" s="30"/>
      <c r="G12" s="25" t="str">
        <f>IF(LEFT(Sheet1!K13,2)="0x",Sheet1!K12,IF(AND(Sheet1!L12="",Sheet1!L11=""),"",G11))</f>
        <v/>
      </c>
      <c r="H12" s="81"/>
      <c r="I12" s="31" t="str">
        <f t="shared" ca="1" si="0"/>
        <v/>
      </c>
      <c r="J12" s="27"/>
      <c r="K12" s="24" t="str">
        <f>IF(Sheet1!L12="","",IF(Sheet1!L12&gt;0,ROW(),""))</f>
        <v/>
      </c>
      <c r="L12" s="24" t="str">
        <f t="shared" ca="1" si="1"/>
        <v/>
      </c>
      <c r="M12" s="47" t="str">
        <f t="shared" ca="1" si="2"/>
        <v/>
      </c>
      <c r="N12" s="48" t="str">
        <f>IF(LEFT(Sheet1!K12,2)="0x",Sheet1!K12,IF(AND(Sheet1!L12="",Sheet1!L11=""),"",N11))</f>
        <v/>
      </c>
      <c r="O12" s="46">
        <f>IF(Sheet1!L12="",0,IF(Sheet1!O12&lt;TIME(7,39,0)+Sheet1!$E$3/24,1,0))</f>
        <v>0</v>
      </c>
      <c r="P12" s="46" t="str">
        <f ca="1">IF(AND(Sheet1!L12&lt;0, Sheet1!$C$21&gt;R12,OR(Sheet1!$C$21&lt;=R13,Sheet1!L13="")),   -1*Sheet1!L12,"")</f>
        <v/>
      </c>
      <c r="T12" s="82"/>
      <c r="V12" s="46"/>
    </row>
    <row r="13" spans="1:26" ht="15.75" x14ac:dyDescent="0.25">
      <c r="A13" s="456" t="str">
        <f>IF(AND(R13&lt;&gt;"",R12&lt;&gt;""),(-Sheet1!L13/Sheet1!L12)^(360/(R13-R12-1))-1,"")</f>
        <v/>
      </c>
      <c r="B13" s="41" t="str">
        <f ca="1">IF(AND(Sheet1!L13&lt;0, Sheet1!$C$21&gt;R13+1,OR(Sheet1!$C$21&lt;=R14,Sheet1!L14="")),   -1*Sheet1!L13,"")</f>
        <v/>
      </c>
      <c r="C13" s="42">
        <f ca="1">IF(Sheet3!$B$5="",0,    IF(E13&lt;1,0,  IF(B13="","",     IF(OR(Sheet3!$B$6=0,INDIRECT(ADDRESS(ROW(),Sheet3!$B$3+16))="" ),D13/E13,    IF(E13&lt;0,0,    IF(OR( INDIRECT(ADDRESS(8,Sheet3!$B$3+16))="",INDIRECT(ADDRESS(ROW(),Sheet3!$B$3+17))=""),        (INDIRECT(ADDRESS(ROW(),Sheet3!$B$3+16))+B13)*Sheet3!$Q$4,         INDIRECT(ADDRESS(ROW(),Sheet3!$B$3+17))-INDIRECT(ADDRESS(ROW(),Sheet3!$B$3+16))))))))</f>
        <v>0</v>
      </c>
      <c r="D13" s="39">
        <f ca="1">IF(Sheet3!$B$5="",0,IF(B13="","",IF(E13&lt;1,0,   IF(INDIRECT(ADDRESS(ROW(), Sheet3!$B$3+17))="",        INDIRECT(ADDRESS(ROW(), Sheet3!$B$3+16))*  (1+Sheet3!$Q$4)   +B13*Sheet3!$Q$4,       INDIRECT(ADDRESS(ROW(), Sheet3!$B$3+17))))))</f>
        <v>0</v>
      </c>
      <c r="E13" s="40">
        <f ca="1">IF(AND(Sheet1!L13&lt;0,  Sheet1!$C$21&gt;R13),    IF(OR(Sheet1!$C$21&lt;=R14,  Sheet1!L14=""),       IF(AND(MOD(NOW(),1)&lt;TIME(9,39,0),Sheet1!$C$22=TODAY()),    Sheet1!$C$21-R13,     Sheet1!$C$21-R13-1),               R14-R13-1),    0)</f>
        <v>0</v>
      </c>
      <c r="F13" s="30"/>
      <c r="G13" s="25" t="str">
        <f>IF(LEFT(Sheet1!K14,2)="0x",Sheet1!K13,IF(AND(Sheet1!L13="",Sheet1!L12=""),"",G12))</f>
        <v/>
      </c>
      <c r="H13" s="81"/>
      <c r="I13" s="31" t="str">
        <f t="shared" ca="1" si="0"/>
        <v/>
      </c>
      <c r="J13" s="51">
        <v>0</v>
      </c>
      <c r="K13" s="24" t="str">
        <f>IF(Sheet1!L13="","",IF(Sheet1!L13&gt;0,ROW(),""))</f>
        <v/>
      </c>
      <c r="L13" s="24" t="str">
        <f t="shared" ca="1" si="1"/>
        <v/>
      </c>
      <c r="M13" s="47" t="str">
        <f t="shared" ca="1" si="2"/>
        <v/>
      </c>
      <c r="N13" s="48" t="str">
        <f>IF(LEFT(Sheet1!K13,2)="0x",Sheet1!K13,IF(AND(Sheet1!L13="",Sheet1!L12=""),"",N12))</f>
        <v/>
      </c>
      <c r="O13" s="46">
        <f>IF(Sheet1!L13="",0,IF(Sheet1!O13&lt;TIME(7,39,0)+Sheet1!$E$3/24,1,0))</f>
        <v>0</v>
      </c>
      <c r="P13" s="46" t="str">
        <f ca="1">IF(AND(Sheet1!L13&lt;0, Sheet1!$C$21&gt;R13,OR(Sheet1!$C$21&lt;=R14,Sheet1!L14="")),   -1*Sheet1!L13,"")</f>
        <v/>
      </c>
    </row>
    <row r="14" spans="1:26" ht="15.75" x14ac:dyDescent="0.25">
      <c r="A14" s="456" t="str">
        <f>IF(AND(R14&lt;&gt;"",R13&lt;&gt;""),(-Sheet1!L14/Sheet1!L13)^(360/(R14-R13-1))-1,"")</f>
        <v/>
      </c>
      <c r="B14" s="41" t="str">
        <f ca="1">IF(AND(Sheet1!L14&lt;0, Sheet1!$C$21&gt;R14+1,OR(Sheet1!$C$21&lt;=R15,Sheet1!L15="")),   -1*Sheet1!L14,"")</f>
        <v/>
      </c>
      <c r="C14" s="42">
        <f ca="1">IF(Sheet3!$B$5="",0,    IF(E14&lt;1,0,  IF(B14="","",     IF(OR(Sheet3!$B$6=0,INDIRECT(ADDRESS(ROW(),Sheet3!$B$3+16))="" ),D14/E14,    IF(E14&lt;0,0,    IF(OR( INDIRECT(ADDRESS(8,Sheet3!$B$3+16))="",INDIRECT(ADDRESS(ROW(),Sheet3!$B$3+17))=""),        (INDIRECT(ADDRESS(ROW(),Sheet3!$B$3+16))+B14)*Sheet3!$Q$4,         INDIRECT(ADDRESS(ROW(),Sheet3!$B$3+17))-INDIRECT(ADDRESS(ROW(),Sheet3!$B$3+16))))))))</f>
        <v>0</v>
      </c>
      <c r="D14" s="39">
        <f ca="1">IF(Sheet3!$B$5="",0,IF(B14="","",IF(E14&lt;1,0,   IF(INDIRECT(ADDRESS(ROW(), Sheet3!$B$3+17))="",        INDIRECT(ADDRESS(ROW(), Sheet3!$B$3+16))*  (1+Sheet3!$Q$4)   +B14*Sheet3!$Q$4,       INDIRECT(ADDRESS(ROW(), Sheet3!$B$3+17))))))</f>
        <v>0</v>
      </c>
      <c r="E14" s="40">
        <f ca="1">IF(AND(Sheet1!L14&lt;0,  Sheet1!$C$21&gt;R14),    IF(OR(Sheet1!$C$21&lt;=R15,  Sheet1!L15=""),       IF(AND(MOD(NOW(),1)&lt;TIME(9,39,0),Sheet1!$C$22=TODAY()),    Sheet1!$C$21-R14,     Sheet1!$C$21-R14-1),               R15-R14-1),    0)</f>
        <v>0</v>
      </c>
      <c r="F14" s="30"/>
      <c r="G14" s="25" t="str">
        <f>IF(LEFT(Sheet1!K15,2)="0x",Sheet1!K14,IF(AND(Sheet1!L14="",Sheet1!L13=""),"",G13))</f>
        <v/>
      </c>
      <c r="H14" s="81"/>
      <c r="I14" s="31" t="str">
        <f t="shared" ca="1" si="0"/>
        <v/>
      </c>
      <c r="J14" s="51">
        <v>2233352</v>
      </c>
      <c r="K14" s="24" t="str">
        <f>IF(Sheet1!L14="","",IF(Sheet1!L14&gt;0,ROW(),""))</f>
        <v/>
      </c>
      <c r="L14" s="24" t="str">
        <f t="shared" ca="1" si="1"/>
        <v/>
      </c>
      <c r="M14" s="47" t="str">
        <f t="shared" ca="1" si="2"/>
        <v/>
      </c>
      <c r="N14" s="48" t="str">
        <f>IF(LEFT(Sheet1!K14,2)="0x",Sheet1!K14,IF(AND(Sheet1!L14="",Sheet1!L13=""),"",N13))</f>
        <v/>
      </c>
      <c r="O14" s="46">
        <f>IF(Sheet1!L14="",0,IF(Sheet1!O14&lt;TIME(7,39,0)+Sheet1!$E$3/24,1,0))</f>
        <v>0</v>
      </c>
      <c r="P14" s="46" t="str">
        <f ca="1">IF(AND(Sheet1!L14&lt;0, Sheet1!$C$21&gt;R14,OR(Sheet1!$C$21&lt;=R15,Sheet1!L15="")),   -1*Sheet1!L14,"")</f>
        <v/>
      </c>
    </row>
    <row r="15" spans="1:26" ht="15.75" x14ac:dyDescent="0.25">
      <c r="A15" s="456" t="str">
        <f>IF(AND(R15&lt;&gt;"",R14&lt;&gt;""),(-Sheet1!L15/Sheet1!L14)^(360/(R15-R14-1))-1,"")</f>
        <v/>
      </c>
      <c r="B15" s="41" t="str">
        <f ca="1">IF(AND(Sheet1!L15&lt;0, Sheet1!$C$21&gt;R15+1,OR(Sheet1!$C$21&lt;=R16,Sheet1!L16="")),   -1*Sheet1!L15,"")</f>
        <v/>
      </c>
      <c r="C15" s="42">
        <f ca="1">IF(Sheet3!$B$5="",0,    IF(E15&lt;1,0,  IF(B15="","",     IF(OR(Sheet3!$B$6=0,INDIRECT(ADDRESS(ROW(),Sheet3!$B$3+16))="" ),D15/E15,    IF(E15&lt;0,0,    IF(OR( INDIRECT(ADDRESS(8,Sheet3!$B$3+16))="",INDIRECT(ADDRESS(ROW(),Sheet3!$B$3+17))=""),        (INDIRECT(ADDRESS(ROW(),Sheet3!$B$3+16))+B15)*Sheet3!$Q$4,         INDIRECT(ADDRESS(ROW(),Sheet3!$B$3+17))-INDIRECT(ADDRESS(ROW(),Sheet3!$B$3+16))))))))</f>
        <v>0</v>
      </c>
      <c r="D15" s="39">
        <f ca="1">IF(Sheet3!$B$5="",0,IF(B15="","",IF(E15&lt;1,0,   IF(INDIRECT(ADDRESS(ROW(), Sheet3!$B$3+17))="",        INDIRECT(ADDRESS(ROW(), Sheet3!$B$3+16))*  (1+Sheet3!$Q$4)   +B15*Sheet3!$Q$4,       INDIRECT(ADDRESS(ROW(), Sheet3!$B$3+17))))))</f>
        <v>0</v>
      </c>
      <c r="E15" s="40">
        <f ca="1">IF(AND(Sheet1!L15&lt;0,  Sheet1!$C$21&gt;R15),    IF(OR(Sheet1!$C$21&lt;=R16,  Sheet1!L16=""),       IF(AND(MOD(NOW(),1)&lt;TIME(9,39,0),Sheet1!$C$22=TODAY()),    Sheet1!$C$21-R15,     Sheet1!$C$21-R15-1),               R16-R15-1),    0)</f>
        <v>0</v>
      </c>
      <c r="F15" s="30"/>
      <c r="G15" s="25" t="str">
        <f>IF(LEFT(Sheet1!K16,2)="0x",Sheet1!K15,IF(AND(Sheet1!L15="",Sheet1!L14=""),"",G14))</f>
        <v/>
      </c>
      <c r="H15" s="81"/>
      <c r="I15" s="31" t="str">
        <f t="shared" ca="1" si="0"/>
        <v/>
      </c>
      <c r="J15" s="51">
        <v>2889994</v>
      </c>
      <c r="K15" s="24" t="str">
        <f>IF(Sheet1!L15="","",IF(Sheet1!L15&gt;0,ROW(),""))</f>
        <v/>
      </c>
      <c r="L15" s="24" t="str">
        <f t="shared" ca="1" si="1"/>
        <v/>
      </c>
      <c r="M15" s="47" t="str">
        <f t="shared" ca="1" si="2"/>
        <v/>
      </c>
      <c r="N15" s="48" t="str">
        <f>IF(LEFT(Sheet1!K15,2)="0x",Sheet1!K15,IF(AND(Sheet1!L15="",Sheet1!L14=""),"",N14))</f>
        <v/>
      </c>
      <c r="O15" s="46">
        <f>IF(Sheet1!L15="",0,IF(Sheet1!O15&lt;TIME(7,39,0)+Sheet1!$E$3/24,1,0))</f>
        <v>0</v>
      </c>
      <c r="P15" s="46" t="str">
        <f ca="1">IF(AND(Sheet1!L15&lt;0, Sheet1!$C$21&gt;R15,OR(Sheet1!$C$21&lt;=R16,Sheet1!L16="")),   -1*Sheet1!L15,"")</f>
        <v/>
      </c>
    </row>
    <row r="16" spans="1:26" ht="15.75" x14ac:dyDescent="0.25">
      <c r="A16" s="456" t="str">
        <f>IF(AND(R16&lt;&gt;"",R15&lt;&gt;""),(-Sheet1!L16/Sheet1!L15)^(360/(R16-R15-1))-1,"")</f>
        <v/>
      </c>
      <c r="B16" s="41" t="str">
        <f ca="1">IF(AND(Sheet1!L16&lt;0, Sheet1!$C$21&gt;R16+1,OR(Sheet1!$C$21&lt;=R17,Sheet1!L17="")),   -1*Sheet1!L16,"")</f>
        <v/>
      </c>
      <c r="C16" s="42">
        <f ca="1">IF(Sheet3!$B$5="",0,    IF(E16&lt;1,0,  IF(B16="","",     IF(OR(Sheet3!$B$6=0,INDIRECT(ADDRESS(ROW(),Sheet3!$B$3+16))="" ),D16/E16,    IF(E16&lt;0,0,    IF(OR( INDIRECT(ADDRESS(8,Sheet3!$B$3+16))="",INDIRECT(ADDRESS(ROW(),Sheet3!$B$3+17))=""),        (INDIRECT(ADDRESS(ROW(),Sheet3!$B$3+16))+B16)*Sheet3!$Q$4,         INDIRECT(ADDRESS(ROW(),Sheet3!$B$3+17))-INDIRECT(ADDRESS(ROW(),Sheet3!$B$3+16))))))))</f>
        <v>0</v>
      </c>
      <c r="D16" s="39">
        <f ca="1">IF(Sheet3!$B$5="",0,IF(B16="","",IF(E16&lt;1,0,   IF(INDIRECT(ADDRESS(ROW(), Sheet3!$B$3+17))="",        INDIRECT(ADDRESS(ROW(), Sheet3!$B$3+16))*  (1+Sheet3!$Q$4)   +B16*Sheet3!$Q$4,       INDIRECT(ADDRESS(ROW(), Sheet3!$B$3+17))))))</f>
        <v>0</v>
      </c>
      <c r="E16" s="40">
        <f ca="1">IF(AND(Sheet1!L16&lt;0,  Sheet1!$C$21&gt;R16),    IF(OR(Sheet1!$C$21&lt;=R17,  Sheet1!L17=""),       IF(AND(MOD(NOW(),1)&lt;TIME(9,39,0),Sheet1!$C$22=TODAY()),    Sheet1!$C$21-R16,     Sheet1!$C$21-R16-1),               R17-R16-1),    0)</f>
        <v>0</v>
      </c>
      <c r="F16" s="30"/>
      <c r="G16" s="25" t="str">
        <f>IF(LEFT(Sheet1!K17,2)="0x",Sheet1!K16,IF(AND(Sheet1!L16="",Sheet1!L15=""),"",G15))</f>
        <v/>
      </c>
      <c r="H16" s="81"/>
      <c r="I16" s="31" t="str">
        <f t="shared" ca="1" si="0"/>
        <v/>
      </c>
      <c r="J16" s="366">
        <v>15921906</v>
      </c>
      <c r="K16" s="24" t="str">
        <f>IF(Sheet1!L16="","",IF(Sheet1!L16&gt;0,ROW(),""))</f>
        <v/>
      </c>
      <c r="L16" s="24" t="str">
        <f t="shared" ca="1" si="1"/>
        <v/>
      </c>
      <c r="M16" s="47" t="str">
        <f t="shared" ca="1" si="2"/>
        <v/>
      </c>
      <c r="N16" s="48" t="str">
        <f>IF(LEFT(Sheet1!K16,2)="0x",Sheet1!K16,IF(AND(Sheet1!L16="",Sheet1!L15=""),"",N15))</f>
        <v/>
      </c>
      <c r="O16" s="46">
        <f>IF(Sheet1!L16="",0,IF(Sheet1!O16&lt;TIME(7,39,0)+Sheet1!$E$3/24,1,0))</f>
        <v>0</v>
      </c>
      <c r="P16" s="46" t="str">
        <f ca="1">IF(AND(Sheet1!L16&lt;0, Sheet1!$C$21&gt;R16,OR(Sheet1!$C$21&lt;=R17,Sheet1!L17="")),   -1*Sheet1!L16,"")</f>
        <v/>
      </c>
    </row>
    <row r="17" spans="1:16" ht="15.75" x14ac:dyDescent="0.25">
      <c r="A17" s="456" t="str">
        <f>IF(AND(R17&lt;&gt;"",R16&lt;&gt;""),(-Sheet1!L17/Sheet1!L16)^(360/(R17-R16-1))-1,"")</f>
        <v/>
      </c>
      <c r="B17" s="41" t="str">
        <f ca="1">IF(AND(Sheet1!L17&lt;0, Sheet1!$C$21&gt;R17+1,OR(Sheet1!$C$21&lt;=R18,Sheet1!L18="")),   -1*Sheet1!L17,"")</f>
        <v/>
      </c>
      <c r="C17" s="42">
        <f ca="1">IF(Sheet3!$B$5="",0,    IF(E17&lt;1,0,  IF(B17="","",     IF(OR(Sheet3!$B$6=0,INDIRECT(ADDRESS(ROW(),Sheet3!$B$3+16))="" ),D17/E17,    IF(E17&lt;0,0,    IF(OR( INDIRECT(ADDRESS(8,Sheet3!$B$3+16))="",INDIRECT(ADDRESS(ROW(),Sheet3!$B$3+17))=""),        (INDIRECT(ADDRESS(ROW(),Sheet3!$B$3+16))+B17)*Sheet3!$Q$4,         INDIRECT(ADDRESS(ROW(),Sheet3!$B$3+17))-INDIRECT(ADDRESS(ROW(),Sheet3!$B$3+16))))))))</f>
        <v>0</v>
      </c>
      <c r="D17" s="39">
        <f ca="1">IF(Sheet3!$B$5="",0,IF(B17="","",IF(E17&lt;1,0,   IF(INDIRECT(ADDRESS(ROW(), Sheet3!$B$3+17))="",        INDIRECT(ADDRESS(ROW(), Sheet3!$B$3+16))*  (1+Sheet3!$Q$4)   +B17*Sheet3!$Q$4,       INDIRECT(ADDRESS(ROW(), Sheet3!$B$3+17))))))</f>
        <v>0</v>
      </c>
      <c r="E17" s="40">
        <f ca="1">IF(AND(Sheet1!L17&lt;0,  Sheet1!$C$21&gt;R17),    IF(OR(Sheet1!$C$21&lt;=R18,  Sheet1!L18=""),       IF(AND(MOD(NOW(),1)&lt;TIME(9,39,0),Sheet1!$C$22=TODAY()),    Sheet1!$C$21-R17,     Sheet1!$C$21-R17-1),               R18-R17-1),    0)</f>
        <v>0</v>
      </c>
      <c r="F17" s="30"/>
      <c r="G17" s="25" t="str">
        <f>IF(LEFT(Sheet1!K18,2)="0x",Sheet1!K17,IF(AND(Sheet1!L17="",Sheet1!L16=""),"",G16))</f>
        <v/>
      </c>
      <c r="H17" s="81"/>
      <c r="I17" s="74" t="s">
        <v>70</v>
      </c>
      <c r="J17" s="27">
        <v>0</v>
      </c>
      <c r="K17" s="24" t="str">
        <f>IF(Sheet1!L17="","",IF(Sheet1!L17&gt;0,ROW(),""))</f>
        <v/>
      </c>
      <c r="L17" s="24" t="str">
        <f t="shared" ca="1" si="1"/>
        <v/>
      </c>
      <c r="M17" s="47" t="str">
        <f t="shared" ca="1" si="2"/>
        <v/>
      </c>
      <c r="N17" s="48" t="str">
        <f>IF(LEFT(Sheet1!K17,2)="0x",Sheet1!K17,IF(AND(Sheet1!L17="",Sheet1!L16=""),"",N16))</f>
        <v/>
      </c>
      <c r="O17" s="46">
        <f>IF(Sheet1!L17="",0,IF(Sheet1!O17&lt;TIME(7,39,0)+Sheet1!$E$3/24,1,0))</f>
        <v>0</v>
      </c>
      <c r="P17" s="46" t="str">
        <f ca="1">IF(AND(Sheet1!L17&lt;0, Sheet1!$C$21&gt;R17,OR(Sheet1!$C$21&lt;=R18,Sheet1!L18="")),   -1*Sheet1!L17,"")</f>
        <v/>
      </c>
    </row>
    <row r="18" spans="1:16" ht="15.75" x14ac:dyDescent="0.25">
      <c r="A18" s="456" t="str">
        <f>IF(AND(R18&lt;&gt;"",R17&lt;&gt;""),(-Sheet1!L18/Sheet1!L17)^(360/(R18-R17-1))-1,"")</f>
        <v/>
      </c>
      <c r="B18" s="41" t="str">
        <f ca="1">IF(AND(Sheet1!L18&lt;0, Sheet1!$C$21&gt;R18+1,OR(Sheet1!$C$21&lt;=R19,Sheet1!L19="")),   -1*Sheet1!L18,"")</f>
        <v/>
      </c>
      <c r="C18" s="42">
        <f ca="1">IF(Sheet3!$B$5="",0,    IF(E18&lt;1,0,  IF(B18="","",     IF(OR(Sheet3!$B$6=0,INDIRECT(ADDRESS(ROW(),Sheet3!$B$3+16))="" ),D18/E18,    IF(E18&lt;0,0,    IF(OR( INDIRECT(ADDRESS(8,Sheet3!$B$3+16))="",INDIRECT(ADDRESS(ROW(),Sheet3!$B$3+17))=""),        (INDIRECT(ADDRESS(ROW(),Sheet3!$B$3+16))+B18)*Sheet3!$Q$4,         INDIRECT(ADDRESS(ROW(),Sheet3!$B$3+17))-INDIRECT(ADDRESS(ROW(),Sheet3!$B$3+16))))))))</f>
        <v>0</v>
      </c>
      <c r="D18" s="39">
        <f ca="1">IF(Sheet3!$B$5="",0,IF(B18="","",IF(E18&lt;1,0,   IF(INDIRECT(ADDRESS(ROW(), Sheet3!$B$3+17))="",        INDIRECT(ADDRESS(ROW(), Sheet3!$B$3+16))*  (1+Sheet3!$Q$4)   +B18*Sheet3!$Q$4,       INDIRECT(ADDRESS(ROW(), Sheet3!$B$3+17))))))</f>
        <v>0</v>
      </c>
      <c r="E18" s="40">
        <f ca="1">IF(AND(Sheet1!L18&lt;0,  Sheet1!$C$21&gt;R18),    IF(OR(Sheet1!$C$21&lt;=R19,  Sheet1!L19=""),       IF(AND(MOD(NOW(),1)&lt;TIME(9,39,0),Sheet1!$C$22=TODAY()),    Sheet1!$C$21-R18,     Sheet1!$C$21-R18-1),               R19-R18-1),    0)</f>
        <v>0</v>
      </c>
      <c r="F18" s="30"/>
      <c r="G18" s="25" t="str">
        <f>IF(LEFT(Sheet1!K19,2)="0x",Sheet1!K18,IF(AND(Sheet1!L18="",Sheet1!L17=""),"",G17))</f>
        <v/>
      </c>
      <c r="H18" s="81" t="str">
        <f ca="1">IF(I18="","",INDEX(N:N,I18))</f>
        <v/>
      </c>
      <c r="I18" s="28" t="str">
        <f ca="1">IFERROR(SMALL($L$8:$L$500,ROW(Q1)),"")</f>
        <v/>
      </c>
      <c r="J18" s="29" t="str">
        <f t="shared" ref="J18:J23" ca="1" si="3">IF(I18="","",INDEX(G:G,I18))</f>
        <v/>
      </c>
      <c r="K18" s="24" t="str">
        <f>IF(Sheet1!L18="","",IF(Sheet1!L18&gt;0,ROW(),""))</f>
        <v/>
      </c>
      <c r="L18" s="24" t="str">
        <f t="shared" ca="1" si="1"/>
        <v/>
      </c>
      <c r="M18" s="47" t="str">
        <f t="shared" ca="1" si="2"/>
        <v/>
      </c>
      <c r="N18" s="48" t="str">
        <f>IF(LEFT(Sheet1!K18,2)="0x",Sheet1!K18,IF(AND(Sheet1!L18="",Sheet1!L17=""),"",N17))</f>
        <v/>
      </c>
      <c r="O18" s="46">
        <f>IF(Sheet1!L18="",0,IF(Sheet1!O18&lt;TIME(7,39,0)+Sheet1!$E$3/24,1,0))</f>
        <v>0</v>
      </c>
      <c r="P18" s="46" t="str">
        <f ca="1">IF(AND(Sheet1!L18&lt;0, Sheet1!$C$21&gt;R18,OR(Sheet1!$C$21&lt;=R19,Sheet1!L19="")),   -1*Sheet1!L18,"")</f>
        <v/>
      </c>
    </row>
    <row r="19" spans="1:16" ht="15.75" x14ac:dyDescent="0.25">
      <c r="A19" s="456" t="str">
        <f>IF(AND(R19&lt;&gt;"",R18&lt;&gt;""),(-Sheet1!L19/Sheet1!L18)^(360/(R19-R18-1))-1,"")</f>
        <v/>
      </c>
      <c r="B19" s="41" t="str">
        <f ca="1">IF(AND(Sheet1!L19&lt;0, Sheet1!$C$21&gt;R19+1,OR(Sheet1!$C$21&lt;=R20,Sheet1!L20="")),   -1*Sheet1!L19,"")</f>
        <v/>
      </c>
      <c r="C19" s="42">
        <f ca="1">IF(Sheet3!$B$5="",0,    IF(E19&lt;1,0,  IF(B19="","",     IF(OR(Sheet3!$B$6=0,INDIRECT(ADDRESS(ROW(),Sheet3!$B$3+16))="" ),D19/E19,    IF(E19&lt;0,0,    IF(OR( INDIRECT(ADDRESS(8,Sheet3!$B$3+16))="",INDIRECT(ADDRESS(ROW(),Sheet3!$B$3+17))=""),        (INDIRECT(ADDRESS(ROW(),Sheet3!$B$3+16))+B19)*Sheet3!$Q$4,         INDIRECT(ADDRESS(ROW(),Sheet3!$B$3+17))-INDIRECT(ADDRESS(ROW(),Sheet3!$B$3+16))))))))</f>
        <v>0</v>
      </c>
      <c r="D19" s="39">
        <f ca="1">IF(Sheet3!$B$5="",0,IF(B19="","",IF(E19&lt;1,0,   IF(INDIRECT(ADDRESS(ROW(), Sheet3!$B$3+17))="",        INDIRECT(ADDRESS(ROW(), Sheet3!$B$3+16))*  (1+Sheet3!$Q$4)   +B19*Sheet3!$Q$4,       INDIRECT(ADDRESS(ROW(), Sheet3!$B$3+17))))))</f>
        <v>0</v>
      </c>
      <c r="E19" s="40">
        <f ca="1">IF(AND(Sheet1!L19&lt;0,  Sheet1!$C$21&gt;R19),    IF(OR(Sheet1!$C$21&lt;=R20,  Sheet1!L20=""),       IF(AND(MOD(NOW(),1)&lt;TIME(9,39,0),Sheet1!$C$22=TODAY()),    Sheet1!$C$21-R19,     Sheet1!$C$21-R19-1),               R20-R19-1),    0)</f>
        <v>0</v>
      </c>
      <c r="F19" s="30"/>
      <c r="G19" s="25" t="str">
        <f>IF(LEFT(Sheet1!K20,2)="0x",Sheet1!K19,IF(AND(Sheet1!L19="",Sheet1!L18=""),"",G18))</f>
        <v/>
      </c>
      <c r="H19" s="81" t="str">
        <f t="shared" ref="H19:H36" ca="1" si="4">IF(I19="","",INDEX(N:N,I19))</f>
        <v/>
      </c>
      <c r="I19" s="28" t="str">
        <f t="shared" ref="I19:I37" ca="1" si="5">IFERROR(SMALL($L$8:$L$500,ROW(Q2)),"")</f>
        <v/>
      </c>
      <c r="J19" s="29" t="str">
        <f t="shared" ca="1" si="3"/>
        <v/>
      </c>
      <c r="K19" s="24" t="str">
        <f>IF(Sheet1!L19="","",IF(Sheet1!L19&gt;0,ROW(),""))</f>
        <v/>
      </c>
      <c r="L19" s="24" t="str">
        <f t="shared" ca="1" si="1"/>
        <v/>
      </c>
      <c r="M19" s="47" t="str">
        <f t="shared" ca="1" si="2"/>
        <v/>
      </c>
      <c r="N19" s="48" t="str">
        <f>IF(LEFT(Sheet1!K19,2)="0x",Sheet1!K19,IF(AND(Sheet1!L19="",Sheet1!L18=""),"",N18))</f>
        <v/>
      </c>
      <c r="O19" s="46">
        <f>IF(Sheet1!L19="",0,IF(Sheet1!O19&lt;TIME(7,39,0)+Sheet1!$E$3/24,1,0))</f>
        <v>0</v>
      </c>
      <c r="P19" s="46" t="str">
        <f ca="1">IF(AND(Sheet1!L19&lt;0, Sheet1!$C$21&gt;R19,OR(Sheet1!$C$21&lt;=R20,Sheet1!L20="")),   -1*Sheet1!L19,"")</f>
        <v/>
      </c>
    </row>
    <row r="20" spans="1:16" ht="15.75" x14ac:dyDescent="0.25">
      <c r="A20" s="456" t="str">
        <f>IF(AND(R20&lt;&gt;"",R19&lt;&gt;""),(-Sheet1!L20/Sheet1!L19)^(360/(R20-R19-1))-1,"")</f>
        <v/>
      </c>
      <c r="B20" s="41" t="str">
        <f ca="1">IF(AND(Sheet1!L20&lt;0, Sheet1!$C$21&gt;R20+1,OR(Sheet1!$C$21&lt;=R21,Sheet1!L21="")),   -1*Sheet1!L20,"")</f>
        <v/>
      </c>
      <c r="C20" s="42">
        <f ca="1">IF(Sheet3!$B$5="",0,    IF(E20&lt;1,0,  IF(B20="","",     IF(OR(Sheet3!$B$6=0,INDIRECT(ADDRESS(ROW(),Sheet3!$B$3+16))="" ),D20/E20,    IF(E20&lt;0,0,    IF(OR( INDIRECT(ADDRESS(8,Sheet3!$B$3+16))="",INDIRECT(ADDRESS(ROW(),Sheet3!$B$3+17))=""),        (INDIRECT(ADDRESS(ROW(),Sheet3!$B$3+16))+B20)*Sheet3!$Q$4,         INDIRECT(ADDRESS(ROW(),Sheet3!$B$3+17))-INDIRECT(ADDRESS(ROW(),Sheet3!$B$3+16))))))))</f>
        <v>0</v>
      </c>
      <c r="D20" s="39">
        <f ca="1">IF(Sheet3!$B$5="",0,IF(B20="","",IF(E20&lt;1,0,   IF(INDIRECT(ADDRESS(ROW(), Sheet3!$B$3+17))="",        INDIRECT(ADDRESS(ROW(), Sheet3!$B$3+16))*  (1+Sheet3!$Q$4)   +B20*Sheet3!$Q$4,       INDIRECT(ADDRESS(ROW(), Sheet3!$B$3+17))))))</f>
        <v>0</v>
      </c>
      <c r="E20" s="40">
        <f ca="1">IF(AND(Sheet1!L20&lt;0,  Sheet1!$C$21&gt;R20),    IF(OR(Sheet1!$C$21&lt;=R21,  Sheet1!L21=""),       IF(AND(MOD(NOW(),1)&lt;TIME(9,39,0),Sheet1!$C$22=TODAY()),    Sheet1!$C$21-R20,     Sheet1!$C$21-R20-1),               R21-R20-1),    0)</f>
        <v>0</v>
      </c>
      <c r="F20" s="30"/>
      <c r="G20" s="25" t="str">
        <f>IF(LEFT(Sheet1!K21,2)="0x",Sheet1!K20,IF(AND(Sheet1!L20="",Sheet1!L19=""),"",G19))</f>
        <v/>
      </c>
      <c r="H20" s="81" t="str">
        <f t="shared" ca="1" si="4"/>
        <v/>
      </c>
      <c r="I20" s="28" t="str">
        <f t="shared" ca="1" si="5"/>
        <v/>
      </c>
      <c r="J20" s="29" t="str">
        <f t="shared" ca="1" si="3"/>
        <v/>
      </c>
      <c r="K20" s="24" t="str">
        <f>IF(Sheet1!L20="","",IF(Sheet1!L20&gt;0,ROW(),""))</f>
        <v/>
      </c>
      <c r="L20" s="24" t="str">
        <f t="shared" ca="1" si="1"/>
        <v/>
      </c>
      <c r="M20" s="47" t="str">
        <f t="shared" ca="1" si="2"/>
        <v/>
      </c>
      <c r="N20" s="48" t="str">
        <f>IF(LEFT(Sheet1!K20,2)="0x",Sheet1!K20,IF(AND(Sheet1!L20="",Sheet1!L19=""),"",N19))</f>
        <v/>
      </c>
      <c r="O20" s="46">
        <f>IF(Sheet1!L20="",0,IF(Sheet1!O20&lt;TIME(7,39,0)+Sheet1!$E$3/24,1,0))</f>
        <v>0</v>
      </c>
      <c r="P20" s="46" t="str">
        <f ca="1">IF(AND(Sheet1!L20&lt;0, Sheet1!$C$21&gt;R20,OR(Sheet1!$C$21&lt;=R21,Sheet1!L21="")),   -1*Sheet1!L20,"")</f>
        <v/>
      </c>
    </row>
    <row r="21" spans="1:16" ht="15.75" x14ac:dyDescent="0.25">
      <c r="A21" s="456" t="str">
        <f>IF(AND(R21&lt;&gt;"",R20&lt;&gt;""),(-Sheet1!L21/Sheet1!L20)^(360/(R21-R20-1))-1,"")</f>
        <v/>
      </c>
      <c r="B21" s="41" t="str">
        <f ca="1">IF(AND(Sheet1!L21&lt;0, Sheet1!$C$21&gt;R21+1,OR(Sheet1!$C$21&lt;=R22,Sheet1!L22="")),   -1*Sheet1!L21,"")</f>
        <v/>
      </c>
      <c r="C21" s="42">
        <f ca="1">IF(Sheet3!$B$5="",0,    IF(E21&lt;1,0,  IF(B21="","",     IF(OR(Sheet3!$B$6=0,INDIRECT(ADDRESS(ROW(),Sheet3!$B$3+16))="" ),D21/E21,    IF(E21&lt;0,0,    IF(OR( INDIRECT(ADDRESS(8,Sheet3!$B$3+16))="",INDIRECT(ADDRESS(ROW(),Sheet3!$B$3+17))=""),        (INDIRECT(ADDRESS(ROW(),Sheet3!$B$3+16))+B21)*Sheet3!$Q$4,         INDIRECT(ADDRESS(ROW(),Sheet3!$B$3+17))-INDIRECT(ADDRESS(ROW(),Sheet3!$B$3+16))))))))</f>
        <v>0</v>
      </c>
      <c r="D21" s="39">
        <f ca="1">IF(Sheet3!$B$5="",0,IF(B21="","",IF(E21&lt;1,0,   IF(INDIRECT(ADDRESS(ROW(), Sheet3!$B$3+17))="",        INDIRECT(ADDRESS(ROW(), Sheet3!$B$3+16))*  (1+Sheet3!$Q$4)   +B21*Sheet3!$Q$4,       INDIRECT(ADDRESS(ROW(), Sheet3!$B$3+17))))))</f>
        <v>0</v>
      </c>
      <c r="E21" s="40">
        <f ca="1">IF(AND(Sheet1!L21&lt;0,  Sheet1!$C$21&gt;R21),    IF(OR(Sheet1!$C$21&lt;=R22,  Sheet1!L22=""),       IF(AND(MOD(NOW(),1)&lt;TIME(9,39,0),Sheet1!$C$22=TODAY()),    Sheet1!$C$21-R21,     Sheet1!$C$21-R21-1),               R22-R21-1),    0)</f>
        <v>0</v>
      </c>
      <c r="F21" s="30"/>
      <c r="G21" s="25" t="str">
        <f>IF(LEFT(Sheet1!K22,2)="0x",Sheet1!K21,IF(AND(Sheet1!L21="",Sheet1!L20=""),"",G20))</f>
        <v/>
      </c>
      <c r="H21" s="81" t="str">
        <f t="shared" ca="1" si="4"/>
        <v/>
      </c>
      <c r="I21" s="28" t="str">
        <f t="shared" ca="1" si="5"/>
        <v/>
      </c>
      <c r="J21" s="29" t="str">
        <f t="shared" ca="1" si="3"/>
        <v/>
      </c>
      <c r="K21" s="24" t="str">
        <f>IF(Sheet1!L21="","",IF(Sheet1!L21&gt;0,ROW(),""))</f>
        <v/>
      </c>
      <c r="L21" s="24" t="str">
        <f t="shared" ca="1" si="1"/>
        <v/>
      </c>
      <c r="M21" s="47" t="str">
        <f t="shared" ca="1" si="2"/>
        <v/>
      </c>
      <c r="N21" s="48" t="str">
        <f>IF(LEFT(Sheet1!K21,2)="0x",Sheet1!K21,IF(AND(Sheet1!L21="",Sheet1!L20=""),"",N20))</f>
        <v/>
      </c>
      <c r="O21" s="46">
        <f>IF(Sheet1!L21="",0,IF(Sheet1!O21&lt;TIME(7,39,0)+Sheet1!$E$3/24,1,0))</f>
        <v>0</v>
      </c>
      <c r="P21" s="46" t="str">
        <f ca="1">IF(AND(Sheet1!L21&lt;0, Sheet1!$C$21&gt;R21,OR(Sheet1!$C$21&lt;=R22,Sheet1!L22="")),   -1*Sheet1!L21,"")</f>
        <v/>
      </c>
    </row>
    <row r="22" spans="1:16" ht="15.75" x14ac:dyDescent="0.25">
      <c r="A22" s="456" t="str">
        <f>IF(AND(R22&lt;&gt;"",R21&lt;&gt;""),(-Sheet1!L22/Sheet1!L21)^(360/(R22-R21-1))-1,"")</f>
        <v/>
      </c>
      <c r="B22" s="41" t="str">
        <f ca="1">IF(AND(Sheet1!L22&lt;0, Sheet1!$C$21&gt;R22+1,OR(Sheet1!$C$21&lt;=R23,Sheet1!L23="")),   -1*Sheet1!L22,"")</f>
        <v/>
      </c>
      <c r="C22" s="42">
        <f ca="1">IF(Sheet3!$B$5="",0,    IF(E22&lt;1,0,  IF(B22="","",     IF(OR(Sheet3!$B$6=0,INDIRECT(ADDRESS(ROW(),Sheet3!$B$3+16))="" ),D22/E22,    IF(E22&lt;0,0,    IF(OR( INDIRECT(ADDRESS(8,Sheet3!$B$3+16))="",INDIRECT(ADDRESS(ROW(),Sheet3!$B$3+17))=""),        (INDIRECT(ADDRESS(ROW(),Sheet3!$B$3+16))+B22)*Sheet3!$Q$4,         INDIRECT(ADDRESS(ROW(),Sheet3!$B$3+17))-INDIRECT(ADDRESS(ROW(),Sheet3!$B$3+16))))))))</f>
        <v>0</v>
      </c>
      <c r="D22" s="39">
        <f ca="1">IF(Sheet3!$B$5="",0,IF(B22="","",IF(E22&lt;1,0,   IF(INDIRECT(ADDRESS(ROW(), Sheet3!$B$3+17))="",        INDIRECT(ADDRESS(ROW(), Sheet3!$B$3+16))*  (1+Sheet3!$Q$4)   +B22*Sheet3!$Q$4,       INDIRECT(ADDRESS(ROW(), Sheet3!$B$3+17))))))</f>
        <v>0</v>
      </c>
      <c r="E22" s="40">
        <f ca="1">IF(AND(Sheet1!L22&lt;0,  Sheet1!$C$21&gt;R22),    IF(OR(Sheet1!$C$21&lt;=R23,  Sheet1!L23=""),       IF(AND(MOD(NOW(),1)&lt;TIME(9,39,0),Sheet1!$C$22=TODAY()),    Sheet1!$C$21-R22,     Sheet1!$C$21-R22-1),               R23-R22-1),    0)</f>
        <v>0</v>
      </c>
      <c r="F22" s="30"/>
      <c r="G22" s="25" t="str">
        <f>IF(LEFT(Sheet1!K23,2)="0x",Sheet1!K22,IF(AND(Sheet1!L22="",Sheet1!L21=""),"",G21))</f>
        <v/>
      </c>
      <c r="H22" s="81" t="str">
        <f t="shared" ca="1" si="4"/>
        <v/>
      </c>
      <c r="I22" s="28" t="str">
        <f t="shared" ca="1" si="5"/>
        <v/>
      </c>
      <c r="J22" s="29" t="str">
        <f t="shared" ca="1" si="3"/>
        <v/>
      </c>
      <c r="K22" s="24" t="str">
        <f>IF(Sheet1!L22="","",IF(Sheet1!L22&gt;0,ROW(),""))</f>
        <v/>
      </c>
      <c r="L22" s="24" t="str">
        <f t="shared" ca="1" si="1"/>
        <v/>
      </c>
      <c r="M22" s="47" t="str">
        <f t="shared" ca="1" si="2"/>
        <v/>
      </c>
      <c r="N22" s="48" t="str">
        <f>IF(LEFT(Sheet1!K22,2)="0x",Sheet1!K22,IF(AND(Sheet1!L22="",Sheet1!L21=""),"",N21))</f>
        <v/>
      </c>
      <c r="O22" s="46">
        <f>IF(Sheet1!L22="",0,IF(Sheet1!O22&lt;TIME(7,39,0)+Sheet1!$E$3/24,1,0))</f>
        <v>0</v>
      </c>
      <c r="P22" s="46" t="str">
        <f ca="1">IF(AND(Sheet1!L22&lt;0, Sheet1!$C$21&gt;R22,OR(Sheet1!$C$21&lt;=R23,Sheet1!L23="")),   -1*Sheet1!L22,"")</f>
        <v/>
      </c>
    </row>
    <row r="23" spans="1:16" ht="15.75" x14ac:dyDescent="0.25">
      <c r="A23" s="456" t="str">
        <f>IF(AND(R23&lt;&gt;"",R22&lt;&gt;""),(-Sheet1!L23/Sheet1!L22)^(360/(R23-R22-1))-1,"")</f>
        <v/>
      </c>
      <c r="B23" s="41" t="str">
        <f ca="1">IF(AND(Sheet1!L23&lt;0, Sheet1!$C$21&gt;R23+1,OR(Sheet1!$C$21&lt;=R24,Sheet1!L24="")),   -1*Sheet1!L23,"")</f>
        <v/>
      </c>
      <c r="C23" s="42">
        <f ca="1">IF(Sheet3!$B$5="",0,    IF(E23&lt;1,0,  IF(B23="","",     IF(OR(Sheet3!$B$6=0,INDIRECT(ADDRESS(ROW(),Sheet3!$B$3+16))="" ),D23/E23,    IF(E23&lt;0,0,    IF(OR( INDIRECT(ADDRESS(8,Sheet3!$B$3+16))="",INDIRECT(ADDRESS(ROW(),Sheet3!$B$3+17))=""),        (INDIRECT(ADDRESS(ROW(),Sheet3!$B$3+16))+B23)*Sheet3!$Q$4,         INDIRECT(ADDRESS(ROW(),Sheet3!$B$3+17))-INDIRECT(ADDRESS(ROW(),Sheet3!$B$3+16))))))))</f>
        <v>0</v>
      </c>
      <c r="D23" s="39">
        <f ca="1">IF(Sheet3!$B$5="",0,IF(B23="","",IF(E23&lt;1,0,   IF(INDIRECT(ADDRESS(ROW(), Sheet3!$B$3+17))="",        INDIRECT(ADDRESS(ROW(), Sheet3!$B$3+16))*  (1+Sheet3!$Q$4)   +B23*Sheet3!$Q$4,       INDIRECT(ADDRESS(ROW(), Sheet3!$B$3+17))))))</f>
        <v>0</v>
      </c>
      <c r="E23" s="40">
        <f ca="1">IF(AND(Sheet1!L23&lt;0,  Sheet1!$C$21&gt;R23),    IF(OR(Sheet1!$C$21&lt;=R24,  Sheet1!L24=""),       IF(AND(MOD(NOW(),1)&lt;TIME(9,39,0),Sheet1!$C$22=TODAY()),    Sheet1!$C$21-R23,     Sheet1!$C$21-R23-1),               R24-R23-1),    0)</f>
        <v>0</v>
      </c>
      <c r="F23" s="30"/>
      <c r="G23" s="25" t="str">
        <f>IF(LEFT(Sheet1!K24,2)="0x",Sheet1!K23,IF(AND(Sheet1!L23="",Sheet1!L22=""),"",G22))</f>
        <v/>
      </c>
      <c r="H23" s="81" t="str">
        <f t="shared" ca="1" si="4"/>
        <v/>
      </c>
      <c r="I23" s="28" t="str">
        <f t="shared" ca="1" si="5"/>
        <v/>
      </c>
      <c r="J23" s="29" t="str">
        <f t="shared" ca="1" si="3"/>
        <v/>
      </c>
      <c r="K23" s="24" t="str">
        <f>IF(Sheet1!L23="","",IF(Sheet1!L23&gt;0,ROW(),""))</f>
        <v/>
      </c>
      <c r="L23" s="24" t="str">
        <f t="shared" ca="1" si="1"/>
        <v/>
      </c>
      <c r="M23" s="47" t="str">
        <f t="shared" ca="1" si="2"/>
        <v/>
      </c>
      <c r="N23" s="48" t="str">
        <f>IF(LEFT(Sheet1!K23,2)="0x",Sheet1!K23,IF(AND(Sheet1!L23="",Sheet1!L22=""),"",N22))</f>
        <v/>
      </c>
      <c r="O23" s="46">
        <f>IF(Sheet1!L23="",0,IF(Sheet1!O23&lt;TIME(7,39,0)+Sheet1!$E$3/24,1,0))</f>
        <v>0</v>
      </c>
      <c r="P23" s="46" t="str">
        <f ca="1">IF(AND(Sheet1!L23&lt;0, Sheet1!$C$21&gt;R23,OR(Sheet1!$C$21&lt;=R24,Sheet1!L24="")),   -1*Sheet1!L23,"")</f>
        <v/>
      </c>
    </row>
    <row r="24" spans="1:16" ht="15.75" x14ac:dyDescent="0.25">
      <c r="A24" s="456" t="str">
        <f>IF(AND(R24&lt;&gt;"",R23&lt;&gt;""),(-Sheet1!L24/Sheet1!L23)^(360/(R24-R23-1))-1,"")</f>
        <v/>
      </c>
      <c r="B24" s="41" t="str">
        <f ca="1">IF(AND(Sheet1!L24&lt;0, Sheet1!$C$21&gt;R24+1,OR(Sheet1!$C$21&lt;=R25,Sheet1!L25="")),   -1*Sheet1!L24,"")</f>
        <v/>
      </c>
      <c r="C24" s="42">
        <f ca="1">IF(Sheet3!$B$5="",0,    IF(E24&lt;1,0,  IF(B24="","",     IF(OR(Sheet3!$B$6=0,INDIRECT(ADDRESS(ROW(),Sheet3!$B$3+16))="" ),D24/E24,    IF(E24&lt;0,0,    IF(OR( INDIRECT(ADDRESS(8,Sheet3!$B$3+16))="",INDIRECT(ADDRESS(ROW(),Sheet3!$B$3+17))=""),        (INDIRECT(ADDRESS(ROW(),Sheet3!$B$3+16))+B24)*Sheet3!$Q$4,         INDIRECT(ADDRESS(ROW(),Sheet3!$B$3+17))-INDIRECT(ADDRESS(ROW(),Sheet3!$B$3+16))))))))</f>
        <v>0</v>
      </c>
      <c r="D24" s="39">
        <f ca="1">IF(Sheet3!$B$5="",0,IF(B24="","",IF(E24&lt;1,0,   IF(INDIRECT(ADDRESS(ROW(), Sheet3!$B$3+17))="",        INDIRECT(ADDRESS(ROW(), Sheet3!$B$3+16))*  (1+Sheet3!$Q$4)   +B24*Sheet3!$Q$4,       INDIRECT(ADDRESS(ROW(), Sheet3!$B$3+17))))))</f>
        <v>0</v>
      </c>
      <c r="E24" s="40">
        <f ca="1">IF(AND(Sheet1!L24&lt;0,  Sheet1!$C$21&gt;R24),    IF(OR(Sheet1!$C$21&lt;=R25,  Sheet1!L25=""),       IF(AND(MOD(NOW(),1)&lt;TIME(9,39,0),Sheet1!$C$22=TODAY()),    Sheet1!$C$21-R24,     Sheet1!$C$21-R24-1),               R25-R24-1),    0)</f>
        <v>0</v>
      </c>
      <c r="F24" s="30"/>
      <c r="G24" s="25" t="str">
        <f>IF(LEFT(Sheet1!K25,2)="0x",Sheet1!K24,IF(AND(Sheet1!L24="",Sheet1!L23=""),"",G23))</f>
        <v/>
      </c>
      <c r="H24" s="81" t="str">
        <f t="shared" ca="1" si="4"/>
        <v/>
      </c>
      <c r="I24" s="28" t="str">
        <f t="shared" ca="1" si="5"/>
        <v/>
      </c>
      <c r="J24" s="29" t="str">
        <f ca="1">IF(I24="","",INDEX(G:G,I24))</f>
        <v/>
      </c>
      <c r="K24" s="24" t="str">
        <f>IF(Sheet1!L24="","",IF(Sheet1!L24&gt;0,ROW(),""))</f>
        <v/>
      </c>
      <c r="L24" s="24" t="str">
        <f t="shared" ca="1" si="1"/>
        <v/>
      </c>
      <c r="M24" s="47" t="str">
        <f t="shared" ca="1" si="2"/>
        <v/>
      </c>
      <c r="N24" s="48" t="str">
        <f>IF(LEFT(Sheet1!K24,2)="0x",Sheet1!K24,IF(AND(Sheet1!L24="",Sheet1!L23=""),"",N23))</f>
        <v/>
      </c>
      <c r="O24" s="46">
        <f>IF(Sheet1!L24="",0,IF(Sheet1!O24&lt;TIME(7,39,0)+Sheet1!$E$3/24,1,0))</f>
        <v>0</v>
      </c>
      <c r="P24" s="46" t="str">
        <f ca="1">IF(AND(Sheet1!L24&lt;0, Sheet1!$C$21&gt;R24,OR(Sheet1!$C$21&lt;=R25,Sheet1!L25="")),   -1*Sheet1!L24,"")</f>
        <v/>
      </c>
    </row>
    <row r="25" spans="1:16" ht="15.75" x14ac:dyDescent="0.25">
      <c r="A25" s="456" t="str">
        <f>IF(AND(R25&lt;&gt;"",R24&lt;&gt;""),(-Sheet1!L25/Sheet1!L24)^(360/(R25-R24-1))-1,"")</f>
        <v/>
      </c>
      <c r="B25" s="41" t="str">
        <f ca="1">IF(AND(Sheet1!L25&lt;0, Sheet1!$C$21&gt;R25+1,OR(Sheet1!$C$21&lt;=R26,Sheet1!L26="")),   -1*Sheet1!L25,"")</f>
        <v/>
      </c>
      <c r="C25" s="42">
        <f ca="1">IF(Sheet3!$B$5="",0,    IF(E25&lt;1,0,  IF(B25="","",     IF(OR(Sheet3!$B$6=0,INDIRECT(ADDRESS(ROW(),Sheet3!$B$3+16))="" ),D25/E25,    IF(E25&lt;0,0,    IF(OR( INDIRECT(ADDRESS(8,Sheet3!$B$3+16))="",INDIRECT(ADDRESS(ROW(),Sheet3!$B$3+17))=""),        (INDIRECT(ADDRESS(ROW(),Sheet3!$B$3+16))+B25)*Sheet3!$Q$4,         INDIRECT(ADDRESS(ROW(),Sheet3!$B$3+17))-INDIRECT(ADDRESS(ROW(),Sheet3!$B$3+16))))))))</f>
        <v>0</v>
      </c>
      <c r="D25" s="39">
        <f ca="1">IF(Sheet3!$B$5="",0,IF(B25="","",IF(E25&lt;1,0,   IF(INDIRECT(ADDRESS(ROW(), Sheet3!$B$3+17))="",        INDIRECT(ADDRESS(ROW(), Sheet3!$B$3+16))*  (1+Sheet3!$Q$4)   +B25*Sheet3!$Q$4,       INDIRECT(ADDRESS(ROW(), Sheet3!$B$3+17))))))</f>
        <v>0</v>
      </c>
      <c r="E25" s="40">
        <f ca="1">IF(AND(Sheet1!L25&lt;0,  Sheet1!$C$21&gt;R25),    IF(OR(Sheet1!$C$21&lt;=R26,  Sheet1!L26=""),       IF(AND(MOD(NOW(),1)&lt;TIME(9,39,0),Sheet1!$C$22=TODAY()),    Sheet1!$C$21-R25,     Sheet1!$C$21-R25-1),               R26-R25-1),    0)</f>
        <v>0</v>
      </c>
      <c r="F25" s="30"/>
      <c r="G25" s="25" t="str">
        <f>IF(LEFT(Sheet1!K26,2)="0x",Sheet1!K25,IF(AND(Sheet1!L25="",Sheet1!L24=""),"",G24))</f>
        <v/>
      </c>
      <c r="H25" s="81" t="str">
        <f t="shared" ca="1" si="4"/>
        <v/>
      </c>
      <c r="I25" s="28" t="str">
        <f t="shared" ca="1" si="5"/>
        <v/>
      </c>
      <c r="J25" s="29" t="str">
        <f t="shared" ref="J25:J88" ca="1" si="6">IF(I25="","",INDEX(G:G,I25))</f>
        <v/>
      </c>
      <c r="K25" s="24" t="str">
        <f>IF(Sheet1!L25="","",IF(Sheet1!L25&gt;0,ROW(),""))</f>
        <v/>
      </c>
      <c r="L25" s="24" t="str">
        <f t="shared" ca="1" si="1"/>
        <v/>
      </c>
      <c r="M25" s="47" t="str">
        <f t="shared" ca="1" si="2"/>
        <v/>
      </c>
      <c r="N25" s="48" t="str">
        <f>IF(LEFT(Sheet1!K25,2)="0x",Sheet1!K25,IF(AND(Sheet1!L25="",Sheet1!L24=""),"",N24))</f>
        <v/>
      </c>
      <c r="O25" s="46">
        <f>IF(Sheet1!L25="",0,IF(Sheet1!O25&lt;TIME(7,39,0)+Sheet1!$E$3/24,1,0))</f>
        <v>0</v>
      </c>
      <c r="P25" s="46" t="str">
        <f ca="1">IF(AND(Sheet1!L25&lt;0, Sheet1!$C$21&gt;R25,OR(Sheet1!$C$21&lt;=R26,Sheet1!L26="")),   -1*Sheet1!L25,"")</f>
        <v/>
      </c>
    </row>
    <row r="26" spans="1:16" ht="15.75" x14ac:dyDescent="0.25">
      <c r="A26" s="456" t="str">
        <f>IF(AND(R26&lt;&gt;"",R25&lt;&gt;""),(-Sheet1!L26/Sheet1!L25)^(360/(R26-R25-1))-1,"")</f>
        <v/>
      </c>
      <c r="B26" s="41" t="str">
        <f ca="1">IF(AND(Sheet1!L26&lt;0, Sheet1!$C$21&gt;R26+1,OR(Sheet1!$C$21&lt;=R27,Sheet1!L27="")),   -1*Sheet1!L26,"")</f>
        <v/>
      </c>
      <c r="C26" s="42">
        <f ca="1">IF(Sheet3!$B$5="",0,    IF(E26&lt;1,0,  IF(B26="","",     IF(OR(Sheet3!$B$6=0,INDIRECT(ADDRESS(ROW(),Sheet3!$B$3+16))="" ),D26/E26,    IF(E26&lt;0,0,    IF(OR( INDIRECT(ADDRESS(8,Sheet3!$B$3+16))="",INDIRECT(ADDRESS(ROW(),Sheet3!$B$3+17))=""),        (INDIRECT(ADDRESS(ROW(),Sheet3!$B$3+16))+B26)*Sheet3!$Q$4,         INDIRECT(ADDRESS(ROW(),Sheet3!$B$3+17))-INDIRECT(ADDRESS(ROW(),Sheet3!$B$3+16))))))))</f>
        <v>0</v>
      </c>
      <c r="D26" s="39">
        <f ca="1">IF(Sheet3!$B$5="",0,IF(B26="","",IF(E26&lt;1,0,   IF(INDIRECT(ADDRESS(ROW(), Sheet3!$B$3+17))="",        INDIRECT(ADDRESS(ROW(), Sheet3!$B$3+16))*  (1+Sheet3!$Q$4)   +B26*Sheet3!$Q$4,       INDIRECT(ADDRESS(ROW(), Sheet3!$B$3+17))))))</f>
        <v>0</v>
      </c>
      <c r="E26" s="40">
        <f ca="1">IF(AND(Sheet1!L26&lt;0,  Sheet1!$C$21&gt;R26),    IF(OR(Sheet1!$C$21&lt;=R27,  Sheet1!L27=""),       IF(AND(MOD(NOW(),1)&lt;TIME(9,39,0),Sheet1!$C$22=TODAY()),    Sheet1!$C$21-R26,     Sheet1!$C$21-R26-1),               R27-R26-1),    0)</f>
        <v>0</v>
      </c>
      <c r="F26" s="30"/>
      <c r="G26" s="25" t="str">
        <f>IF(LEFT(Sheet1!K27,2)="0x",Sheet1!K26,IF(AND(Sheet1!L26="",Sheet1!L25=""),"",G25))</f>
        <v/>
      </c>
      <c r="H26" s="81" t="str">
        <f t="shared" ca="1" si="4"/>
        <v/>
      </c>
      <c r="I26" s="28" t="str">
        <f t="shared" ca="1" si="5"/>
        <v/>
      </c>
      <c r="J26" s="29" t="str">
        <f t="shared" ca="1" si="6"/>
        <v/>
      </c>
      <c r="K26" s="24" t="str">
        <f>IF(Sheet1!L26="","",IF(Sheet1!L26&gt;0,ROW(),""))</f>
        <v/>
      </c>
      <c r="L26" s="24" t="str">
        <f t="shared" ca="1" si="1"/>
        <v/>
      </c>
      <c r="M26" s="47" t="str">
        <f t="shared" ca="1" si="2"/>
        <v/>
      </c>
      <c r="N26" s="48" t="str">
        <f>IF(LEFT(Sheet1!K26,2)="0x",Sheet1!K26,IF(AND(Sheet1!L26="",Sheet1!L25=""),"",N25))</f>
        <v/>
      </c>
      <c r="O26" s="46">
        <f>IF(Sheet1!L26="",0,IF(Sheet1!O26&lt;TIME(7,39,0)+Sheet1!$E$3/24,1,0))</f>
        <v>0</v>
      </c>
      <c r="P26" s="46" t="str">
        <f ca="1">IF(AND(Sheet1!L26&lt;0, Sheet1!$C$21&gt;R26,OR(Sheet1!$C$21&lt;=R27,Sheet1!L27="")),   -1*Sheet1!L26,"")</f>
        <v/>
      </c>
    </row>
    <row r="27" spans="1:16" ht="15.75" x14ac:dyDescent="0.25">
      <c r="A27" s="456" t="str">
        <f>IF(AND(R27&lt;&gt;"",R26&lt;&gt;""),(-Sheet1!L27/Sheet1!L26)^(360/(R27-R26-1))-1,"")</f>
        <v/>
      </c>
      <c r="B27" s="41" t="str">
        <f ca="1">IF(AND(Sheet1!L27&lt;0, Sheet1!$C$21&gt;R27+1,OR(Sheet1!$C$21&lt;=R28,Sheet1!L28="")),   -1*Sheet1!L27,"")</f>
        <v/>
      </c>
      <c r="C27" s="42">
        <f ca="1">IF(Sheet3!$B$5="",0,    IF(E27&lt;1,0,  IF(B27="","",     IF(OR(Sheet3!$B$6=0,INDIRECT(ADDRESS(ROW(),Sheet3!$B$3+16))="" ),D27/E27,    IF(E27&lt;0,0,    IF(OR( INDIRECT(ADDRESS(8,Sheet3!$B$3+16))="",INDIRECT(ADDRESS(ROW(),Sheet3!$B$3+17))=""),        (INDIRECT(ADDRESS(ROW(),Sheet3!$B$3+16))+B27)*Sheet3!$Q$4,         INDIRECT(ADDRESS(ROW(),Sheet3!$B$3+17))-INDIRECT(ADDRESS(ROW(),Sheet3!$B$3+16))))))))</f>
        <v>0</v>
      </c>
      <c r="D27" s="39">
        <f ca="1">IF(Sheet3!$B$5="",0,IF(B27="","",IF(E27&lt;1,0,   IF(INDIRECT(ADDRESS(ROW(), Sheet3!$B$3+17))="",        INDIRECT(ADDRESS(ROW(), Sheet3!$B$3+16))*  (1+Sheet3!$Q$4)   +B27*Sheet3!$Q$4,       INDIRECT(ADDRESS(ROW(), Sheet3!$B$3+17))))))</f>
        <v>0</v>
      </c>
      <c r="E27" s="40">
        <f ca="1">IF(AND(Sheet1!L27&lt;0,  Sheet1!$C$21&gt;R27),    IF(OR(Sheet1!$C$21&lt;=R28,  Sheet1!L28=""),       IF(AND(MOD(NOW(),1)&lt;TIME(9,39,0),Sheet1!$C$22=TODAY()),    Sheet1!$C$21-R27,     Sheet1!$C$21-R27-1),               R28-R27-1),    0)</f>
        <v>0</v>
      </c>
      <c r="F27" s="30"/>
      <c r="G27" s="25" t="str">
        <f>IF(LEFT(Sheet1!K28,2)="0x",Sheet1!K27,IF(AND(Sheet1!L27="",Sheet1!L26=""),"",G26))</f>
        <v/>
      </c>
      <c r="H27" s="81" t="str">
        <f t="shared" ca="1" si="4"/>
        <v/>
      </c>
      <c r="I27" s="28" t="str">
        <f t="shared" ca="1" si="5"/>
        <v/>
      </c>
      <c r="J27" s="29" t="str">
        <f t="shared" ca="1" si="6"/>
        <v/>
      </c>
      <c r="K27" s="24" t="str">
        <f>IF(Sheet1!L27="","",IF(Sheet1!L27&gt;0,ROW(),""))</f>
        <v/>
      </c>
      <c r="L27" s="24" t="str">
        <f t="shared" ca="1" si="1"/>
        <v/>
      </c>
      <c r="M27" s="47" t="str">
        <f t="shared" ca="1" si="2"/>
        <v/>
      </c>
      <c r="N27" s="48" t="str">
        <f>IF(LEFT(Sheet1!K27,2)="0x",Sheet1!K27,IF(AND(Sheet1!L27="",Sheet1!L26=""),"",N26))</f>
        <v/>
      </c>
      <c r="O27" s="46">
        <f>IF(Sheet1!L27="",0,IF(Sheet1!O27&lt;TIME(7,39,0)+Sheet1!$E$3/24,1,0))</f>
        <v>0</v>
      </c>
      <c r="P27" s="46" t="str">
        <f ca="1">IF(AND(Sheet1!L27&lt;0, Sheet1!$C$21&gt;R27,OR(Sheet1!$C$21&lt;=R28,Sheet1!L28="")),   -1*Sheet1!L27,"")</f>
        <v/>
      </c>
    </row>
    <row r="28" spans="1:16" ht="15.75" x14ac:dyDescent="0.25">
      <c r="A28" s="456" t="str">
        <f>IF(AND(R28&lt;&gt;"",R27&lt;&gt;""),(-Sheet1!L28/Sheet1!L27)^(360/(R28-R27-1))-1,"")</f>
        <v/>
      </c>
      <c r="B28" s="41" t="str">
        <f ca="1">IF(AND(Sheet1!L28&lt;0, Sheet1!$C$21&gt;R28+1,OR(Sheet1!$C$21&lt;=R29,Sheet1!L29="")),   -1*Sheet1!L28,"")</f>
        <v/>
      </c>
      <c r="C28" s="42">
        <f ca="1">IF(Sheet3!$B$5="",0,    IF(E28&lt;1,0,  IF(B28="","",     IF(OR(Sheet3!$B$6=0,INDIRECT(ADDRESS(ROW(),Sheet3!$B$3+16))="" ),D28/E28,    IF(E28&lt;0,0,    IF(OR( INDIRECT(ADDRESS(8,Sheet3!$B$3+16))="",INDIRECT(ADDRESS(ROW(),Sheet3!$B$3+17))=""),        (INDIRECT(ADDRESS(ROW(),Sheet3!$B$3+16))+B28)*Sheet3!$Q$4,         INDIRECT(ADDRESS(ROW(),Sheet3!$B$3+17))-INDIRECT(ADDRESS(ROW(),Sheet3!$B$3+16))))))))</f>
        <v>0</v>
      </c>
      <c r="D28" s="39">
        <f ca="1">IF(Sheet3!$B$5="",0,IF(B28="","",IF(E28&lt;1,0,   IF(INDIRECT(ADDRESS(ROW(), Sheet3!$B$3+17))="",        INDIRECT(ADDRESS(ROW(), Sheet3!$B$3+16))*  (1+Sheet3!$Q$4)   +B28*Sheet3!$Q$4,       INDIRECT(ADDRESS(ROW(), Sheet3!$B$3+17))))))</f>
        <v>0</v>
      </c>
      <c r="E28" s="40">
        <f ca="1">IF(AND(Sheet1!L28&lt;0,  Sheet1!$C$21&gt;R28),    IF(OR(Sheet1!$C$21&lt;=R29,  Sheet1!L29=""),       IF(AND(MOD(NOW(),1)&lt;TIME(9,39,0),Sheet1!$C$22=TODAY()),    Sheet1!$C$21-R28,     Sheet1!$C$21-R28-1),               R29-R28-1),    0)</f>
        <v>0</v>
      </c>
      <c r="F28" s="30"/>
      <c r="G28" s="25" t="str">
        <f>IF(LEFT(Sheet1!K29,2)="0x",Sheet1!K28,IF(AND(Sheet1!L28="",Sheet1!L27=""),"",G27))</f>
        <v/>
      </c>
      <c r="H28" s="81" t="str">
        <f t="shared" ca="1" si="4"/>
        <v/>
      </c>
      <c r="I28" s="28" t="str">
        <f t="shared" ca="1" si="5"/>
        <v/>
      </c>
      <c r="J28" s="29" t="str">
        <f t="shared" ca="1" si="6"/>
        <v/>
      </c>
      <c r="K28" s="24" t="str">
        <f>IF(Sheet1!L28="","",IF(Sheet1!L28&gt;0,ROW(),""))</f>
        <v/>
      </c>
      <c r="L28" s="24" t="str">
        <f t="shared" ca="1" si="1"/>
        <v/>
      </c>
      <c r="M28" s="47" t="str">
        <f t="shared" ca="1" si="2"/>
        <v/>
      </c>
      <c r="N28" s="48" t="str">
        <f>IF(LEFT(Sheet1!K28,2)="0x",Sheet1!K28,IF(AND(Sheet1!L28="",Sheet1!L27=""),"",N27))</f>
        <v/>
      </c>
      <c r="O28" s="46">
        <f>IF(Sheet1!L28="",0,IF(Sheet1!O28&lt;TIME(7,39,0)+Sheet1!$E$3/24,1,0))</f>
        <v>0</v>
      </c>
      <c r="P28" s="46" t="str">
        <f ca="1">IF(AND(Sheet1!L28&lt;0, Sheet1!$C$21&gt;R28,OR(Sheet1!$C$21&lt;=R29,Sheet1!L29="")),   -1*Sheet1!L28,"")</f>
        <v/>
      </c>
    </row>
    <row r="29" spans="1:16" ht="15.75" x14ac:dyDescent="0.25">
      <c r="A29" s="456" t="str">
        <f>IF(AND(R29&lt;&gt;"",R28&lt;&gt;""),(-Sheet1!L29/Sheet1!L28)^(360/(R29-R28-1))-1,"")</f>
        <v/>
      </c>
      <c r="B29" s="41" t="str">
        <f ca="1">IF(AND(Sheet1!L29&lt;0, Sheet1!$C$21&gt;R29+1,OR(Sheet1!$C$21&lt;=R30,Sheet1!L30="")),   -1*Sheet1!L29,"")</f>
        <v/>
      </c>
      <c r="C29" s="42">
        <f ca="1">IF(Sheet3!$B$5="",0,    IF(E29&lt;1,0,  IF(B29="","",     IF(OR(Sheet3!$B$6=0,INDIRECT(ADDRESS(ROW(),Sheet3!$B$3+16))="" ),D29/E29,    IF(E29&lt;0,0,    IF(OR( INDIRECT(ADDRESS(8,Sheet3!$B$3+16))="",INDIRECT(ADDRESS(ROW(),Sheet3!$B$3+17))=""),        (INDIRECT(ADDRESS(ROW(),Sheet3!$B$3+16))+B29)*Sheet3!$Q$4,         INDIRECT(ADDRESS(ROW(),Sheet3!$B$3+17))-INDIRECT(ADDRESS(ROW(),Sheet3!$B$3+16))))))))</f>
        <v>0</v>
      </c>
      <c r="D29" s="39">
        <f ca="1">IF(Sheet3!$B$5="",0,IF(B29="","",IF(E29&lt;1,0,   IF(INDIRECT(ADDRESS(ROW(), Sheet3!$B$3+17))="",        INDIRECT(ADDRESS(ROW(), Sheet3!$B$3+16))*  (1+Sheet3!$Q$4)   +B29*Sheet3!$Q$4,       INDIRECT(ADDRESS(ROW(), Sheet3!$B$3+17))))))</f>
        <v>0</v>
      </c>
      <c r="E29" s="40">
        <f ca="1">IF(AND(Sheet1!L29&lt;0,  Sheet1!$C$21&gt;R29),    IF(OR(Sheet1!$C$21&lt;=R30,  Sheet1!L30=""),       IF(AND(MOD(NOW(),1)&lt;TIME(9,39,0),Sheet1!$C$22=TODAY()),    Sheet1!$C$21-R29,     Sheet1!$C$21-R29-1),               R30-R29-1),    0)</f>
        <v>0</v>
      </c>
      <c r="F29" s="30"/>
      <c r="G29" s="25" t="str">
        <f>IF(LEFT(Sheet1!K30,2)="0x",Sheet1!K29,IF(AND(Sheet1!L29="",Sheet1!L28=""),"",G28))</f>
        <v/>
      </c>
      <c r="H29" s="81" t="str">
        <f t="shared" ca="1" si="4"/>
        <v/>
      </c>
      <c r="I29" s="28" t="str">
        <f t="shared" ca="1" si="5"/>
        <v/>
      </c>
      <c r="J29" s="29" t="str">
        <f t="shared" ca="1" si="6"/>
        <v/>
      </c>
      <c r="K29" s="24" t="str">
        <f>IF(Sheet1!L29="","",IF(Sheet1!L29&gt;0,ROW(),""))</f>
        <v/>
      </c>
      <c r="L29" s="24" t="str">
        <f t="shared" ca="1" si="1"/>
        <v/>
      </c>
      <c r="M29" s="47" t="str">
        <f t="shared" ca="1" si="2"/>
        <v/>
      </c>
      <c r="N29" s="48" t="str">
        <f>IF(LEFT(Sheet1!K29,2)="0x",Sheet1!K29,IF(AND(Sheet1!L29="",Sheet1!L28=""),"",N28))</f>
        <v/>
      </c>
      <c r="O29" s="46">
        <f>IF(Sheet1!L29="",0,IF(Sheet1!O29&lt;TIME(7,39,0)+Sheet1!$E$3/24,1,0))</f>
        <v>0</v>
      </c>
      <c r="P29" s="46" t="str">
        <f ca="1">IF(AND(Sheet1!L29&lt;0, Sheet1!$C$21&gt;R29,OR(Sheet1!$C$21&lt;=R30,Sheet1!L30="")),   -1*Sheet1!L29,"")</f>
        <v/>
      </c>
    </row>
    <row r="30" spans="1:16" ht="15.75" x14ac:dyDescent="0.25">
      <c r="A30" s="456" t="str">
        <f>IF(AND(R30&lt;&gt;"",R29&lt;&gt;""),(-Sheet1!L30/Sheet1!L29)^(360/(R30-R29-1))-1,"")</f>
        <v/>
      </c>
      <c r="B30" s="41" t="str">
        <f ca="1">IF(AND(Sheet1!L30&lt;0, Sheet1!$C$21&gt;R30+1,OR(Sheet1!$C$21&lt;=R31,Sheet1!L31="")),   -1*Sheet1!L30,"")</f>
        <v/>
      </c>
      <c r="C30" s="42">
        <f ca="1">IF(Sheet3!$B$5="",0,    IF(E30&lt;1,0,  IF(B30="","",     IF(OR(Sheet3!$B$6=0,INDIRECT(ADDRESS(ROW(),Sheet3!$B$3+16))="" ),D30/E30,    IF(E30&lt;0,0,    IF(OR( INDIRECT(ADDRESS(8,Sheet3!$B$3+16))="",INDIRECT(ADDRESS(ROW(),Sheet3!$B$3+17))=""),        (INDIRECT(ADDRESS(ROW(),Sheet3!$B$3+16))+B30)*Sheet3!$Q$4,         INDIRECT(ADDRESS(ROW(),Sheet3!$B$3+17))-INDIRECT(ADDRESS(ROW(),Sheet3!$B$3+16))))))))</f>
        <v>0</v>
      </c>
      <c r="D30" s="39">
        <f ca="1">IF(Sheet3!$B$5="",0,IF(B30="","",IF(E30&lt;1,0,   IF(INDIRECT(ADDRESS(ROW(), Sheet3!$B$3+17))="",        INDIRECT(ADDRESS(ROW(), Sheet3!$B$3+16))*  (1+Sheet3!$Q$4)   +B30*Sheet3!$Q$4,       INDIRECT(ADDRESS(ROW(), Sheet3!$B$3+17))))))</f>
        <v>0</v>
      </c>
      <c r="E30" s="40">
        <f ca="1">IF(AND(Sheet1!L30&lt;0,  Sheet1!$C$21&gt;R30),    IF(OR(Sheet1!$C$21&lt;=R31,  Sheet1!L31=""),       IF(AND(MOD(NOW(),1)&lt;TIME(9,39,0),Sheet1!$C$22=TODAY()),    Sheet1!$C$21-R30,     Sheet1!$C$21-R30-1),               R31-R30-1),    0)</f>
        <v>0</v>
      </c>
      <c r="F30" s="30"/>
      <c r="G30" s="25" t="str">
        <f>IF(LEFT(Sheet1!K31,2)="0x",Sheet1!K30,IF(AND(Sheet1!L30="",Sheet1!L29=""),"",G29))</f>
        <v/>
      </c>
      <c r="H30" s="81" t="str">
        <f t="shared" ca="1" si="4"/>
        <v/>
      </c>
      <c r="I30" s="28" t="str">
        <f t="shared" ca="1" si="5"/>
        <v/>
      </c>
      <c r="J30" s="29" t="str">
        <f t="shared" ca="1" si="6"/>
        <v/>
      </c>
      <c r="K30" s="24" t="str">
        <f>IF(Sheet1!L30="","",IF(Sheet1!L30&gt;0,ROW(),""))</f>
        <v/>
      </c>
      <c r="L30" s="24" t="str">
        <f t="shared" ca="1" si="1"/>
        <v/>
      </c>
      <c r="M30" s="47" t="str">
        <f t="shared" ca="1" si="2"/>
        <v/>
      </c>
      <c r="N30" s="48" t="str">
        <f>IF(LEFT(Sheet1!K30,2)="0x",Sheet1!K30,IF(AND(Sheet1!L30="",Sheet1!L29=""),"",N29))</f>
        <v/>
      </c>
      <c r="O30" s="46">
        <f>IF(Sheet1!L30="",0,IF(Sheet1!O30&lt;TIME(7,39,0)+Sheet1!$E$3/24,1,0))</f>
        <v>0</v>
      </c>
      <c r="P30" s="46" t="str">
        <f ca="1">IF(AND(Sheet1!L30&lt;0, Sheet1!$C$21&gt;R30,OR(Sheet1!$C$21&lt;=R31,Sheet1!L31="")),   -1*Sheet1!L30,"")</f>
        <v/>
      </c>
    </row>
    <row r="31" spans="1:16" ht="15.75" x14ac:dyDescent="0.25">
      <c r="A31" s="456" t="str">
        <f>IF(AND(R31&lt;&gt;"",R30&lt;&gt;""),(-Sheet1!L31/Sheet1!L30)^(360/(R31-R30-1))-1,"")</f>
        <v/>
      </c>
      <c r="B31" s="41" t="str">
        <f ca="1">IF(AND(Sheet1!L31&lt;0, Sheet1!$C$21&gt;R31+1,OR(Sheet1!$C$21&lt;=R32,Sheet1!L32="")),   -1*Sheet1!L31,"")</f>
        <v/>
      </c>
      <c r="C31" s="42">
        <f ca="1">IF(Sheet3!$B$5="",0,    IF(E31&lt;1,0,  IF(B31="","",     IF(OR(Sheet3!$B$6=0,INDIRECT(ADDRESS(ROW(),Sheet3!$B$3+16))="" ),D31/E31,    IF(E31&lt;0,0,    IF(OR( INDIRECT(ADDRESS(8,Sheet3!$B$3+16))="",INDIRECT(ADDRESS(ROW(),Sheet3!$B$3+17))=""),        (INDIRECT(ADDRESS(ROW(),Sheet3!$B$3+16))+B31)*Sheet3!$Q$4,         INDIRECT(ADDRESS(ROW(),Sheet3!$B$3+17))-INDIRECT(ADDRESS(ROW(),Sheet3!$B$3+16))))))))</f>
        <v>0</v>
      </c>
      <c r="D31" s="39">
        <f ca="1">IF(Sheet3!$B$5="",0,IF(B31="","",IF(E31&lt;1,0,   IF(INDIRECT(ADDRESS(ROW(), Sheet3!$B$3+17))="",        INDIRECT(ADDRESS(ROW(), Sheet3!$B$3+16))*  (1+Sheet3!$Q$4)   +B31*Sheet3!$Q$4,       INDIRECT(ADDRESS(ROW(), Sheet3!$B$3+17))))))</f>
        <v>0</v>
      </c>
      <c r="E31" s="40">
        <f ca="1">IF(AND(Sheet1!L31&lt;0,  Sheet1!$C$21&gt;R31),    IF(OR(Sheet1!$C$21&lt;=R32,  Sheet1!L32=""),       IF(AND(MOD(NOW(),1)&lt;TIME(9,39,0),Sheet1!$C$22=TODAY()),    Sheet1!$C$21-R31,     Sheet1!$C$21-R31-1),               R32-R31-1),    0)</f>
        <v>0</v>
      </c>
      <c r="F31" s="30"/>
      <c r="G31" s="25" t="str">
        <f>IF(LEFT(Sheet1!K32,2)="0x",Sheet1!K31,IF(AND(Sheet1!L31="",Sheet1!L30=""),"",G30))</f>
        <v/>
      </c>
      <c r="H31" s="81" t="str">
        <f t="shared" ca="1" si="4"/>
        <v/>
      </c>
      <c r="I31" s="28" t="str">
        <f t="shared" ca="1" si="5"/>
        <v/>
      </c>
      <c r="J31" s="29" t="str">
        <f t="shared" ca="1" si="6"/>
        <v/>
      </c>
      <c r="K31" s="24" t="str">
        <f>IF(Sheet1!L31="","",IF(Sheet1!L31&gt;0,ROW(),""))</f>
        <v/>
      </c>
      <c r="L31" s="24" t="str">
        <f t="shared" ca="1" si="1"/>
        <v/>
      </c>
      <c r="M31" s="47" t="str">
        <f t="shared" ca="1" si="2"/>
        <v/>
      </c>
      <c r="N31" s="48" t="str">
        <f>IF(LEFT(Sheet1!K31,2)="0x",Sheet1!K31,IF(AND(Sheet1!L31="",Sheet1!L30=""),"",N30))</f>
        <v/>
      </c>
      <c r="O31" s="46">
        <f>IF(Sheet1!L31="",0,IF(Sheet1!O31&lt;TIME(7,39,0)+Sheet1!$E$3/24,1,0))</f>
        <v>0</v>
      </c>
      <c r="P31" s="46" t="str">
        <f ca="1">IF(AND(Sheet1!L31&lt;0, Sheet1!$C$21&gt;R31,OR(Sheet1!$C$21&lt;=R32,Sheet1!L32="")),   -1*Sheet1!L31,"")</f>
        <v/>
      </c>
    </row>
    <row r="32" spans="1:16" ht="15.75" x14ac:dyDescent="0.25">
      <c r="A32" s="456" t="str">
        <f>IF(AND(R32&lt;&gt;"",R31&lt;&gt;""),(-Sheet1!L32/Sheet1!L31)^(360/(R32-R31-1))-1,"")</f>
        <v/>
      </c>
      <c r="B32" s="41" t="str">
        <f ca="1">IF(AND(Sheet1!L32&lt;0, Sheet1!$C$21&gt;R32+1,OR(Sheet1!$C$21&lt;=R33,Sheet1!L33="")),   -1*Sheet1!L32,"")</f>
        <v/>
      </c>
      <c r="C32" s="42">
        <f ca="1">IF(Sheet3!$B$5="",0,    IF(E32&lt;1,0,  IF(B32="","",     IF(OR(Sheet3!$B$6=0,INDIRECT(ADDRESS(ROW(),Sheet3!$B$3+16))="" ),D32/E32,    IF(E32&lt;0,0,    IF(OR( INDIRECT(ADDRESS(8,Sheet3!$B$3+16))="",INDIRECT(ADDRESS(ROW(),Sheet3!$B$3+17))=""),        (INDIRECT(ADDRESS(ROW(),Sheet3!$B$3+16))+B32)*Sheet3!$Q$4,         INDIRECT(ADDRESS(ROW(),Sheet3!$B$3+17))-INDIRECT(ADDRESS(ROW(),Sheet3!$B$3+16))))))))</f>
        <v>0</v>
      </c>
      <c r="D32" s="39">
        <f ca="1">IF(Sheet3!$B$5="",0,IF(B32="","",IF(E32&lt;1,0,   IF(INDIRECT(ADDRESS(ROW(), Sheet3!$B$3+17))="",        INDIRECT(ADDRESS(ROW(), Sheet3!$B$3+16))*  (1+Sheet3!$Q$4)   +B32*Sheet3!$Q$4,       INDIRECT(ADDRESS(ROW(), Sheet3!$B$3+17))))))</f>
        <v>0</v>
      </c>
      <c r="E32" s="40">
        <f ca="1">IF(AND(Sheet1!L32&lt;0,  Sheet1!$C$21&gt;R32),    IF(OR(Sheet1!$C$21&lt;=R33,  Sheet1!L33=""),       IF(AND(MOD(NOW(),1)&lt;TIME(9,39,0),Sheet1!$C$22=TODAY()),    Sheet1!$C$21-R32,     Sheet1!$C$21-R32-1),               R33-R32-1),    0)</f>
        <v>0</v>
      </c>
      <c r="F32" s="30"/>
      <c r="G32" s="25" t="str">
        <f>IF(LEFT(Sheet1!K33,2)="0x",Sheet1!K32,IF(AND(Sheet1!L32="",Sheet1!L31=""),"",G31))</f>
        <v/>
      </c>
      <c r="H32" s="81" t="str">
        <f t="shared" ca="1" si="4"/>
        <v/>
      </c>
      <c r="I32" s="28" t="str">
        <f t="shared" ca="1" si="5"/>
        <v/>
      </c>
      <c r="J32" s="29" t="str">
        <f t="shared" ca="1" si="6"/>
        <v/>
      </c>
      <c r="K32" s="24" t="str">
        <f>IF(Sheet1!L32="","",IF(Sheet1!L32&gt;0,ROW(),""))</f>
        <v/>
      </c>
      <c r="L32" s="24" t="str">
        <f t="shared" ca="1" si="1"/>
        <v/>
      </c>
      <c r="M32" s="47" t="str">
        <f t="shared" ca="1" si="2"/>
        <v/>
      </c>
      <c r="N32" s="48" t="str">
        <f>IF(LEFT(Sheet1!K32,2)="0x",Sheet1!K32,IF(AND(Sheet1!L32="",Sheet1!L31=""),"",N31))</f>
        <v/>
      </c>
      <c r="O32" s="46">
        <f>IF(Sheet1!L32="",0,IF(Sheet1!O32&lt;TIME(7,39,0)+Sheet1!$E$3/24,1,0))</f>
        <v>0</v>
      </c>
      <c r="P32" s="46" t="str">
        <f ca="1">IF(AND(Sheet1!L32&lt;0, Sheet1!$C$21&gt;R32,OR(Sheet1!$C$21&lt;=R33,Sheet1!L33="")),   -1*Sheet1!L32,"")</f>
        <v/>
      </c>
    </row>
    <row r="33" spans="1:16" ht="15.75" x14ac:dyDescent="0.25">
      <c r="A33" s="456" t="str">
        <f>IF(AND(R33&lt;&gt;"",R32&lt;&gt;""),(-Sheet1!L33/Sheet1!L32)^(360/(R33-R32-1))-1,"")</f>
        <v/>
      </c>
      <c r="B33" s="41" t="str">
        <f ca="1">IF(AND(Sheet1!L33&lt;0, Sheet1!$C$21&gt;R33+1,OR(Sheet1!$C$21&lt;=R34,Sheet1!L34="")),   -1*Sheet1!L33,"")</f>
        <v/>
      </c>
      <c r="C33" s="42">
        <f ca="1">IF(Sheet3!$B$5="",0,    IF(E33&lt;1,0,  IF(B33="","",     IF(OR(Sheet3!$B$6=0,INDIRECT(ADDRESS(ROW(),Sheet3!$B$3+16))="" ),D33/E33,    IF(E33&lt;0,0,    IF(OR( INDIRECT(ADDRESS(8,Sheet3!$B$3+16))="",INDIRECT(ADDRESS(ROW(),Sheet3!$B$3+17))=""),        (INDIRECT(ADDRESS(ROW(),Sheet3!$B$3+16))+B33)*Sheet3!$Q$4,         INDIRECT(ADDRESS(ROW(),Sheet3!$B$3+17))-INDIRECT(ADDRESS(ROW(),Sheet3!$B$3+16))))))))</f>
        <v>0</v>
      </c>
      <c r="D33" s="39">
        <f ca="1">IF(Sheet3!$B$5="",0,IF(B33="","",IF(E33&lt;1,0,   IF(INDIRECT(ADDRESS(ROW(), Sheet3!$B$3+17))="",        INDIRECT(ADDRESS(ROW(), Sheet3!$B$3+16))*  (1+Sheet3!$Q$4)   +B33*Sheet3!$Q$4,       INDIRECT(ADDRESS(ROW(), Sheet3!$B$3+17))))))</f>
        <v>0</v>
      </c>
      <c r="E33" s="40">
        <f ca="1">IF(AND(Sheet1!L33&lt;0,  Sheet1!$C$21&gt;R33),    IF(OR(Sheet1!$C$21&lt;=R34,  Sheet1!L34=""),       IF(AND(MOD(NOW(),1)&lt;TIME(9,39,0),Sheet1!$C$22=TODAY()),    Sheet1!$C$21-R33,     Sheet1!$C$21-R33-1),               R34-R33-1),    0)</f>
        <v>0</v>
      </c>
      <c r="F33" s="30"/>
      <c r="G33" s="25" t="str">
        <f>IF(LEFT(Sheet1!K34,2)="0x",Sheet1!K33,IF(AND(Sheet1!L33="",Sheet1!L32=""),"",G32))</f>
        <v/>
      </c>
      <c r="H33" s="81" t="str">
        <f t="shared" ca="1" si="4"/>
        <v/>
      </c>
      <c r="I33" s="28" t="str">
        <f t="shared" ca="1" si="5"/>
        <v/>
      </c>
      <c r="J33" s="29" t="str">
        <f t="shared" ca="1" si="6"/>
        <v/>
      </c>
      <c r="K33" s="24" t="str">
        <f>IF(Sheet1!L33="","",IF(Sheet1!L33&gt;0,ROW(),""))</f>
        <v/>
      </c>
      <c r="L33" s="24" t="str">
        <f t="shared" ca="1" si="1"/>
        <v/>
      </c>
      <c r="M33" s="47" t="str">
        <f t="shared" ca="1" si="2"/>
        <v/>
      </c>
      <c r="N33" s="48" t="str">
        <f>IF(LEFT(Sheet1!K33,2)="0x",Sheet1!K33,IF(AND(Sheet1!L33="",Sheet1!L32=""),"",N32))</f>
        <v/>
      </c>
      <c r="O33" s="46">
        <f>IF(Sheet1!L33="",0,IF(Sheet1!O33&lt;TIME(7,39,0)+Sheet1!$E$3/24,1,0))</f>
        <v>0</v>
      </c>
      <c r="P33" s="46" t="str">
        <f ca="1">IF(AND(Sheet1!L33&lt;0, Sheet1!$C$21&gt;R33,OR(Sheet1!$C$21&lt;=R34,Sheet1!L34="")),   -1*Sheet1!L33,"")</f>
        <v/>
      </c>
    </row>
    <row r="34" spans="1:16" ht="15.75" x14ac:dyDescent="0.25">
      <c r="A34" s="456" t="str">
        <f>IF(AND(R34&lt;&gt;"",R33&lt;&gt;""),(-Sheet1!L34/Sheet1!L33)^(360/(R34-R33-1))-1,"")</f>
        <v/>
      </c>
      <c r="B34" s="41" t="str">
        <f ca="1">IF(AND(Sheet1!L34&lt;0, Sheet1!$C$21&gt;R34+1,OR(Sheet1!$C$21&lt;=R35,Sheet1!L35="")),   -1*Sheet1!L34,"")</f>
        <v/>
      </c>
      <c r="C34" s="42">
        <f ca="1">IF(Sheet3!$B$5="",0,    IF(E34&lt;1,0,  IF(B34="","",     IF(OR(Sheet3!$B$6=0,INDIRECT(ADDRESS(ROW(),Sheet3!$B$3+16))="" ),D34/E34,    IF(E34&lt;0,0,    IF(OR( INDIRECT(ADDRESS(8,Sheet3!$B$3+16))="",INDIRECT(ADDRESS(ROW(),Sheet3!$B$3+17))=""),        (INDIRECT(ADDRESS(ROW(),Sheet3!$B$3+16))+B34)*Sheet3!$Q$4,         INDIRECT(ADDRESS(ROW(),Sheet3!$B$3+17))-INDIRECT(ADDRESS(ROW(),Sheet3!$B$3+16))))))))</f>
        <v>0</v>
      </c>
      <c r="D34" s="39">
        <f ca="1">IF(Sheet3!$B$5="",0,IF(B34="","",IF(E34&lt;1,0,   IF(INDIRECT(ADDRESS(ROW(), Sheet3!$B$3+17))="",        INDIRECT(ADDRESS(ROW(), Sheet3!$B$3+16))*  (1+Sheet3!$Q$4)   +B34*Sheet3!$Q$4,       INDIRECT(ADDRESS(ROW(), Sheet3!$B$3+17))))))</f>
        <v>0</v>
      </c>
      <c r="E34" s="40">
        <f ca="1">IF(AND(Sheet1!L34&lt;0,  Sheet1!$C$21&gt;R34),    IF(OR(Sheet1!$C$21&lt;=R35,  Sheet1!L35=""),       IF(AND(MOD(NOW(),1)&lt;TIME(9,39,0),Sheet1!$C$22=TODAY()),    Sheet1!$C$21-R34,     Sheet1!$C$21-R34-1),               R35-R34-1),    0)</f>
        <v>0</v>
      </c>
      <c r="F34" s="30"/>
      <c r="G34" s="25" t="str">
        <f>IF(LEFT(Sheet1!K35,2)="0x",Sheet1!K34,IF(AND(Sheet1!L34="",Sheet1!L33=""),"",G33))</f>
        <v/>
      </c>
      <c r="H34" s="81" t="str">
        <f t="shared" ca="1" si="4"/>
        <v/>
      </c>
      <c r="I34" s="28" t="str">
        <f t="shared" ca="1" si="5"/>
        <v/>
      </c>
      <c r="J34" s="29" t="str">
        <f t="shared" ca="1" si="6"/>
        <v/>
      </c>
      <c r="K34" s="24" t="str">
        <f>IF(Sheet1!L34="","",IF(Sheet1!L34&gt;0,ROW(),""))</f>
        <v/>
      </c>
      <c r="L34" s="24" t="str">
        <f t="shared" ca="1" si="1"/>
        <v/>
      </c>
      <c r="M34" s="47" t="str">
        <f t="shared" ca="1" si="2"/>
        <v/>
      </c>
      <c r="N34" s="48" t="str">
        <f>IF(LEFT(Sheet1!K34,2)="0x",Sheet1!K34,IF(AND(Sheet1!L34="",Sheet1!L33=""),"",N33))</f>
        <v/>
      </c>
      <c r="O34" s="46">
        <f>IF(Sheet1!L34="",0,IF(Sheet1!O34&lt;TIME(7,39,0)+Sheet1!$E$3/24,1,0))</f>
        <v>0</v>
      </c>
      <c r="P34" s="46" t="str">
        <f ca="1">IF(AND(Sheet1!L34&lt;0, Sheet1!$C$21&gt;R34,OR(Sheet1!$C$21&lt;=R35,Sheet1!L35="")),   -1*Sheet1!L34,"")</f>
        <v/>
      </c>
    </row>
    <row r="35" spans="1:16" ht="15.75" x14ac:dyDescent="0.25">
      <c r="A35" s="456" t="str">
        <f>IF(AND(R35&lt;&gt;"",R34&lt;&gt;""),(-Sheet1!L35/Sheet1!L34)^(360/(R35-R34-1))-1,"")</f>
        <v/>
      </c>
      <c r="B35" s="41" t="str">
        <f ca="1">IF(AND(Sheet1!L35&lt;0, Sheet1!$C$21&gt;R35+1,OR(Sheet1!$C$21&lt;=R36,Sheet1!L36="")),   -1*Sheet1!L35,"")</f>
        <v/>
      </c>
      <c r="C35" s="42">
        <f ca="1">IF(Sheet3!$B$5="",0,    IF(E35&lt;1,0,  IF(B35="","",     IF(OR(Sheet3!$B$6=0,INDIRECT(ADDRESS(ROW(),Sheet3!$B$3+16))="" ),D35/E35,    IF(E35&lt;0,0,    IF(OR( INDIRECT(ADDRESS(8,Sheet3!$B$3+16))="",INDIRECT(ADDRESS(ROW(),Sheet3!$B$3+17))=""),        (INDIRECT(ADDRESS(ROW(),Sheet3!$B$3+16))+B35)*Sheet3!$Q$4,         INDIRECT(ADDRESS(ROW(),Sheet3!$B$3+17))-INDIRECT(ADDRESS(ROW(),Sheet3!$B$3+16))))))))</f>
        <v>0</v>
      </c>
      <c r="D35" s="39">
        <f ca="1">IF(Sheet3!$B$5="",0,IF(B35="","",IF(E35&lt;1,0,   IF(INDIRECT(ADDRESS(ROW(), Sheet3!$B$3+17))="",        INDIRECT(ADDRESS(ROW(), Sheet3!$B$3+16))*  (1+Sheet3!$Q$4)   +B35*Sheet3!$Q$4,       INDIRECT(ADDRESS(ROW(), Sheet3!$B$3+17))))))</f>
        <v>0</v>
      </c>
      <c r="E35" s="40">
        <f ca="1">IF(AND(Sheet1!L35&lt;0,  Sheet1!$C$21&gt;R35),    IF(OR(Sheet1!$C$21&lt;=R36,  Sheet1!L36=""),       IF(AND(MOD(NOW(),1)&lt;TIME(9,39,0),Sheet1!$C$22=TODAY()),    Sheet1!$C$21-R35,     Sheet1!$C$21-R35-1),               R36-R35-1),    0)</f>
        <v>0</v>
      </c>
      <c r="F35" s="30"/>
      <c r="G35" s="25" t="str">
        <f>IF(LEFT(Sheet1!K36,2)="0x",Sheet1!K35,IF(AND(Sheet1!L35="",Sheet1!L34=""),"",G34))</f>
        <v/>
      </c>
      <c r="H35" s="81" t="str">
        <f t="shared" ca="1" si="4"/>
        <v/>
      </c>
      <c r="I35" s="28" t="str">
        <f t="shared" ca="1" si="5"/>
        <v/>
      </c>
      <c r="J35" s="29" t="str">
        <f t="shared" ca="1" si="6"/>
        <v/>
      </c>
      <c r="K35" s="24" t="str">
        <f>IF(Sheet1!L35="","",IF(Sheet1!L35&gt;0,ROW(),""))</f>
        <v/>
      </c>
      <c r="L35" s="24" t="str">
        <f t="shared" ca="1" si="1"/>
        <v/>
      </c>
      <c r="M35" s="47" t="str">
        <f t="shared" ca="1" si="2"/>
        <v/>
      </c>
      <c r="N35" s="48" t="str">
        <f>IF(LEFT(Sheet1!K35,2)="0x",Sheet1!K35,IF(AND(Sheet1!L35="",Sheet1!L34=""),"",N34))</f>
        <v/>
      </c>
      <c r="O35" s="46">
        <f>IF(Sheet1!L35="",0,IF(Sheet1!O35&lt;TIME(7,39,0)+Sheet1!$E$3/24,1,0))</f>
        <v>0</v>
      </c>
      <c r="P35" s="46" t="str">
        <f ca="1">IF(AND(Sheet1!L35&lt;0, Sheet1!$C$21&gt;R35,OR(Sheet1!$C$21&lt;=R36,Sheet1!L36="")),   -1*Sheet1!L35,"")</f>
        <v/>
      </c>
    </row>
    <row r="36" spans="1:16" ht="15.75" x14ac:dyDescent="0.25">
      <c r="A36" s="456" t="str">
        <f>IF(AND(R36&lt;&gt;"",R35&lt;&gt;""),(-Sheet1!L36/Sheet1!L35)^(360/(R36-R35-1))-1,"")</f>
        <v/>
      </c>
      <c r="B36" s="41" t="str">
        <f ca="1">IF(AND(Sheet1!L36&lt;0, Sheet1!$C$21&gt;R36+1,OR(Sheet1!$C$21&lt;=R37,Sheet1!L37="")),   -1*Sheet1!L36,"")</f>
        <v/>
      </c>
      <c r="C36" s="42">
        <f ca="1">IF(Sheet3!$B$5="",0,    IF(E36&lt;1,0,  IF(B36="","",     IF(OR(Sheet3!$B$6=0,INDIRECT(ADDRESS(ROW(),Sheet3!$B$3+16))="" ),D36/E36,    IF(E36&lt;0,0,    IF(OR( INDIRECT(ADDRESS(8,Sheet3!$B$3+16))="",INDIRECT(ADDRESS(ROW(),Sheet3!$B$3+17))=""),        (INDIRECT(ADDRESS(ROW(),Sheet3!$B$3+16))+B36)*Sheet3!$Q$4,         INDIRECT(ADDRESS(ROW(),Sheet3!$B$3+17))-INDIRECT(ADDRESS(ROW(),Sheet3!$B$3+16))))))))</f>
        <v>0</v>
      </c>
      <c r="D36" s="39">
        <f ca="1">IF(Sheet3!$B$5="",0,IF(B36="","",IF(E36&lt;1,0,   IF(INDIRECT(ADDRESS(ROW(), Sheet3!$B$3+17))="",        INDIRECT(ADDRESS(ROW(), Sheet3!$B$3+16))*  (1+Sheet3!$Q$4)   +B36*Sheet3!$Q$4,       INDIRECT(ADDRESS(ROW(), Sheet3!$B$3+17))))))</f>
        <v>0</v>
      </c>
      <c r="E36" s="40">
        <f ca="1">IF(AND(Sheet1!L36&lt;0,  Sheet1!$C$21&gt;R36),    IF(OR(Sheet1!$C$21&lt;=R37,  Sheet1!L37=""),       IF(AND(MOD(NOW(),1)&lt;TIME(9,39,0),Sheet1!$C$22=TODAY()),    Sheet1!$C$21-R36,     Sheet1!$C$21-R36-1),               R37-R36-1),    0)</f>
        <v>0</v>
      </c>
      <c r="F36" s="30"/>
      <c r="G36" s="25" t="str">
        <f>IF(LEFT(Sheet1!K37,2)="0x",Sheet1!K36,IF(AND(Sheet1!L36="",Sheet1!L35=""),"",G35))</f>
        <v/>
      </c>
      <c r="H36" s="81" t="str">
        <f t="shared" ca="1" si="4"/>
        <v/>
      </c>
      <c r="I36" s="28" t="str">
        <f t="shared" ca="1" si="5"/>
        <v/>
      </c>
      <c r="J36" s="29" t="str">
        <f t="shared" ca="1" si="6"/>
        <v/>
      </c>
      <c r="K36" s="24" t="str">
        <f>IF(Sheet1!L36="","",IF(Sheet1!L36&gt;0,ROW(),""))</f>
        <v/>
      </c>
      <c r="L36" s="24" t="str">
        <f t="shared" ca="1" si="1"/>
        <v/>
      </c>
      <c r="M36" s="47" t="str">
        <f t="shared" ca="1" si="2"/>
        <v/>
      </c>
      <c r="N36" s="48" t="str">
        <f>IF(LEFT(Sheet1!K36,2)="0x",Sheet1!K36,IF(AND(Sheet1!L36="",Sheet1!L35=""),"",N35))</f>
        <v/>
      </c>
      <c r="O36" s="46">
        <f>IF(Sheet1!L36="",0,IF(Sheet1!O36&lt;TIME(7,39,0)+Sheet1!$E$3/24,1,0))</f>
        <v>0</v>
      </c>
      <c r="P36" s="46" t="str">
        <f ca="1">IF(AND(Sheet1!L36&lt;0, Sheet1!$C$21&gt;R36,OR(Sheet1!$C$21&lt;=R37,Sheet1!L37="")),   -1*Sheet1!L36,"")</f>
        <v/>
      </c>
    </row>
    <row r="37" spans="1:16" ht="15.75" x14ac:dyDescent="0.25">
      <c r="A37" s="456" t="str">
        <f>IF(AND(R37&lt;&gt;"",R36&lt;&gt;""),(-Sheet1!L37/Sheet1!L36)^(360/(R37-R36-1))-1,"")</f>
        <v/>
      </c>
      <c r="B37" s="41" t="str">
        <f ca="1">IF(AND(Sheet1!L37&lt;0, Sheet1!$C$21&gt;R37+1,OR(Sheet1!$C$21&lt;=R38,Sheet1!L38="")),   -1*Sheet1!L37,"")</f>
        <v/>
      </c>
      <c r="C37" s="42">
        <f ca="1">IF(Sheet3!$B$5="",0,    IF(E37&lt;1,0,  IF(B37="","",     IF(OR(Sheet3!$B$6=0,INDIRECT(ADDRESS(ROW(),Sheet3!$B$3+16))="" ),D37/E37,    IF(E37&lt;0,0,    IF(OR( INDIRECT(ADDRESS(8,Sheet3!$B$3+16))="",INDIRECT(ADDRESS(ROW(),Sheet3!$B$3+17))=""),        (INDIRECT(ADDRESS(ROW(),Sheet3!$B$3+16))+B37)*Sheet3!$Q$4,         INDIRECT(ADDRESS(ROW(),Sheet3!$B$3+17))-INDIRECT(ADDRESS(ROW(),Sheet3!$B$3+16))))))))</f>
        <v>0</v>
      </c>
      <c r="D37" s="39">
        <f ca="1">IF(Sheet3!$B$5="",0,IF(B37="","",IF(E37&lt;1,0,   IF(INDIRECT(ADDRESS(ROW(), Sheet3!$B$3+17))="",        INDIRECT(ADDRESS(ROW(), Sheet3!$B$3+16))*  (1+Sheet3!$Q$4)   +B37*Sheet3!$Q$4,       INDIRECT(ADDRESS(ROW(), Sheet3!$B$3+17))))))</f>
        <v>0</v>
      </c>
      <c r="E37" s="40">
        <f ca="1">IF(AND(Sheet1!L37&lt;0,  Sheet1!$C$21&gt;R37),    IF(OR(Sheet1!$C$21&lt;=R38,  Sheet1!L38=""),       IF(AND(MOD(NOW(),1)&lt;TIME(9,39,0),Sheet1!$C$22=TODAY()),    Sheet1!$C$21-R37,     Sheet1!$C$21-R37-1),               R38-R37-1),    0)</f>
        <v>0</v>
      </c>
      <c r="F37" s="30"/>
      <c r="G37" s="25" t="str">
        <f>IF(LEFT(Sheet1!K38,2)="0x",Sheet1!K37,IF(AND(Sheet1!L37="",Sheet1!L36=""),"",G36))</f>
        <v/>
      </c>
      <c r="H37" s="81"/>
      <c r="I37" s="28" t="str">
        <f t="shared" ca="1" si="5"/>
        <v/>
      </c>
      <c r="J37" s="29" t="str">
        <f t="shared" ca="1" si="6"/>
        <v/>
      </c>
      <c r="K37" s="24" t="str">
        <f>IF(Sheet1!L37="","",IF(Sheet1!L37&gt;0,ROW(),""))</f>
        <v/>
      </c>
      <c r="L37" s="24" t="str">
        <f t="shared" ca="1" si="1"/>
        <v/>
      </c>
      <c r="M37" s="47" t="str">
        <f t="shared" ca="1" si="2"/>
        <v/>
      </c>
      <c r="N37" s="48" t="str">
        <f>IF(LEFT(Sheet1!K37,2)="0x",Sheet1!K37,IF(AND(Sheet1!L37="",Sheet1!L36=""),"",N36))</f>
        <v/>
      </c>
      <c r="O37" s="46">
        <f>IF(Sheet1!L37="",0,IF(Sheet1!O37&lt;TIME(7,39,0)+Sheet1!$E$3/24,1,0))</f>
        <v>0</v>
      </c>
      <c r="P37" s="46" t="str">
        <f ca="1">IF(AND(Sheet1!L37&lt;0, Sheet1!$C$21&gt;R37,OR(Sheet1!$C$21&lt;=R38,Sheet1!L38="")),   -1*Sheet1!L37,"")</f>
        <v/>
      </c>
    </row>
    <row r="38" spans="1:16" ht="15.75" x14ac:dyDescent="0.25">
      <c r="A38" s="456" t="str">
        <f>IF(AND(R38&lt;&gt;"",R37&lt;&gt;""),(-Sheet1!L38/Sheet1!L37)^(360/(R38-R37-1))-1,"")</f>
        <v/>
      </c>
      <c r="B38" s="41" t="str">
        <f ca="1">IF(AND(Sheet1!L38&lt;0, Sheet1!$C$21&gt;R38+1,OR(Sheet1!$C$21&lt;=R39,Sheet1!L39="")),   -1*Sheet1!L38,"")</f>
        <v/>
      </c>
      <c r="C38" s="42">
        <f ca="1">IF(Sheet3!$B$5="",0,    IF(E38&lt;1,0,  IF(B38="","",     IF(OR(Sheet3!$B$6=0,INDIRECT(ADDRESS(ROW(),Sheet3!$B$3+16))="" ),D38/E38,    IF(E38&lt;0,0,    IF(OR( INDIRECT(ADDRESS(8,Sheet3!$B$3+16))="",INDIRECT(ADDRESS(ROW(),Sheet3!$B$3+17))=""),        (INDIRECT(ADDRESS(ROW(),Sheet3!$B$3+16))+B38)*Sheet3!$Q$4,         INDIRECT(ADDRESS(ROW(),Sheet3!$B$3+17))-INDIRECT(ADDRESS(ROW(),Sheet3!$B$3+16))))))))</f>
        <v>0</v>
      </c>
      <c r="D38" s="39">
        <f ca="1">IF(Sheet3!$B$5="",0,IF(B38="","",IF(E38&lt;1,0,   IF(INDIRECT(ADDRESS(ROW(), Sheet3!$B$3+17))="",        INDIRECT(ADDRESS(ROW(), Sheet3!$B$3+16))*  (1+Sheet3!$Q$4)   +B38*Sheet3!$Q$4,       INDIRECT(ADDRESS(ROW(), Sheet3!$B$3+17))))))</f>
        <v>0</v>
      </c>
      <c r="E38" s="40">
        <f ca="1">IF(AND(Sheet1!L38&lt;0,  Sheet1!$C$21&gt;R38),    IF(OR(Sheet1!$C$21&lt;=R39,  Sheet1!L39=""),       IF(AND(MOD(NOW(),1)&lt;TIME(9,39,0),Sheet1!$C$22=TODAY()),    Sheet1!$C$21-R38,     Sheet1!$C$21-R38-1),               R39-R38-1),    0)</f>
        <v>0</v>
      </c>
      <c r="F38" s="30"/>
      <c r="G38" s="25" t="str">
        <f>IF(LEFT(Sheet1!K39,2)="0x",Sheet1!K38,IF(AND(Sheet1!L38="",Sheet1!L37=""),"",G37))</f>
        <v/>
      </c>
      <c r="H38" s="81"/>
      <c r="I38" s="43" t="str">
        <f t="shared" ref="I38:I101" si="7">IFERROR(SMALL(K$6:K$117,ROW(Q1)),"")</f>
        <v/>
      </c>
      <c r="J38" s="29" t="str">
        <f t="shared" si="6"/>
        <v/>
      </c>
      <c r="K38" s="24" t="str">
        <f>IF(Sheet1!L38="","",IF(Sheet1!L38&gt;0,ROW(),""))</f>
        <v/>
      </c>
      <c r="L38" s="24" t="str">
        <f t="shared" ca="1" si="1"/>
        <v/>
      </c>
      <c r="M38" s="47" t="str">
        <f t="shared" ca="1" si="2"/>
        <v/>
      </c>
      <c r="N38" s="48" t="str">
        <f>IF(LEFT(Sheet1!K38,2)="0x",Sheet1!K38,IF(AND(Sheet1!L38="",Sheet1!L37=""),"",N37))</f>
        <v/>
      </c>
      <c r="O38" s="46">
        <f>IF(Sheet1!L38="",0,IF(Sheet1!O38&lt;TIME(7,39,0)+Sheet1!$E$3/24,1,0))</f>
        <v>0</v>
      </c>
      <c r="P38" s="46" t="str">
        <f ca="1">IF(AND(Sheet1!L38&lt;0, Sheet1!$C$21&gt;R38,OR(Sheet1!$C$21&lt;=R39,Sheet1!L39="")),   -1*Sheet1!L38,"")</f>
        <v/>
      </c>
    </row>
    <row r="39" spans="1:16" ht="15.75" x14ac:dyDescent="0.25">
      <c r="A39" s="456" t="str">
        <f>IF(AND(R39&lt;&gt;"",R38&lt;&gt;""),(-Sheet1!L39/Sheet1!L38)^(360/(R39-R38-1))-1,"")</f>
        <v/>
      </c>
      <c r="B39" s="41" t="str">
        <f ca="1">IF(AND(Sheet1!L39&lt;0, Sheet1!$C$21&gt;R39+1,OR(Sheet1!$C$21&lt;=R40,Sheet1!L40="")),   -1*Sheet1!L39,"")</f>
        <v/>
      </c>
      <c r="C39" s="42">
        <f ca="1">IF(Sheet3!$B$5="",0,    IF(E39&lt;1,0,  IF(B39="","",     IF(OR(Sheet3!$B$6=0,INDIRECT(ADDRESS(ROW(),Sheet3!$B$3+16))="" ),D39/E39,    IF(E39&lt;0,0,    IF(OR( INDIRECT(ADDRESS(8,Sheet3!$B$3+16))="",INDIRECT(ADDRESS(ROW(),Sheet3!$B$3+17))=""),        (INDIRECT(ADDRESS(ROW(),Sheet3!$B$3+16))+B39)*Sheet3!$Q$4,         INDIRECT(ADDRESS(ROW(),Sheet3!$B$3+17))-INDIRECT(ADDRESS(ROW(),Sheet3!$B$3+16))))))))</f>
        <v>0</v>
      </c>
      <c r="D39" s="39">
        <f ca="1">IF(Sheet3!$B$5="",0,IF(B39="","",IF(E39&lt;1,0,   IF(INDIRECT(ADDRESS(ROW(), Sheet3!$B$3+17))="",        INDIRECT(ADDRESS(ROW(), Sheet3!$B$3+16))*  (1+Sheet3!$Q$4)   +B39*Sheet3!$Q$4,       INDIRECT(ADDRESS(ROW(), Sheet3!$B$3+17))))))</f>
        <v>0</v>
      </c>
      <c r="E39" s="40">
        <f ca="1">IF(AND(Sheet1!L39&lt;0,  Sheet1!$C$21&gt;R39),    IF(OR(Sheet1!$C$21&lt;=R40,  Sheet1!L40=""),       IF(AND(MOD(NOW(),1)&lt;TIME(9,39,0),Sheet1!$C$22=TODAY()),    Sheet1!$C$21-R39,     Sheet1!$C$21-R39-1),               R40-R39-1),    0)</f>
        <v>0</v>
      </c>
      <c r="F39" s="30"/>
      <c r="G39" s="25" t="str">
        <f>IF(LEFT(Sheet1!K40,2)="0x",Sheet1!K39,IF(AND(Sheet1!L39="",Sheet1!L38=""),"",G38))</f>
        <v/>
      </c>
      <c r="H39" s="81"/>
      <c r="I39" s="43" t="str">
        <f t="shared" si="7"/>
        <v/>
      </c>
      <c r="J39" s="29" t="str">
        <f t="shared" si="6"/>
        <v/>
      </c>
      <c r="K39" s="24" t="str">
        <f>IF(Sheet1!L39="","",IF(Sheet1!L39&gt;0,ROW(),""))</f>
        <v/>
      </c>
      <c r="L39" s="24" t="str">
        <f t="shared" ca="1" si="1"/>
        <v/>
      </c>
      <c r="M39" s="47" t="str">
        <f t="shared" ca="1" si="2"/>
        <v/>
      </c>
      <c r="N39" s="48" t="str">
        <f>IF(LEFT(Sheet1!K39,2)="0x",Sheet1!K39,IF(AND(Sheet1!L39="",Sheet1!L38=""),"",N38))</f>
        <v/>
      </c>
      <c r="O39" s="46">
        <f>IF(Sheet1!L39="",0,IF(Sheet1!O39&lt;TIME(7,39,0)+Sheet1!$E$3/24,1,0))</f>
        <v>0</v>
      </c>
      <c r="P39" s="46" t="str">
        <f ca="1">IF(AND(Sheet1!L39&lt;0, Sheet1!$C$21&gt;R39,OR(Sheet1!$C$21&lt;=R40,Sheet1!L40="")),   -1*Sheet1!L39,"")</f>
        <v/>
      </c>
    </row>
    <row r="40" spans="1:16" ht="15.75" x14ac:dyDescent="0.25">
      <c r="A40" s="456" t="str">
        <f>IF(AND(R40&lt;&gt;"",R39&lt;&gt;""),(-Sheet1!L40/Sheet1!L39)^(360/(R40-R39-1))-1,"")</f>
        <v/>
      </c>
      <c r="B40" s="41" t="str">
        <f ca="1">IF(AND(Sheet1!L40&lt;0, Sheet1!$C$21&gt;R40+1,OR(Sheet1!$C$21&lt;=R41,Sheet1!L41="")),   -1*Sheet1!L40,"")</f>
        <v/>
      </c>
      <c r="C40" s="42">
        <f ca="1">IF(Sheet3!$B$5="",0,    IF(E40&lt;1,0,  IF(B40="","",     IF(OR(Sheet3!$B$6=0,INDIRECT(ADDRESS(ROW(),Sheet3!$B$3+16))="" ),D40/E40,    IF(E40&lt;0,0,    IF(OR( INDIRECT(ADDRESS(8,Sheet3!$B$3+16))="",INDIRECT(ADDRESS(ROW(),Sheet3!$B$3+17))=""),        (INDIRECT(ADDRESS(ROW(),Sheet3!$B$3+16))+B40)*Sheet3!$Q$4,         INDIRECT(ADDRESS(ROW(),Sheet3!$B$3+17))-INDIRECT(ADDRESS(ROW(),Sheet3!$B$3+16))))))))</f>
        <v>0</v>
      </c>
      <c r="D40" s="39">
        <f ca="1">IF(Sheet3!$B$5="",0,IF(B40="","",IF(E40&lt;1,0,   IF(INDIRECT(ADDRESS(ROW(), Sheet3!$B$3+17))="",        INDIRECT(ADDRESS(ROW(), Sheet3!$B$3+16))*  (1+Sheet3!$Q$4)   +B40*Sheet3!$Q$4,       INDIRECT(ADDRESS(ROW(), Sheet3!$B$3+17))))))</f>
        <v>0</v>
      </c>
      <c r="E40" s="40">
        <f ca="1">IF(AND(Sheet1!L40&lt;0,  Sheet1!$C$21&gt;R40),    IF(OR(Sheet1!$C$21&lt;=R41,  Sheet1!L41=""),       IF(AND(MOD(NOW(),1)&lt;TIME(9,39,0),Sheet1!$C$22=TODAY()),    Sheet1!$C$21-R40,     Sheet1!$C$21-R40-1),               R41-R40-1),    0)</f>
        <v>0</v>
      </c>
      <c r="F40" s="30"/>
      <c r="G40" s="25" t="str">
        <f>IF(LEFT(Sheet1!K41,2)="0x",Sheet1!K40,IF(AND(Sheet1!L40="",Sheet1!L39=""),"",G39))</f>
        <v/>
      </c>
      <c r="H40" s="81"/>
      <c r="I40" s="43" t="str">
        <f t="shared" si="7"/>
        <v/>
      </c>
      <c r="J40" s="29" t="str">
        <f t="shared" si="6"/>
        <v/>
      </c>
      <c r="K40" s="24" t="str">
        <f>IF(Sheet1!L40="","",IF(Sheet1!L40&gt;0,ROW(),""))</f>
        <v/>
      </c>
      <c r="L40" s="24" t="str">
        <f t="shared" ca="1" si="1"/>
        <v/>
      </c>
      <c r="M40" s="47" t="str">
        <f t="shared" ca="1" si="2"/>
        <v/>
      </c>
      <c r="N40" s="48" t="str">
        <f>IF(LEFT(Sheet1!K40,2)="0x",Sheet1!K40,IF(AND(Sheet1!L40="",Sheet1!L39=""),"",N39))</f>
        <v/>
      </c>
      <c r="O40" s="46">
        <f>IF(Sheet1!L40="",0,IF(Sheet1!O40&lt;TIME(7,39,0)+Sheet1!$E$3/24,1,0))</f>
        <v>0</v>
      </c>
      <c r="P40" s="46" t="str">
        <f ca="1">IF(AND(Sheet1!L40&lt;0, Sheet1!$C$21&gt;R40,OR(Sheet1!$C$21&lt;=R41,Sheet1!L41="")),   -1*Sheet1!L40,"")</f>
        <v/>
      </c>
    </row>
    <row r="41" spans="1:16" ht="15.75" x14ac:dyDescent="0.25">
      <c r="A41" s="456" t="str">
        <f>IF(AND(R41&lt;&gt;"",R40&lt;&gt;""),(-Sheet1!L41/Sheet1!L40)^(360/(R41-R40-1))-1,"")</f>
        <v/>
      </c>
      <c r="B41" s="41" t="str">
        <f ca="1">IF(AND(Sheet1!L41&lt;0, Sheet1!$C$21&gt;R41+1,OR(Sheet1!$C$21&lt;=R42,Sheet1!L42="")),   -1*Sheet1!L41,"")</f>
        <v/>
      </c>
      <c r="C41" s="42">
        <f ca="1">IF(Sheet3!$B$5="",0,    IF(E41&lt;1,0,  IF(B41="","",     IF(OR(Sheet3!$B$6=0,INDIRECT(ADDRESS(ROW(),Sheet3!$B$3+16))="" ),D41/E41,    IF(E41&lt;0,0,    IF(OR( INDIRECT(ADDRESS(8,Sheet3!$B$3+16))="",INDIRECT(ADDRESS(ROW(),Sheet3!$B$3+17))=""),        (INDIRECT(ADDRESS(ROW(),Sheet3!$B$3+16))+B41)*Sheet3!$Q$4,         INDIRECT(ADDRESS(ROW(),Sheet3!$B$3+17))-INDIRECT(ADDRESS(ROW(),Sheet3!$B$3+16))))))))</f>
        <v>0</v>
      </c>
      <c r="D41" s="39">
        <f ca="1">IF(Sheet3!$B$5="",0,IF(B41="","",IF(E41&lt;1,0,   IF(INDIRECT(ADDRESS(ROW(), Sheet3!$B$3+17))="",        INDIRECT(ADDRESS(ROW(), Sheet3!$B$3+16))*  (1+Sheet3!$Q$4)   +B41*Sheet3!$Q$4,       INDIRECT(ADDRESS(ROW(), Sheet3!$B$3+17))))))</f>
        <v>0</v>
      </c>
      <c r="E41" s="40">
        <f ca="1">IF(AND(Sheet1!L41&lt;0,  Sheet1!$C$21&gt;R41),    IF(OR(Sheet1!$C$21&lt;=R42,  Sheet1!L42=""),       IF(AND(MOD(NOW(),1)&lt;TIME(9,39,0),Sheet1!$C$22=TODAY()),    Sheet1!$C$21-R41,     Sheet1!$C$21-R41-1),               R42-R41-1),    0)</f>
        <v>0</v>
      </c>
      <c r="F41" s="30"/>
      <c r="G41" s="25" t="str">
        <f>IF(LEFT(Sheet1!K42,2)="0x",Sheet1!K41,IF(AND(Sheet1!L41="",Sheet1!L40=""),"",G40))</f>
        <v/>
      </c>
      <c r="H41" s="81"/>
      <c r="I41" s="43" t="str">
        <f t="shared" si="7"/>
        <v/>
      </c>
      <c r="J41" s="29" t="str">
        <f t="shared" si="6"/>
        <v/>
      </c>
      <c r="K41" s="24" t="str">
        <f>IF(Sheet1!L41="","",IF(Sheet1!L41&gt;0,ROW(),""))</f>
        <v/>
      </c>
      <c r="L41" s="24" t="str">
        <f t="shared" ca="1" si="1"/>
        <v/>
      </c>
      <c r="M41" s="47" t="str">
        <f t="shared" ca="1" si="2"/>
        <v/>
      </c>
      <c r="N41" s="48" t="str">
        <f>IF(LEFT(Sheet1!K41,2)="0x",Sheet1!K41,IF(AND(Sheet1!L41="",Sheet1!L40=""),"",N40))</f>
        <v/>
      </c>
      <c r="O41" s="46">
        <f>IF(Sheet1!L41="",0,IF(Sheet1!O41&lt;TIME(7,39,0)+Sheet1!$E$3/24,1,0))</f>
        <v>0</v>
      </c>
      <c r="P41" s="46" t="str">
        <f ca="1">IF(AND(Sheet1!L41&lt;0, Sheet1!$C$21&gt;R41,OR(Sheet1!$C$21&lt;=R42,Sheet1!L42="")),   -1*Sheet1!L41,"")</f>
        <v/>
      </c>
    </row>
    <row r="42" spans="1:16" ht="15.75" x14ac:dyDescent="0.25">
      <c r="A42" s="456" t="str">
        <f>IF(AND(R42&lt;&gt;"",R41&lt;&gt;""),(-Sheet1!L42/Sheet1!L41)^(360/(R42-R41-1))-1,"")</f>
        <v/>
      </c>
      <c r="B42" s="41" t="str">
        <f ca="1">IF(AND(Sheet1!L42&lt;0, Sheet1!$C$21&gt;R42+1,OR(Sheet1!$C$21&lt;=R43,Sheet1!L43="")),   -1*Sheet1!L42,"")</f>
        <v/>
      </c>
      <c r="C42" s="42">
        <f ca="1">IF(Sheet3!$B$5="",0,    IF(E42&lt;1,0,  IF(B42="","",     IF(OR(Sheet3!$B$6=0,INDIRECT(ADDRESS(ROW(),Sheet3!$B$3+16))="" ),D42/E42,    IF(E42&lt;0,0,    IF(OR( INDIRECT(ADDRESS(8,Sheet3!$B$3+16))="",INDIRECT(ADDRESS(ROW(),Sheet3!$B$3+17))=""),        (INDIRECT(ADDRESS(ROW(),Sheet3!$B$3+16))+B42)*Sheet3!$Q$4,         INDIRECT(ADDRESS(ROW(),Sheet3!$B$3+17))-INDIRECT(ADDRESS(ROW(),Sheet3!$B$3+16))))))))</f>
        <v>0</v>
      </c>
      <c r="D42" s="39">
        <f ca="1">IF(Sheet3!$B$5="",0,IF(B42="","",IF(E42&lt;1,0,   IF(INDIRECT(ADDRESS(ROW(), Sheet3!$B$3+17))="",        INDIRECT(ADDRESS(ROW(), Sheet3!$B$3+16))*  (1+Sheet3!$Q$4)   +B42*Sheet3!$Q$4,       INDIRECT(ADDRESS(ROW(), Sheet3!$B$3+17))))))</f>
        <v>0</v>
      </c>
      <c r="E42" s="40">
        <f ca="1">IF(AND(Sheet1!L42&lt;0,  Sheet1!$C$21&gt;R42),    IF(OR(Sheet1!$C$21&lt;=R43,  Sheet1!L43=""),       IF(AND(MOD(NOW(),1)&lt;TIME(9,39,0),Sheet1!$C$22=TODAY()),    Sheet1!$C$21-R42,     Sheet1!$C$21-R42-1),               R43-R42-1),    0)</f>
        <v>0</v>
      </c>
      <c r="F42" s="30"/>
      <c r="G42" s="25" t="str">
        <f>IF(LEFT(Sheet1!K43,2)="0x",Sheet1!K42,IF(AND(Sheet1!L42="",Sheet1!L41=""),"",G41))</f>
        <v/>
      </c>
      <c r="H42" s="81"/>
      <c r="I42" s="43" t="str">
        <f t="shared" si="7"/>
        <v/>
      </c>
      <c r="J42" s="29" t="str">
        <f t="shared" si="6"/>
        <v/>
      </c>
      <c r="K42" s="24" t="str">
        <f>IF(Sheet1!L42="","",IF(Sheet1!L42&gt;0,ROW(),""))</f>
        <v/>
      </c>
      <c r="L42" s="24" t="str">
        <f t="shared" ca="1" si="1"/>
        <v/>
      </c>
      <c r="M42" s="47" t="str">
        <f t="shared" ca="1" si="2"/>
        <v/>
      </c>
      <c r="N42" s="48" t="str">
        <f>IF(LEFT(Sheet1!K42,2)="0x",Sheet1!K42,IF(AND(Sheet1!L42="",Sheet1!L41=""),"",N41))</f>
        <v/>
      </c>
      <c r="O42" s="46">
        <f>IF(Sheet1!L42="",0,IF(Sheet1!O42&lt;TIME(7,39,0)+Sheet1!$E$3/24,1,0))</f>
        <v>0</v>
      </c>
      <c r="P42" s="46" t="str">
        <f ca="1">IF(AND(Sheet1!L42&lt;0, Sheet1!$C$21&gt;R42,OR(Sheet1!$C$21&lt;=R43,Sheet1!L43="")),   -1*Sheet1!L42,"")</f>
        <v/>
      </c>
    </row>
    <row r="43" spans="1:16" ht="15.75" x14ac:dyDescent="0.25">
      <c r="A43" s="456" t="str">
        <f>IF(AND(R43&lt;&gt;"",R42&lt;&gt;""),(-Sheet1!L43/Sheet1!L42)^(360/(R43-R42-1))-1,"")</f>
        <v/>
      </c>
      <c r="B43" s="41" t="str">
        <f ca="1">IF(AND(Sheet1!L43&lt;0, Sheet1!$C$21&gt;R43+1,OR(Sheet1!$C$21&lt;=R44,Sheet1!L44="")),   -1*Sheet1!L43,"")</f>
        <v/>
      </c>
      <c r="C43" s="42">
        <f ca="1">IF(Sheet3!$B$5="",0,    IF(E43&lt;1,0,  IF(B43="","",     IF(OR(Sheet3!$B$6=0,INDIRECT(ADDRESS(ROW(),Sheet3!$B$3+16))="" ),D43/E43,    IF(E43&lt;0,0,    IF(OR( INDIRECT(ADDRESS(8,Sheet3!$B$3+16))="",INDIRECT(ADDRESS(ROW(),Sheet3!$B$3+17))=""),        (INDIRECT(ADDRESS(ROW(),Sheet3!$B$3+16))+B43)*Sheet3!$Q$4,         INDIRECT(ADDRESS(ROW(),Sheet3!$B$3+17))-INDIRECT(ADDRESS(ROW(),Sheet3!$B$3+16))))))))</f>
        <v>0</v>
      </c>
      <c r="D43" s="39">
        <f ca="1">IF(Sheet3!$B$5="",0,IF(B43="","",IF(E43&lt;1,0,   IF(INDIRECT(ADDRESS(ROW(), Sheet3!$B$3+17))="",        INDIRECT(ADDRESS(ROW(), Sheet3!$B$3+16))*  (1+Sheet3!$Q$4)   +B43*Sheet3!$Q$4,       INDIRECT(ADDRESS(ROW(), Sheet3!$B$3+17))))))</f>
        <v>0</v>
      </c>
      <c r="E43" s="40">
        <f ca="1">IF(AND(Sheet1!L43&lt;0,  Sheet1!$C$21&gt;R43),    IF(OR(Sheet1!$C$21&lt;=R44,  Sheet1!L44=""),       IF(AND(MOD(NOW(),1)&lt;TIME(9,39,0),Sheet1!$C$22=TODAY()),    Sheet1!$C$21-R43,     Sheet1!$C$21-R43-1),               R44-R43-1),    0)</f>
        <v>0</v>
      </c>
      <c r="F43" s="30"/>
      <c r="G43" s="25" t="str">
        <f>IF(LEFT(Sheet1!K44,2)="0x",Sheet1!K43,IF(AND(Sheet1!L43="",Sheet1!L42=""),"",G42))</f>
        <v/>
      </c>
      <c r="H43" s="81"/>
      <c r="I43" s="43" t="str">
        <f t="shared" si="7"/>
        <v/>
      </c>
      <c r="J43" s="29" t="str">
        <f t="shared" si="6"/>
        <v/>
      </c>
      <c r="K43" s="24" t="str">
        <f>IF(Sheet1!L43="","",IF(Sheet1!L43&gt;0,ROW(),""))</f>
        <v/>
      </c>
      <c r="L43" s="24" t="str">
        <f t="shared" ca="1" si="1"/>
        <v/>
      </c>
      <c r="M43" s="47" t="str">
        <f t="shared" ca="1" si="2"/>
        <v/>
      </c>
      <c r="N43" s="48" t="str">
        <f>IF(LEFT(Sheet1!K43,2)="0x",Sheet1!K43,IF(AND(Sheet1!L43="",Sheet1!L42=""),"",N42))</f>
        <v/>
      </c>
      <c r="O43" s="46">
        <f>IF(Sheet1!L43="",0,IF(Sheet1!O43&lt;TIME(7,39,0)+Sheet1!$E$3/24,1,0))</f>
        <v>0</v>
      </c>
      <c r="P43" s="46" t="str">
        <f ca="1">IF(AND(Sheet1!L43&lt;0, Sheet1!$C$21&gt;R43,OR(Sheet1!$C$21&lt;=R44,Sheet1!L44="")),   -1*Sheet1!L43,"")</f>
        <v/>
      </c>
    </row>
    <row r="44" spans="1:16" ht="15.75" x14ac:dyDescent="0.25">
      <c r="A44" s="456" t="str">
        <f>IF(AND(R44&lt;&gt;"",R43&lt;&gt;""),(-Sheet1!L44/Sheet1!L43)^(360/(R44-R43-1))-1,"")</f>
        <v/>
      </c>
      <c r="B44" s="41" t="str">
        <f ca="1">IF(AND(Sheet1!L44&lt;0, Sheet1!$C$21&gt;R44+1,OR(Sheet1!$C$21&lt;=R45,Sheet1!L45="")),   -1*Sheet1!L44,"")</f>
        <v/>
      </c>
      <c r="C44" s="42">
        <f ca="1">IF(Sheet3!$B$5="",0,    IF(E44&lt;1,0,  IF(B44="","",     IF(OR(Sheet3!$B$6=0,INDIRECT(ADDRESS(ROW(),Sheet3!$B$3+16))="" ),D44/E44,    IF(E44&lt;0,0,    IF(OR( INDIRECT(ADDRESS(8,Sheet3!$B$3+16))="",INDIRECT(ADDRESS(ROW(),Sheet3!$B$3+17))=""),        (INDIRECT(ADDRESS(ROW(),Sheet3!$B$3+16))+B44)*Sheet3!$Q$4,         INDIRECT(ADDRESS(ROW(),Sheet3!$B$3+17))-INDIRECT(ADDRESS(ROW(),Sheet3!$B$3+16))))))))</f>
        <v>0</v>
      </c>
      <c r="D44" s="39">
        <f ca="1">IF(Sheet3!$B$5="",0,IF(B44="","",IF(E44&lt;1,0,   IF(INDIRECT(ADDRESS(ROW(), Sheet3!$B$3+17))="",        INDIRECT(ADDRESS(ROW(), Sheet3!$B$3+16))*  (1+Sheet3!$Q$4)   +B44*Sheet3!$Q$4,       INDIRECT(ADDRESS(ROW(), Sheet3!$B$3+17))))))</f>
        <v>0</v>
      </c>
      <c r="E44" s="40">
        <f ca="1">IF(AND(Sheet1!L44&lt;0,  Sheet1!$C$21&gt;R44),    IF(OR(Sheet1!$C$21&lt;=R45,  Sheet1!L45=""),       IF(AND(MOD(NOW(),1)&lt;TIME(9,39,0),Sheet1!$C$22=TODAY()),    Sheet1!$C$21-R44,     Sheet1!$C$21-R44-1),               R45-R44-1),    0)</f>
        <v>0</v>
      </c>
      <c r="F44" s="30"/>
      <c r="G44" s="25" t="str">
        <f>IF(LEFT(Sheet1!K45,2)="0x",Sheet1!K44,IF(AND(Sheet1!L44="",Sheet1!L43=""),"",G43))</f>
        <v/>
      </c>
      <c r="H44" s="81"/>
      <c r="I44" s="43" t="str">
        <f t="shared" si="7"/>
        <v/>
      </c>
      <c r="J44" s="29" t="str">
        <f t="shared" si="6"/>
        <v/>
      </c>
      <c r="K44" s="24" t="str">
        <f>IF(Sheet1!L44="","",IF(Sheet1!L44&gt;0,ROW(),""))</f>
        <v/>
      </c>
      <c r="L44" s="24" t="str">
        <f t="shared" ca="1" si="1"/>
        <v/>
      </c>
      <c r="M44" s="47" t="str">
        <f t="shared" ca="1" si="2"/>
        <v/>
      </c>
      <c r="N44" s="48" t="str">
        <f>IF(LEFT(Sheet1!K44,2)="0x",Sheet1!K44,IF(AND(Sheet1!L44="",Sheet1!L43=""),"",N43))</f>
        <v/>
      </c>
      <c r="O44" s="46">
        <f>IF(Sheet1!L44="",0,IF(Sheet1!O44&lt;TIME(7,39,0)+Sheet1!$E$3/24,1,0))</f>
        <v>0</v>
      </c>
      <c r="P44" s="46" t="str">
        <f ca="1">IF(AND(Sheet1!L44&lt;0, Sheet1!$C$21&gt;R44,OR(Sheet1!$C$21&lt;=R45,Sheet1!L45="")),   -1*Sheet1!L44,"")</f>
        <v/>
      </c>
    </row>
    <row r="45" spans="1:16" ht="15.75" x14ac:dyDescent="0.25">
      <c r="A45" s="456" t="str">
        <f>IF(AND(R45&lt;&gt;"",R44&lt;&gt;""),(-Sheet1!L45/Sheet1!L44)^(360/(R45-R44-1))-1,"")</f>
        <v/>
      </c>
      <c r="B45" s="41" t="str">
        <f ca="1">IF(AND(Sheet1!L45&lt;0, Sheet1!$C$21&gt;R45+1,OR(Sheet1!$C$21&lt;=R46,Sheet1!L46="")),   -1*Sheet1!L45,"")</f>
        <v/>
      </c>
      <c r="C45" s="42">
        <f ca="1">IF(Sheet3!$B$5="",0,    IF(E45&lt;1,0,  IF(B45="","",     IF(OR(Sheet3!$B$6=0,INDIRECT(ADDRESS(ROW(),Sheet3!$B$3+16))="" ),D45/E45,    IF(E45&lt;0,0,    IF(OR( INDIRECT(ADDRESS(8,Sheet3!$B$3+16))="",INDIRECT(ADDRESS(ROW(),Sheet3!$B$3+17))=""),        (INDIRECT(ADDRESS(ROW(),Sheet3!$B$3+16))+B45)*Sheet3!$Q$4,         INDIRECT(ADDRESS(ROW(),Sheet3!$B$3+17))-INDIRECT(ADDRESS(ROW(),Sheet3!$B$3+16))))))))</f>
        <v>0</v>
      </c>
      <c r="D45" s="39">
        <f ca="1">IF(Sheet3!$B$5="",0,IF(B45="","",IF(E45&lt;1,0,   IF(INDIRECT(ADDRESS(ROW(), Sheet3!$B$3+17))="",        INDIRECT(ADDRESS(ROW(), Sheet3!$B$3+16))*  (1+Sheet3!$Q$4)   +B45*Sheet3!$Q$4,       INDIRECT(ADDRESS(ROW(), Sheet3!$B$3+17))))))</f>
        <v>0</v>
      </c>
      <c r="E45" s="40">
        <f ca="1">IF(AND(Sheet1!L45&lt;0,  Sheet1!$C$21&gt;R45),    IF(OR(Sheet1!$C$21&lt;=R46,  Sheet1!L46=""),       IF(AND(MOD(NOW(),1)&lt;TIME(9,39,0),Sheet1!$C$22=TODAY()),    Sheet1!$C$21-R45,     Sheet1!$C$21-R45-1),               R46-R45-1),    0)</f>
        <v>0</v>
      </c>
      <c r="F45" s="30"/>
      <c r="G45" s="25" t="str">
        <f>IF(LEFT(Sheet1!K46,2)="0x",Sheet1!K45,IF(AND(Sheet1!L45="",Sheet1!L44=""),"",G44))</f>
        <v/>
      </c>
      <c r="H45" s="81"/>
      <c r="I45" s="43" t="str">
        <f t="shared" si="7"/>
        <v/>
      </c>
      <c r="J45" s="29" t="str">
        <f t="shared" si="6"/>
        <v/>
      </c>
      <c r="K45" s="24" t="str">
        <f>IF(Sheet1!L45="","",IF(Sheet1!L45&gt;0,ROW(),""))</f>
        <v/>
      </c>
      <c r="L45" s="24" t="str">
        <f t="shared" ca="1" si="1"/>
        <v/>
      </c>
      <c r="M45" s="47" t="str">
        <f t="shared" ca="1" si="2"/>
        <v/>
      </c>
      <c r="N45" s="48" t="str">
        <f>IF(LEFT(Sheet1!K45,2)="0x",Sheet1!K45,IF(AND(Sheet1!L45="",Sheet1!L44=""),"",N44))</f>
        <v/>
      </c>
      <c r="O45" s="46">
        <f>IF(Sheet1!L45="",0,IF(Sheet1!O45&lt;TIME(7,39,0)+Sheet1!$E$3/24,1,0))</f>
        <v>0</v>
      </c>
      <c r="P45" s="46" t="str">
        <f ca="1">IF(AND(Sheet1!L45&lt;0, Sheet1!$C$21&gt;R45,OR(Sheet1!$C$21&lt;=R46,Sheet1!L46="")),   -1*Sheet1!L45,"")</f>
        <v/>
      </c>
    </row>
    <row r="46" spans="1:16" ht="15.75" x14ac:dyDescent="0.25">
      <c r="A46" s="456" t="str">
        <f>IF(AND(R46&lt;&gt;"",R45&lt;&gt;""),(-Sheet1!L46/Sheet1!L45)^(360/(R46-R45-1))-1,"")</f>
        <v/>
      </c>
      <c r="B46" s="41" t="str">
        <f ca="1">IF(AND(Sheet1!L46&lt;0, Sheet1!$C$21&gt;R46+1,OR(Sheet1!$C$21&lt;=R47,Sheet1!L47="")),   -1*Sheet1!L46,"")</f>
        <v/>
      </c>
      <c r="C46" s="42">
        <f ca="1">IF(Sheet3!$B$5="",0,    IF(E46&lt;1,0,  IF(B46="","",     IF(OR(Sheet3!$B$6=0,INDIRECT(ADDRESS(ROW(),Sheet3!$B$3+16))="" ),D46/E46,    IF(E46&lt;0,0,    IF(OR( INDIRECT(ADDRESS(8,Sheet3!$B$3+16))="",INDIRECT(ADDRESS(ROW(),Sheet3!$B$3+17))=""),        (INDIRECT(ADDRESS(ROW(),Sheet3!$B$3+16))+B46)*Sheet3!$Q$4,         INDIRECT(ADDRESS(ROW(),Sheet3!$B$3+17))-INDIRECT(ADDRESS(ROW(),Sheet3!$B$3+16))))))))</f>
        <v>0</v>
      </c>
      <c r="D46" s="39">
        <f ca="1">IF(Sheet3!$B$5="",0,IF(B46="","",IF(E46&lt;1,0,   IF(INDIRECT(ADDRESS(ROW(), Sheet3!$B$3+17))="",        INDIRECT(ADDRESS(ROW(), Sheet3!$B$3+16))*  (1+Sheet3!$Q$4)   +B46*Sheet3!$Q$4,       INDIRECT(ADDRESS(ROW(), Sheet3!$B$3+17))))))</f>
        <v>0</v>
      </c>
      <c r="E46" s="40">
        <f ca="1">IF(AND(Sheet1!L46&lt;0,  Sheet1!$C$21&gt;R46),    IF(OR(Sheet1!$C$21&lt;=R47,  Sheet1!L47=""),       IF(AND(MOD(NOW(),1)&lt;TIME(9,39,0),Sheet1!$C$22=TODAY()),    Sheet1!$C$21-R46,     Sheet1!$C$21-R46-1),               R47-R46-1),    0)</f>
        <v>0</v>
      </c>
      <c r="F46" s="30"/>
      <c r="G46" s="25" t="str">
        <f>IF(LEFT(Sheet1!K47,2)="0x",Sheet1!K46,IF(AND(Sheet1!L46="",Sheet1!L45=""),"",G45))</f>
        <v/>
      </c>
      <c r="H46" s="81"/>
      <c r="I46" s="43" t="str">
        <f t="shared" si="7"/>
        <v/>
      </c>
      <c r="J46" s="29" t="str">
        <f t="shared" si="6"/>
        <v/>
      </c>
      <c r="K46" s="24" t="str">
        <f>IF(Sheet1!L46="","",IF(Sheet1!L46&gt;0,ROW(),""))</f>
        <v/>
      </c>
      <c r="L46" s="24" t="str">
        <f t="shared" ca="1" si="1"/>
        <v/>
      </c>
      <c r="M46" s="47" t="str">
        <f t="shared" ca="1" si="2"/>
        <v/>
      </c>
      <c r="N46" s="48" t="str">
        <f>IF(LEFT(Sheet1!K46,2)="0x",Sheet1!K46,IF(AND(Sheet1!L46="",Sheet1!L45=""),"",N45))</f>
        <v/>
      </c>
      <c r="O46" s="46">
        <f>IF(Sheet1!L46="",0,IF(Sheet1!O46&lt;TIME(7,39,0)+Sheet1!$E$3/24,1,0))</f>
        <v>0</v>
      </c>
      <c r="P46" s="46" t="str">
        <f ca="1">IF(AND(Sheet1!L46&lt;0, Sheet1!$C$21&gt;R46,OR(Sheet1!$C$21&lt;=R47,Sheet1!L47="")),   -1*Sheet1!L46,"")</f>
        <v/>
      </c>
    </row>
    <row r="47" spans="1:16" ht="15.75" x14ac:dyDescent="0.25">
      <c r="A47" s="456" t="str">
        <f>IF(AND(R47&lt;&gt;"",R46&lt;&gt;""),(-Sheet1!L47/Sheet1!L46)^(360/(R47-R46-1))-1,"")</f>
        <v/>
      </c>
      <c r="B47" s="41" t="str">
        <f ca="1">IF(AND(Sheet1!L47&lt;0, Sheet1!$C$21&gt;R47+1,OR(Sheet1!$C$21&lt;=R48,Sheet1!L48="")),   -1*Sheet1!L47,"")</f>
        <v/>
      </c>
      <c r="C47" s="42">
        <f ca="1">IF(Sheet3!$B$5="",0,    IF(E47&lt;1,0,  IF(B47="","",     IF(OR(Sheet3!$B$6=0,INDIRECT(ADDRESS(ROW(),Sheet3!$B$3+16))="" ),D47/E47,    IF(E47&lt;0,0,    IF(OR( INDIRECT(ADDRESS(8,Sheet3!$B$3+16))="",INDIRECT(ADDRESS(ROW(),Sheet3!$B$3+17))=""),        (INDIRECT(ADDRESS(ROW(),Sheet3!$B$3+16))+B47)*Sheet3!$Q$4,         INDIRECT(ADDRESS(ROW(),Sheet3!$B$3+17))-INDIRECT(ADDRESS(ROW(),Sheet3!$B$3+16))))))))</f>
        <v>0</v>
      </c>
      <c r="D47" s="39">
        <f ca="1">IF(Sheet3!$B$5="",0,IF(B47="","",IF(E47&lt;1,0,   IF(INDIRECT(ADDRESS(ROW(), Sheet3!$B$3+17))="",        INDIRECT(ADDRESS(ROW(), Sheet3!$B$3+16))*  (1+Sheet3!$Q$4)   +B47*Sheet3!$Q$4,       INDIRECT(ADDRESS(ROW(), Sheet3!$B$3+17))))))</f>
        <v>0</v>
      </c>
      <c r="E47" s="40">
        <f ca="1">IF(AND(Sheet1!L47&lt;0,  Sheet1!$C$21&gt;R47),    IF(OR(Sheet1!$C$21&lt;=R48,  Sheet1!L48=""),       IF(AND(MOD(NOW(),1)&lt;TIME(9,39,0),Sheet1!$C$22=TODAY()),    Sheet1!$C$21-R47,     Sheet1!$C$21-R47-1),               R48-R47-1),    0)</f>
        <v>0</v>
      </c>
      <c r="F47" s="30"/>
      <c r="G47" s="25" t="str">
        <f>IF(LEFT(Sheet1!K48,2)="0x",Sheet1!K47,IF(AND(Sheet1!L47="",Sheet1!L46=""),"",G46))</f>
        <v/>
      </c>
      <c r="H47" s="81"/>
      <c r="I47" s="43" t="str">
        <f t="shared" si="7"/>
        <v/>
      </c>
      <c r="J47" s="29" t="str">
        <f t="shared" si="6"/>
        <v/>
      </c>
      <c r="K47" s="24" t="str">
        <f>IF(Sheet1!L47="","",IF(Sheet1!L47&gt;0,ROW(),""))</f>
        <v/>
      </c>
      <c r="L47" s="24" t="str">
        <f t="shared" ca="1" si="1"/>
        <v/>
      </c>
      <c r="M47" s="47" t="str">
        <f t="shared" ca="1" si="2"/>
        <v/>
      </c>
      <c r="N47" s="48" t="str">
        <f>IF(LEFT(Sheet1!K47,2)="0x",Sheet1!K47,IF(AND(Sheet1!L47="",Sheet1!L46=""),"",N46))</f>
        <v/>
      </c>
      <c r="O47" s="46">
        <f>IF(Sheet1!L47="",0,IF(Sheet1!O47&lt;TIME(7,39,0)+Sheet1!$E$3/24,1,0))</f>
        <v>0</v>
      </c>
      <c r="P47" s="46" t="str">
        <f ca="1">IF(AND(Sheet1!L47&lt;0, Sheet1!$C$21&gt;R47,OR(Sheet1!$C$21&lt;=R48,Sheet1!L48="")),   -1*Sheet1!L47,"")</f>
        <v/>
      </c>
    </row>
    <row r="48" spans="1:16" ht="15.75" x14ac:dyDescent="0.25">
      <c r="A48" s="456" t="str">
        <f>IF(AND(R48&lt;&gt;"",R47&lt;&gt;""),(-Sheet1!L48/Sheet1!L47)^(360/(R48-R47-1))-1,"")</f>
        <v/>
      </c>
      <c r="B48" s="41" t="str">
        <f ca="1">IF(AND(Sheet1!L48&lt;0, Sheet1!$C$21&gt;R48+1,OR(Sheet1!$C$21&lt;=R49,Sheet1!L49="")),   -1*Sheet1!L48,"")</f>
        <v/>
      </c>
      <c r="C48" s="42">
        <f ca="1">IF(Sheet3!$B$5="",0,    IF(E48&lt;1,0,  IF(B48="","",     IF(OR(Sheet3!$B$6=0,INDIRECT(ADDRESS(ROW(),Sheet3!$B$3+16))="" ),D48/E48,    IF(E48&lt;0,0,    IF(OR( INDIRECT(ADDRESS(8,Sheet3!$B$3+16))="",INDIRECT(ADDRESS(ROW(),Sheet3!$B$3+17))=""),        (INDIRECT(ADDRESS(ROW(),Sheet3!$B$3+16))+B48)*Sheet3!$Q$4,         INDIRECT(ADDRESS(ROW(),Sheet3!$B$3+17))-INDIRECT(ADDRESS(ROW(),Sheet3!$B$3+16))))))))</f>
        <v>0</v>
      </c>
      <c r="D48" s="39">
        <f ca="1">IF(Sheet3!$B$5="",0,IF(B48="","",IF(E48&lt;1,0,   IF(INDIRECT(ADDRESS(ROW(), Sheet3!$B$3+17))="",        INDIRECT(ADDRESS(ROW(), Sheet3!$B$3+16))*  (1+Sheet3!$Q$4)   +B48*Sheet3!$Q$4,       INDIRECT(ADDRESS(ROW(), Sheet3!$B$3+17))))))</f>
        <v>0</v>
      </c>
      <c r="E48" s="40">
        <f ca="1">IF(AND(Sheet1!L48&lt;0,  Sheet1!$C$21&gt;R48),    IF(OR(Sheet1!$C$21&lt;=R49,  Sheet1!L49=""),       IF(AND(MOD(NOW(),1)&lt;TIME(9,39,0),Sheet1!$C$22=TODAY()),    Sheet1!$C$21-R48,     Sheet1!$C$21-R48-1),               R49-R48-1),    0)</f>
        <v>0</v>
      </c>
      <c r="F48" s="30"/>
      <c r="G48" s="25" t="str">
        <f>IF(LEFT(Sheet1!K49,2)="0x",Sheet1!K48,IF(AND(Sheet1!L48="",Sheet1!L47=""),"",G47))</f>
        <v/>
      </c>
      <c r="H48" s="81"/>
      <c r="I48" s="43" t="str">
        <f t="shared" si="7"/>
        <v/>
      </c>
      <c r="J48" s="29" t="str">
        <f t="shared" si="6"/>
        <v/>
      </c>
      <c r="K48" s="24" t="str">
        <f>IF(Sheet1!L48="","",IF(Sheet1!L48&gt;0,ROW(),""))</f>
        <v/>
      </c>
      <c r="L48" s="24" t="str">
        <f t="shared" ca="1" si="1"/>
        <v/>
      </c>
      <c r="M48" s="47" t="str">
        <f t="shared" ca="1" si="2"/>
        <v/>
      </c>
      <c r="N48" s="48" t="str">
        <f>IF(LEFT(Sheet1!K48,2)="0x",Sheet1!K48,IF(AND(Sheet1!L48="",Sheet1!L47=""),"",N47))</f>
        <v/>
      </c>
      <c r="O48" s="46">
        <f>IF(Sheet1!L48="",0,IF(Sheet1!O48&lt;TIME(7,39,0)+Sheet1!$E$3/24,1,0))</f>
        <v>0</v>
      </c>
      <c r="P48" s="46" t="str">
        <f ca="1">IF(AND(Sheet1!L48&lt;0, Sheet1!$C$21&gt;R48,OR(Sheet1!$C$21&lt;=R49,Sheet1!L49="")),   -1*Sheet1!L48,"")</f>
        <v/>
      </c>
    </row>
    <row r="49" spans="1:16" ht="15.75" x14ac:dyDescent="0.25">
      <c r="A49" s="456" t="str">
        <f>IF(AND(R49&lt;&gt;"",R48&lt;&gt;""),(-Sheet1!L49/Sheet1!L48)^(360/(R49-R48-1))-1,"")</f>
        <v/>
      </c>
      <c r="B49" s="41" t="str">
        <f ca="1">IF(AND(Sheet1!L49&lt;0, Sheet1!$C$21&gt;R49+1,OR(Sheet1!$C$21&lt;=R50,Sheet1!L50="")),   -1*Sheet1!L49,"")</f>
        <v/>
      </c>
      <c r="C49" s="42">
        <f ca="1">IF(Sheet3!$B$5="",0,    IF(E49&lt;1,0,  IF(B49="","",     IF(OR(Sheet3!$B$6=0,INDIRECT(ADDRESS(ROW(),Sheet3!$B$3+16))="" ),D49/E49,    IF(E49&lt;0,0,    IF(OR( INDIRECT(ADDRESS(8,Sheet3!$B$3+16))="",INDIRECT(ADDRESS(ROW(),Sheet3!$B$3+17))=""),        (INDIRECT(ADDRESS(ROW(),Sheet3!$B$3+16))+B49)*Sheet3!$Q$4,         INDIRECT(ADDRESS(ROW(),Sheet3!$B$3+17))-INDIRECT(ADDRESS(ROW(),Sheet3!$B$3+16))))))))</f>
        <v>0</v>
      </c>
      <c r="D49" s="39">
        <f ca="1">IF(Sheet3!$B$5="",0,IF(B49="","",IF(E49&lt;1,0,   IF(INDIRECT(ADDRESS(ROW(), Sheet3!$B$3+17))="",        INDIRECT(ADDRESS(ROW(), Sheet3!$B$3+16))*  (1+Sheet3!$Q$4)   +B49*Sheet3!$Q$4,       INDIRECT(ADDRESS(ROW(), Sheet3!$B$3+17))))))</f>
        <v>0</v>
      </c>
      <c r="E49" s="40">
        <f ca="1">IF(AND(Sheet1!L49&lt;0,  Sheet1!$C$21&gt;R49),    IF(OR(Sheet1!$C$21&lt;=R50,  Sheet1!L50=""),       IF(AND(MOD(NOW(),1)&lt;TIME(9,39,0),Sheet1!$C$22=TODAY()),    Sheet1!$C$21-R49,     Sheet1!$C$21-R49-1),               R50-R49-1),    0)</f>
        <v>0</v>
      </c>
      <c r="F49" s="30"/>
      <c r="G49" s="25" t="str">
        <f>IF(LEFT(Sheet1!K50,2)="0x",Sheet1!K49,IF(AND(Sheet1!L49="",Sheet1!L48=""),"",G48))</f>
        <v/>
      </c>
      <c r="H49" s="81"/>
      <c r="I49" s="43" t="str">
        <f t="shared" si="7"/>
        <v/>
      </c>
      <c r="J49" s="29" t="str">
        <f t="shared" si="6"/>
        <v/>
      </c>
      <c r="K49" s="24" t="str">
        <f>IF(Sheet1!L49="","",IF(Sheet1!L49&gt;0,ROW(),""))</f>
        <v/>
      </c>
      <c r="L49" s="24" t="str">
        <f t="shared" ca="1" si="1"/>
        <v/>
      </c>
      <c r="M49" s="47" t="str">
        <f t="shared" ca="1" si="2"/>
        <v/>
      </c>
      <c r="N49" s="48" t="str">
        <f>IF(LEFT(Sheet1!K49,2)="0x",Sheet1!K49,IF(AND(Sheet1!L49="",Sheet1!L48=""),"",N48))</f>
        <v/>
      </c>
      <c r="O49" s="46">
        <f>IF(Sheet1!L49="",0,IF(Sheet1!O49&lt;TIME(7,39,0)+Sheet1!$E$3/24,1,0))</f>
        <v>0</v>
      </c>
      <c r="P49" s="46" t="str">
        <f ca="1">IF(AND(Sheet1!L49&lt;0, Sheet1!$C$21&gt;R49,OR(Sheet1!$C$21&lt;=R50,Sheet1!L50="")),   -1*Sheet1!L49,"")</f>
        <v/>
      </c>
    </row>
    <row r="50" spans="1:16" ht="15.75" x14ac:dyDescent="0.25">
      <c r="A50" s="456" t="str">
        <f>IF(AND(R50&lt;&gt;"",R49&lt;&gt;""),(-Sheet1!L50/Sheet1!L49)^(360/(R50-R49-1))-1,"")</f>
        <v/>
      </c>
      <c r="B50" s="41" t="str">
        <f ca="1">IF(AND(Sheet1!L50&lt;0, Sheet1!$C$21&gt;R50+1,OR(Sheet1!$C$21&lt;=R51,Sheet1!L51="")),   -1*Sheet1!L50,"")</f>
        <v/>
      </c>
      <c r="C50" s="42">
        <f ca="1">IF(Sheet3!$B$5="",0,    IF(E50&lt;1,0,  IF(B50="","",     IF(OR(Sheet3!$B$6=0,INDIRECT(ADDRESS(ROW(),Sheet3!$B$3+16))="" ),D50/E50,    IF(E50&lt;0,0,    IF(OR( INDIRECT(ADDRESS(8,Sheet3!$B$3+16))="",INDIRECT(ADDRESS(ROW(),Sheet3!$B$3+17))=""),        (INDIRECT(ADDRESS(ROW(),Sheet3!$B$3+16))+B50)*Sheet3!$Q$4,         INDIRECT(ADDRESS(ROW(),Sheet3!$B$3+17))-INDIRECT(ADDRESS(ROW(),Sheet3!$B$3+16))))))))</f>
        <v>0</v>
      </c>
      <c r="D50" s="39">
        <f ca="1">IF(Sheet3!$B$5="",0,IF(B50="","",IF(E50&lt;1,0,   IF(INDIRECT(ADDRESS(ROW(), Sheet3!$B$3+17))="",        INDIRECT(ADDRESS(ROW(), Sheet3!$B$3+16))*  (1+Sheet3!$Q$4)   +B50*Sheet3!$Q$4,       INDIRECT(ADDRESS(ROW(), Sheet3!$B$3+17))))))</f>
        <v>0</v>
      </c>
      <c r="E50" s="40">
        <f ca="1">IF(AND(Sheet1!L50&lt;0,  Sheet1!$C$21&gt;R50),    IF(OR(Sheet1!$C$21&lt;=R51,  Sheet1!L51=""),       IF(AND(MOD(NOW(),1)&lt;TIME(9,39,0),Sheet1!$C$22=TODAY()),    Sheet1!$C$21-R50,     Sheet1!$C$21-R50-1),               R51-R50-1),    0)</f>
        <v>0</v>
      </c>
      <c r="F50" s="30"/>
      <c r="G50" s="25" t="str">
        <f>IF(LEFT(Sheet1!K51,2)="0x",Sheet1!K50,IF(AND(Sheet1!L50="",Sheet1!L49=""),"",G49))</f>
        <v/>
      </c>
      <c r="H50" s="81"/>
      <c r="I50" s="43" t="str">
        <f t="shared" si="7"/>
        <v/>
      </c>
      <c r="J50" s="29" t="str">
        <f t="shared" si="6"/>
        <v/>
      </c>
      <c r="K50" s="24" t="str">
        <f>IF(Sheet1!L50="","",IF(Sheet1!L50&gt;0,ROW(),""))</f>
        <v/>
      </c>
      <c r="L50" s="24" t="str">
        <f t="shared" ca="1" si="1"/>
        <v/>
      </c>
      <c r="M50" s="47" t="str">
        <f t="shared" ca="1" si="2"/>
        <v/>
      </c>
      <c r="N50" s="48" t="str">
        <f>IF(LEFT(Sheet1!K50,2)="0x",Sheet1!K50,IF(AND(Sheet1!L50="",Sheet1!L49=""),"",N49))</f>
        <v/>
      </c>
      <c r="O50" s="46">
        <f>IF(Sheet1!L50="",0,IF(Sheet1!O50&lt;TIME(7,39,0)+Sheet1!$E$3/24,1,0))</f>
        <v>0</v>
      </c>
      <c r="P50" s="46" t="str">
        <f ca="1">IF(AND(Sheet1!L50&lt;0, Sheet1!$C$21&gt;R50,OR(Sheet1!$C$21&lt;=R51,Sheet1!L51="")),   -1*Sheet1!L50,"")</f>
        <v/>
      </c>
    </row>
    <row r="51" spans="1:16" ht="15.75" x14ac:dyDescent="0.25">
      <c r="A51" s="456" t="str">
        <f>IF(AND(R51&lt;&gt;"",R50&lt;&gt;""),(-Sheet1!L51/Sheet1!L50)^(360/(R51-R50-1))-1,"")</f>
        <v/>
      </c>
      <c r="B51" s="41" t="str">
        <f ca="1">IF(AND(Sheet1!L51&lt;0, Sheet1!$C$21&gt;R51+1,OR(Sheet1!$C$21&lt;=R52,Sheet1!L52="")),   -1*Sheet1!L51,"")</f>
        <v/>
      </c>
      <c r="C51" s="42">
        <f ca="1">IF(Sheet3!$B$5="",0,    IF(E51&lt;1,0,  IF(B51="","",     IF(OR(Sheet3!$B$6=0,INDIRECT(ADDRESS(ROW(),Sheet3!$B$3+16))="" ),D51/E51,    IF(E51&lt;0,0,    IF(OR( INDIRECT(ADDRESS(8,Sheet3!$B$3+16))="",INDIRECT(ADDRESS(ROW(),Sheet3!$B$3+17))=""),        (INDIRECT(ADDRESS(ROW(),Sheet3!$B$3+16))+B51)*Sheet3!$Q$4,         INDIRECT(ADDRESS(ROW(),Sheet3!$B$3+17))-INDIRECT(ADDRESS(ROW(),Sheet3!$B$3+16))))))))</f>
        <v>0</v>
      </c>
      <c r="D51" s="39">
        <f ca="1">IF(Sheet3!$B$5="",0,IF(B51="","",IF(E51&lt;1,0,   IF(INDIRECT(ADDRESS(ROW(), Sheet3!$B$3+17))="",        INDIRECT(ADDRESS(ROW(), Sheet3!$B$3+16))*  (1+Sheet3!$Q$4)   +B51*Sheet3!$Q$4,       INDIRECT(ADDRESS(ROW(), Sheet3!$B$3+17))))))</f>
        <v>0</v>
      </c>
      <c r="E51" s="40">
        <f ca="1">IF(AND(Sheet1!L51&lt;0,  Sheet1!$C$21&gt;R51),    IF(OR(Sheet1!$C$21&lt;=R52,  Sheet1!L52=""),       IF(AND(MOD(NOW(),1)&lt;TIME(9,39,0),Sheet1!$C$22=TODAY()),    Sheet1!$C$21-R51,     Sheet1!$C$21-R51-1),               R52-R51-1),    0)</f>
        <v>0</v>
      </c>
      <c r="F51" s="30"/>
      <c r="G51" s="25" t="str">
        <f>IF(LEFT(Sheet1!K52,2)="0x",Sheet1!K51,IF(AND(Sheet1!L51="",Sheet1!L50=""),"",G50))</f>
        <v/>
      </c>
      <c r="H51" s="81"/>
      <c r="I51" s="43" t="str">
        <f t="shared" si="7"/>
        <v/>
      </c>
      <c r="J51" s="29" t="str">
        <f t="shared" si="6"/>
        <v/>
      </c>
      <c r="K51" s="24" t="str">
        <f>IF(Sheet1!L51="","",IF(Sheet1!L51&gt;0,ROW(),""))</f>
        <v/>
      </c>
      <c r="L51" s="24" t="str">
        <f t="shared" ca="1" si="1"/>
        <v/>
      </c>
      <c r="M51" s="47" t="str">
        <f t="shared" ca="1" si="2"/>
        <v/>
      </c>
      <c r="N51" s="48" t="str">
        <f>IF(LEFT(Sheet1!K51,2)="0x",Sheet1!K51,IF(AND(Sheet1!L51="",Sheet1!L50=""),"",N50))</f>
        <v/>
      </c>
      <c r="O51" s="46">
        <f>IF(Sheet1!L51="",0,IF(Sheet1!O51&lt;TIME(7,39,0)+Sheet1!$E$3/24,1,0))</f>
        <v>0</v>
      </c>
      <c r="P51" s="46" t="str">
        <f ca="1">IF(AND(Sheet1!L51&lt;0, Sheet1!$C$21&gt;R51,OR(Sheet1!$C$21&lt;=R52,Sheet1!L52="")),   -1*Sheet1!L51,"")</f>
        <v/>
      </c>
    </row>
    <row r="52" spans="1:16" ht="15.75" x14ac:dyDescent="0.25">
      <c r="A52" s="456" t="str">
        <f>IF(AND(R52&lt;&gt;"",R51&lt;&gt;""),(-Sheet1!L52/Sheet1!L51)^(360/(R52-R51-1))-1,"")</f>
        <v/>
      </c>
      <c r="B52" s="41" t="str">
        <f ca="1">IF(AND(Sheet1!L52&lt;0, Sheet1!$C$21&gt;R52+1,OR(Sheet1!$C$21&lt;=R53,Sheet1!L53="")),   -1*Sheet1!L52,"")</f>
        <v/>
      </c>
      <c r="C52" s="42">
        <f ca="1">IF(Sheet3!$B$5="",0,    IF(E52&lt;1,0,  IF(B52="","",     IF(OR(Sheet3!$B$6=0,INDIRECT(ADDRESS(ROW(),Sheet3!$B$3+16))="" ),D52/E52,    IF(E52&lt;0,0,    IF(OR( INDIRECT(ADDRESS(8,Sheet3!$B$3+16))="",INDIRECT(ADDRESS(ROW(),Sheet3!$B$3+17))=""),        (INDIRECT(ADDRESS(ROW(),Sheet3!$B$3+16))+B52)*Sheet3!$Q$4,         INDIRECT(ADDRESS(ROW(),Sheet3!$B$3+17))-INDIRECT(ADDRESS(ROW(),Sheet3!$B$3+16))))))))</f>
        <v>0</v>
      </c>
      <c r="D52" s="39">
        <f ca="1">IF(Sheet3!$B$5="",0,IF(B52="","",IF(E52&lt;1,0,   IF(INDIRECT(ADDRESS(ROW(), Sheet3!$B$3+17))="",        INDIRECT(ADDRESS(ROW(), Sheet3!$B$3+16))*  (1+Sheet3!$Q$4)   +B52*Sheet3!$Q$4,       INDIRECT(ADDRESS(ROW(), Sheet3!$B$3+17))))))</f>
        <v>0</v>
      </c>
      <c r="E52" s="40">
        <f ca="1">IF(AND(Sheet1!L52&lt;0,  Sheet1!$C$21&gt;R52),    IF(OR(Sheet1!$C$21&lt;=R53,  Sheet1!L53=""),       IF(AND(MOD(NOW(),1)&lt;TIME(9,39,0),Sheet1!$C$22=TODAY()),    Sheet1!$C$21-R52,     Sheet1!$C$21-R52-1),               R53-R52-1),    0)</f>
        <v>0</v>
      </c>
      <c r="F52" s="30"/>
      <c r="G52" s="25" t="str">
        <f>IF(LEFT(Sheet1!K53,2)="0x",Sheet1!K52,IF(AND(Sheet1!L52="",Sheet1!L51=""),"",G51))</f>
        <v/>
      </c>
      <c r="H52" s="81"/>
      <c r="I52" s="43" t="str">
        <f t="shared" si="7"/>
        <v/>
      </c>
      <c r="J52" s="29" t="str">
        <f t="shared" si="6"/>
        <v/>
      </c>
      <c r="K52" s="24" t="str">
        <f>IF(Sheet1!L52="","",IF(Sheet1!L52&gt;0,ROW(),""))</f>
        <v/>
      </c>
      <c r="L52" s="24" t="str">
        <f t="shared" ca="1" si="1"/>
        <v/>
      </c>
      <c r="M52" s="47" t="str">
        <f t="shared" ca="1" si="2"/>
        <v/>
      </c>
      <c r="N52" s="48" t="str">
        <f>IF(LEFT(Sheet1!K52,2)="0x",Sheet1!K52,IF(AND(Sheet1!L52="",Sheet1!L51=""),"",N51))</f>
        <v/>
      </c>
      <c r="O52" s="46">
        <f>IF(Sheet1!L52="",0,IF(Sheet1!O52&lt;TIME(7,39,0)+Sheet1!$E$3/24,1,0))</f>
        <v>0</v>
      </c>
      <c r="P52" s="46" t="str">
        <f ca="1">IF(AND(Sheet1!L52&lt;0, Sheet1!$C$21&gt;R52,OR(Sheet1!$C$21&lt;=R53,Sheet1!L53="")),   -1*Sheet1!L52,"")</f>
        <v/>
      </c>
    </row>
    <row r="53" spans="1:16" ht="15.75" x14ac:dyDescent="0.25">
      <c r="A53" s="456" t="str">
        <f>IF(AND(R53&lt;&gt;"",R52&lt;&gt;""),(-Sheet1!L53/Sheet1!L52)^(360/(R53-R52-1))-1,"")</f>
        <v/>
      </c>
      <c r="B53" s="41" t="str">
        <f ca="1">IF(AND(Sheet1!L53&lt;0, Sheet1!$C$21&gt;R53+1,OR(Sheet1!$C$21&lt;=R54,Sheet1!L54="")),   -1*Sheet1!L53,"")</f>
        <v/>
      </c>
      <c r="C53" s="42">
        <f ca="1">IF(Sheet3!$B$5="",0,    IF(E53&lt;1,0,  IF(B53="","",     IF(OR(Sheet3!$B$6=0,INDIRECT(ADDRESS(ROW(),Sheet3!$B$3+16))="" ),D53/E53,    IF(E53&lt;0,0,    IF(OR( INDIRECT(ADDRESS(8,Sheet3!$B$3+16))="",INDIRECT(ADDRESS(ROW(),Sheet3!$B$3+17))=""),        (INDIRECT(ADDRESS(ROW(),Sheet3!$B$3+16))+B53)*Sheet3!$Q$4,         INDIRECT(ADDRESS(ROW(),Sheet3!$B$3+17))-INDIRECT(ADDRESS(ROW(),Sheet3!$B$3+16))))))))</f>
        <v>0</v>
      </c>
      <c r="D53" s="39">
        <f ca="1">IF(Sheet3!$B$5="",0,IF(B53="","",IF(E53&lt;1,0,   IF(INDIRECT(ADDRESS(ROW(), Sheet3!$B$3+17))="",        INDIRECT(ADDRESS(ROW(), Sheet3!$B$3+16))*  (1+Sheet3!$Q$4)   +B53*Sheet3!$Q$4,       INDIRECT(ADDRESS(ROW(), Sheet3!$B$3+17))))))</f>
        <v>0</v>
      </c>
      <c r="E53" s="40">
        <f ca="1">IF(AND(Sheet1!L53&lt;0,  Sheet1!$C$21&gt;R53),    IF(OR(Sheet1!$C$21&lt;=R54,  Sheet1!L54=""),       IF(AND(MOD(NOW(),1)&lt;TIME(9,39,0),Sheet1!$C$22=TODAY()),    Sheet1!$C$21-R53,     Sheet1!$C$21-R53-1),               R54-R53-1),    0)</f>
        <v>0</v>
      </c>
      <c r="F53" s="30"/>
      <c r="G53" s="25" t="str">
        <f>IF(LEFT(Sheet1!K54,2)="0x",Sheet1!K53,IF(AND(Sheet1!L53="",Sheet1!L52=""),"",G52))</f>
        <v/>
      </c>
      <c r="H53" s="81"/>
      <c r="I53" s="43" t="str">
        <f t="shared" si="7"/>
        <v/>
      </c>
      <c r="J53" s="29" t="str">
        <f t="shared" si="6"/>
        <v/>
      </c>
      <c r="K53" s="24" t="str">
        <f>IF(Sheet1!L53="","",IF(Sheet1!L53&gt;0,ROW(),""))</f>
        <v/>
      </c>
      <c r="L53" s="24" t="str">
        <f t="shared" ca="1" si="1"/>
        <v/>
      </c>
      <c r="M53" s="47" t="str">
        <f t="shared" ca="1" si="2"/>
        <v/>
      </c>
      <c r="N53" s="48" t="str">
        <f>IF(LEFT(Sheet1!K53,2)="0x",Sheet1!K53,IF(AND(Sheet1!L53="",Sheet1!L52=""),"",N52))</f>
        <v/>
      </c>
      <c r="O53" s="46">
        <f>IF(Sheet1!L53="",0,IF(Sheet1!O53&lt;TIME(7,39,0)+Sheet1!$E$3/24,1,0))</f>
        <v>0</v>
      </c>
      <c r="P53" s="46" t="str">
        <f ca="1">IF(AND(Sheet1!L53&lt;0, Sheet1!$C$21&gt;R53,OR(Sheet1!$C$21&lt;=R54,Sheet1!L54="")),   -1*Sheet1!L53,"")</f>
        <v/>
      </c>
    </row>
    <row r="54" spans="1:16" ht="15.75" x14ac:dyDescent="0.25">
      <c r="A54" s="456" t="str">
        <f>IF(AND(R54&lt;&gt;"",R53&lt;&gt;""),(-Sheet1!L54/Sheet1!L53)^(360/(R54-R53-1))-1,"")</f>
        <v/>
      </c>
      <c r="B54" s="41" t="str">
        <f ca="1">IF(AND(Sheet1!L54&lt;0, Sheet1!$C$21&gt;R54+1,OR(Sheet1!$C$21&lt;=R55,Sheet1!L55="")),   -1*Sheet1!L54,"")</f>
        <v/>
      </c>
      <c r="C54" s="42">
        <f ca="1">IF(Sheet3!$B$5="",0,    IF(E54&lt;1,0,  IF(B54="","",     IF(OR(Sheet3!$B$6=0,INDIRECT(ADDRESS(ROW(),Sheet3!$B$3+16))="" ),D54/E54,    IF(E54&lt;0,0,    IF(OR( INDIRECT(ADDRESS(8,Sheet3!$B$3+16))="",INDIRECT(ADDRESS(ROW(),Sheet3!$B$3+17))=""),        (INDIRECT(ADDRESS(ROW(),Sheet3!$B$3+16))+B54)*Sheet3!$Q$4,         INDIRECT(ADDRESS(ROW(),Sheet3!$B$3+17))-INDIRECT(ADDRESS(ROW(),Sheet3!$B$3+16))))))))</f>
        <v>0</v>
      </c>
      <c r="D54" s="39">
        <f ca="1">IF(Sheet3!$B$5="",0,IF(B54="","",IF(E54&lt;1,0,   IF(INDIRECT(ADDRESS(ROW(), Sheet3!$B$3+17))="",        INDIRECT(ADDRESS(ROW(), Sheet3!$B$3+16))*  (1+Sheet3!$Q$4)   +B54*Sheet3!$Q$4,       INDIRECT(ADDRESS(ROW(), Sheet3!$B$3+17))))))</f>
        <v>0</v>
      </c>
      <c r="E54" s="40">
        <f ca="1">IF(AND(Sheet1!L54&lt;0,  Sheet1!$C$21&gt;R54),    IF(OR(Sheet1!$C$21&lt;=R55,  Sheet1!L55=""),       IF(AND(MOD(NOW(),1)&lt;TIME(9,39,0),Sheet1!$C$22=TODAY()),    Sheet1!$C$21-R54,     Sheet1!$C$21-R54-1),               R55-R54-1),    0)</f>
        <v>0</v>
      </c>
      <c r="F54" s="30"/>
      <c r="G54" s="25" t="str">
        <f>IF(LEFT(Sheet1!K55,2)="0x",Sheet1!K54,IF(AND(Sheet1!L54="",Sheet1!L53=""),"",G53))</f>
        <v/>
      </c>
      <c r="H54" s="81"/>
      <c r="I54" s="43" t="str">
        <f t="shared" si="7"/>
        <v/>
      </c>
      <c r="J54" s="29" t="str">
        <f t="shared" si="6"/>
        <v/>
      </c>
      <c r="K54" s="24" t="str">
        <f>IF(Sheet1!L54="","",IF(Sheet1!L54&gt;0,ROW(),""))</f>
        <v/>
      </c>
      <c r="L54" s="24" t="str">
        <f t="shared" ca="1" si="1"/>
        <v/>
      </c>
      <c r="M54" s="47" t="str">
        <f t="shared" ca="1" si="2"/>
        <v/>
      </c>
      <c r="N54" s="48" t="str">
        <f>IF(LEFT(Sheet1!K54,2)="0x",Sheet1!K54,IF(AND(Sheet1!L54="",Sheet1!L53=""),"",N53))</f>
        <v/>
      </c>
      <c r="O54" s="46">
        <f>IF(Sheet1!L54="",0,IF(Sheet1!O54&lt;TIME(7,39,0)+Sheet1!$E$3/24,1,0))</f>
        <v>0</v>
      </c>
      <c r="P54" s="46" t="str">
        <f ca="1">IF(AND(Sheet1!L54&lt;0, Sheet1!$C$21&gt;R54,OR(Sheet1!$C$21&lt;=R55,Sheet1!L55="")),   -1*Sheet1!L54,"")</f>
        <v/>
      </c>
    </row>
    <row r="55" spans="1:16" ht="15.75" x14ac:dyDescent="0.25">
      <c r="A55" s="456" t="str">
        <f>IF(AND(R55&lt;&gt;"",R54&lt;&gt;""),(-Sheet1!L55/Sheet1!L54)^(360/(R55-R54-1))-1,"")</f>
        <v/>
      </c>
      <c r="B55" s="41" t="str">
        <f ca="1">IF(AND(Sheet1!L55&lt;0, Sheet1!$C$21&gt;R55+1,OR(Sheet1!$C$21&lt;=R56,Sheet1!L56="")),   -1*Sheet1!L55,"")</f>
        <v/>
      </c>
      <c r="C55" s="42">
        <f ca="1">IF(Sheet3!$B$5="",0,    IF(E55&lt;1,0,  IF(B55="","",     IF(OR(Sheet3!$B$6=0,INDIRECT(ADDRESS(ROW(),Sheet3!$B$3+16))="" ),D55/E55,    IF(E55&lt;0,0,    IF(OR( INDIRECT(ADDRESS(8,Sheet3!$B$3+16))="",INDIRECT(ADDRESS(ROW(),Sheet3!$B$3+17))=""),        (INDIRECT(ADDRESS(ROW(),Sheet3!$B$3+16))+B55)*Sheet3!$Q$4,         INDIRECT(ADDRESS(ROW(),Sheet3!$B$3+17))-INDIRECT(ADDRESS(ROW(),Sheet3!$B$3+16))))))))</f>
        <v>0</v>
      </c>
      <c r="D55" s="39">
        <f ca="1">IF(Sheet3!$B$5="",0,IF(B55="","",IF(E55&lt;1,0,   IF(INDIRECT(ADDRESS(ROW(), Sheet3!$B$3+17))="",        INDIRECT(ADDRESS(ROW(), Sheet3!$B$3+16))*  (1+Sheet3!$Q$4)   +B55*Sheet3!$Q$4,       INDIRECT(ADDRESS(ROW(), Sheet3!$B$3+17))))))</f>
        <v>0</v>
      </c>
      <c r="E55" s="40">
        <f ca="1">IF(AND(Sheet1!L55&lt;0,  Sheet1!$C$21&gt;R55),    IF(OR(Sheet1!$C$21&lt;=R56,  Sheet1!L56=""),       IF(AND(MOD(NOW(),1)&lt;TIME(9,39,0),Sheet1!$C$22=TODAY()),    Sheet1!$C$21-R55,     Sheet1!$C$21-R55-1),               R56-R55-1),    0)</f>
        <v>0</v>
      </c>
      <c r="F55" s="30"/>
      <c r="G55" s="25" t="str">
        <f>IF(LEFT(Sheet1!K56,2)="0x",Sheet1!K55,IF(AND(Sheet1!L55="",Sheet1!L54=""),"",G54))</f>
        <v/>
      </c>
      <c r="H55" s="81"/>
      <c r="I55" s="43" t="str">
        <f t="shared" si="7"/>
        <v/>
      </c>
      <c r="J55" s="29" t="str">
        <f t="shared" si="6"/>
        <v/>
      </c>
      <c r="K55" s="24" t="str">
        <f>IF(Sheet1!L55="","",IF(Sheet1!L55&gt;0,ROW(),""))</f>
        <v/>
      </c>
      <c r="L55" s="24" t="str">
        <f t="shared" ca="1" si="1"/>
        <v/>
      </c>
      <c r="M55" s="47" t="str">
        <f t="shared" ca="1" si="2"/>
        <v/>
      </c>
      <c r="N55" s="48" t="str">
        <f>IF(LEFT(Sheet1!K55,2)="0x",Sheet1!K55,IF(AND(Sheet1!L55="",Sheet1!L54=""),"",N54))</f>
        <v/>
      </c>
      <c r="O55" s="46">
        <f>IF(Sheet1!L55="",0,IF(Sheet1!O55&lt;TIME(7,39,0)+Sheet1!$E$3/24,1,0))</f>
        <v>0</v>
      </c>
      <c r="P55" s="46" t="str">
        <f ca="1">IF(AND(Sheet1!L55&lt;0, Sheet1!$C$21&gt;R55,OR(Sheet1!$C$21&lt;=R56,Sheet1!L56="")),   -1*Sheet1!L55,"")</f>
        <v/>
      </c>
    </row>
    <row r="56" spans="1:16" ht="15.75" x14ac:dyDescent="0.25">
      <c r="A56" s="456" t="str">
        <f>IF(AND(R56&lt;&gt;"",R55&lt;&gt;""),(-Sheet1!L56/Sheet1!L55)^(360/(R56-R55-1))-1,"")</f>
        <v/>
      </c>
      <c r="B56" s="41" t="str">
        <f ca="1">IF(AND(Sheet1!L56&lt;0, Sheet1!$C$21&gt;R56+1,OR(Sheet1!$C$21&lt;=R57,Sheet1!L57="")),   -1*Sheet1!L56,"")</f>
        <v/>
      </c>
      <c r="C56" s="42">
        <f ca="1">IF(Sheet3!$B$5="",0,    IF(E56&lt;1,0,  IF(B56="","",     IF(OR(Sheet3!$B$6=0,INDIRECT(ADDRESS(ROW(),Sheet3!$B$3+16))="" ),D56/E56,    IF(E56&lt;0,0,    IF(OR( INDIRECT(ADDRESS(8,Sheet3!$B$3+16))="",INDIRECT(ADDRESS(ROW(),Sheet3!$B$3+17))=""),        (INDIRECT(ADDRESS(ROW(),Sheet3!$B$3+16))+B56)*Sheet3!$Q$4,         INDIRECT(ADDRESS(ROW(),Sheet3!$B$3+17))-INDIRECT(ADDRESS(ROW(),Sheet3!$B$3+16))))))))</f>
        <v>0</v>
      </c>
      <c r="D56" s="39">
        <f ca="1">IF(Sheet3!$B$5="",0,IF(B56="","",IF(E56&lt;1,0,   IF(INDIRECT(ADDRESS(ROW(), Sheet3!$B$3+17))="",        INDIRECT(ADDRESS(ROW(), Sheet3!$B$3+16))*  (1+Sheet3!$Q$4)   +B56*Sheet3!$Q$4,       INDIRECT(ADDRESS(ROW(), Sheet3!$B$3+17))))))</f>
        <v>0</v>
      </c>
      <c r="E56" s="40">
        <f ca="1">IF(AND(Sheet1!L56&lt;0,  Sheet1!$C$21&gt;R56),    IF(OR(Sheet1!$C$21&lt;=R57,  Sheet1!L57=""),       IF(AND(MOD(NOW(),1)&lt;TIME(9,39,0),Sheet1!$C$22=TODAY()),    Sheet1!$C$21-R56,     Sheet1!$C$21-R56-1),               R57-R56-1),    0)</f>
        <v>0</v>
      </c>
      <c r="F56" s="30"/>
      <c r="G56" s="25" t="str">
        <f>IF(LEFT(Sheet1!K57,2)="0x",Sheet1!K56,IF(AND(Sheet1!L56="",Sheet1!L55=""),"",G55))</f>
        <v/>
      </c>
      <c r="H56" s="81"/>
      <c r="I56" s="43" t="str">
        <f t="shared" si="7"/>
        <v/>
      </c>
      <c r="J56" s="29" t="str">
        <f t="shared" si="6"/>
        <v/>
      </c>
      <c r="K56" s="24" t="str">
        <f>IF(Sheet1!L56="","",IF(Sheet1!L56&gt;0,ROW(),""))</f>
        <v/>
      </c>
      <c r="L56" s="24" t="str">
        <f t="shared" ca="1" si="1"/>
        <v/>
      </c>
      <c r="M56" s="47" t="str">
        <f t="shared" ca="1" si="2"/>
        <v/>
      </c>
      <c r="N56" s="48" t="str">
        <f>IF(LEFT(Sheet1!K56,2)="0x",Sheet1!K56,IF(AND(Sheet1!L56="",Sheet1!L55=""),"",N55))</f>
        <v/>
      </c>
      <c r="O56" s="46">
        <f>IF(Sheet1!L56="",0,IF(Sheet1!O56&lt;TIME(7,39,0)+Sheet1!$E$3/24,1,0))</f>
        <v>0</v>
      </c>
      <c r="P56" s="46" t="str">
        <f ca="1">IF(AND(Sheet1!L56&lt;0, Sheet1!$C$21&gt;R56,OR(Sheet1!$C$21&lt;=R57,Sheet1!L57="")),   -1*Sheet1!L56,"")</f>
        <v/>
      </c>
    </row>
    <row r="57" spans="1:16" ht="15.75" x14ac:dyDescent="0.25">
      <c r="A57" s="456" t="str">
        <f>IF(AND(R57&lt;&gt;"",R56&lt;&gt;""),(-Sheet1!L57/Sheet1!L56)^(360/(R57-R56-1))-1,"")</f>
        <v/>
      </c>
      <c r="B57" s="41" t="str">
        <f ca="1">IF(AND(Sheet1!L57&lt;0, Sheet1!$C$21&gt;R57+1,OR(Sheet1!$C$21&lt;=R58,Sheet1!L58="")),   -1*Sheet1!L57,"")</f>
        <v/>
      </c>
      <c r="C57" s="42">
        <f ca="1">IF(Sheet3!$B$5="",0,    IF(E57&lt;1,0,  IF(B57="","",     IF(OR(Sheet3!$B$6=0,INDIRECT(ADDRESS(ROW(),Sheet3!$B$3+16))="" ),D57/E57,    IF(E57&lt;0,0,    IF(OR( INDIRECT(ADDRESS(8,Sheet3!$B$3+16))="",INDIRECT(ADDRESS(ROW(),Sheet3!$B$3+17))=""),        (INDIRECT(ADDRESS(ROW(),Sheet3!$B$3+16))+B57)*Sheet3!$Q$4,         INDIRECT(ADDRESS(ROW(),Sheet3!$B$3+17))-INDIRECT(ADDRESS(ROW(),Sheet3!$B$3+16))))))))</f>
        <v>0</v>
      </c>
      <c r="D57" s="39">
        <f ca="1">IF(Sheet3!$B$5="",0,IF(B57="","",IF(E57&lt;1,0,   IF(INDIRECT(ADDRESS(ROW(), Sheet3!$B$3+17))="",        INDIRECT(ADDRESS(ROW(), Sheet3!$B$3+16))*  (1+Sheet3!$Q$4)   +B57*Sheet3!$Q$4,       INDIRECT(ADDRESS(ROW(), Sheet3!$B$3+17))))))</f>
        <v>0</v>
      </c>
      <c r="E57" s="40">
        <f ca="1">IF(AND(Sheet1!L57&lt;0,  Sheet1!$C$21&gt;R57),    IF(OR(Sheet1!$C$21&lt;=R58,  Sheet1!L58=""),       IF(AND(MOD(NOW(),1)&lt;TIME(9,39,0),Sheet1!$C$22=TODAY()),    Sheet1!$C$21-R57,     Sheet1!$C$21-R57-1),               R58-R57-1),    0)</f>
        <v>0</v>
      </c>
      <c r="F57" s="30"/>
      <c r="G57" s="25" t="str">
        <f>IF(LEFT(Sheet1!K58,2)="0x",Sheet1!K57,IF(AND(Sheet1!L57="",Sheet1!L56=""),"",G56))</f>
        <v/>
      </c>
      <c r="H57" s="81"/>
      <c r="I57" s="43" t="str">
        <f t="shared" si="7"/>
        <v/>
      </c>
      <c r="J57" s="29" t="str">
        <f t="shared" si="6"/>
        <v/>
      </c>
      <c r="K57" s="24" t="str">
        <f>IF(Sheet1!L57="","",IF(Sheet1!L57&gt;0,ROW(),""))</f>
        <v/>
      </c>
      <c r="L57" s="24" t="str">
        <f t="shared" ca="1" si="1"/>
        <v/>
      </c>
      <c r="M57" s="47" t="str">
        <f t="shared" ca="1" si="2"/>
        <v/>
      </c>
      <c r="N57" s="48" t="str">
        <f>IF(LEFT(Sheet1!K57,2)="0x",Sheet1!K57,IF(AND(Sheet1!L57="",Sheet1!L56=""),"",N56))</f>
        <v/>
      </c>
      <c r="O57" s="46">
        <f>IF(Sheet1!L57="",0,IF(Sheet1!O57&lt;TIME(7,39,0)+Sheet1!$E$3/24,1,0))</f>
        <v>0</v>
      </c>
      <c r="P57" s="46" t="str">
        <f ca="1">IF(AND(Sheet1!L57&lt;0, Sheet1!$C$21&gt;R57,OR(Sheet1!$C$21&lt;=R58,Sheet1!L58="")),   -1*Sheet1!L57,"")</f>
        <v/>
      </c>
    </row>
    <row r="58" spans="1:16" ht="15.75" x14ac:dyDescent="0.25">
      <c r="A58" s="456" t="str">
        <f>IF(AND(R58&lt;&gt;"",R57&lt;&gt;""),(-Sheet1!L58/Sheet1!L57)^(360/(R58-R57-1))-1,"")</f>
        <v/>
      </c>
      <c r="B58" s="41" t="str">
        <f ca="1">IF(AND(Sheet1!L58&lt;0, Sheet1!$C$21&gt;R58+1,OR(Sheet1!$C$21&lt;=R59,Sheet1!L59="")),   -1*Sheet1!L58,"")</f>
        <v/>
      </c>
      <c r="C58" s="42">
        <f ca="1">IF(Sheet3!$B$5="",0,    IF(E58&lt;1,0,  IF(B58="","",     IF(OR(Sheet3!$B$6=0,INDIRECT(ADDRESS(ROW(),Sheet3!$B$3+16))="" ),D58/E58,    IF(E58&lt;0,0,    IF(OR( INDIRECT(ADDRESS(8,Sheet3!$B$3+16))="",INDIRECT(ADDRESS(ROW(),Sheet3!$B$3+17))=""),        (INDIRECT(ADDRESS(ROW(),Sheet3!$B$3+16))+B58)*Sheet3!$Q$4,         INDIRECT(ADDRESS(ROW(),Sheet3!$B$3+17))-INDIRECT(ADDRESS(ROW(),Sheet3!$B$3+16))))))))</f>
        <v>0</v>
      </c>
      <c r="D58" s="39">
        <f ca="1">IF(Sheet3!$B$5="",0,IF(B58="","",IF(E58&lt;1,0,   IF(INDIRECT(ADDRESS(ROW(), Sheet3!$B$3+17))="",        INDIRECT(ADDRESS(ROW(), Sheet3!$B$3+16))*  (1+Sheet3!$Q$4)   +B58*Sheet3!$Q$4,       INDIRECT(ADDRESS(ROW(), Sheet3!$B$3+17))))))</f>
        <v>0</v>
      </c>
      <c r="E58" s="40">
        <f ca="1">IF(AND(Sheet1!L58&lt;0,  Sheet1!$C$21&gt;R58),    IF(OR(Sheet1!$C$21&lt;=R59,  Sheet1!L59=""),       IF(AND(MOD(NOW(),1)&lt;TIME(9,39,0),Sheet1!$C$22=TODAY()),    Sheet1!$C$21-R58,     Sheet1!$C$21-R58-1),               R59-R58-1),    0)</f>
        <v>0</v>
      </c>
      <c r="F58" s="30"/>
      <c r="G58" s="25" t="str">
        <f>IF(LEFT(Sheet1!K59,2)="0x",Sheet1!K58,IF(AND(Sheet1!L58="",Sheet1!L57=""),"",G57))</f>
        <v/>
      </c>
      <c r="H58" s="81"/>
      <c r="I58" s="43" t="str">
        <f t="shared" si="7"/>
        <v/>
      </c>
      <c r="J58" s="29" t="str">
        <f t="shared" si="6"/>
        <v/>
      </c>
      <c r="K58" s="24" t="str">
        <f>IF(Sheet1!L58="","",IF(Sheet1!L58&gt;0,ROW(),""))</f>
        <v/>
      </c>
      <c r="L58" s="24" t="str">
        <f t="shared" ca="1" si="1"/>
        <v/>
      </c>
      <c r="M58" s="47" t="str">
        <f t="shared" ca="1" si="2"/>
        <v/>
      </c>
      <c r="N58" s="48" t="str">
        <f>IF(LEFT(Sheet1!K58,2)="0x",Sheet1!K58,IF(AND(Sheet1!L58="",Sheet1!L57=""),"",N57))</f>
        <v/>
      </c>
      <c r="O58" s="46">
        <f>IF(Sheet1!L58="",0,IF(Sheet1!O58&lt;TIME(7,39,0)+Sheet1!$E$3/24,1,0))</f>
        <v>0</v>
      </c>
      <c r="P58" s="46" t="str">
        <f ca="1">IF(AND(Sheet1!L58&lt;0, Sheet1!$C$21&gt;R58,OR(Sheet1!$C$21&lt;=R59,Sheet1!L59="")),   -1*Sheet1!L58,"")</f>
        <v/>
      </c>
    </row>
    <row r="59" spans="1:16" ht="15.75" x14ac:dyDescent="0.25">
      <c r="A59" s="456" t="str">
        <f>IF(AND(R59&lt;&gt;"",R58&lt;&gt;""),(-Sheet1!L59/Sheet1!L58)^(360/(R59-R58-1))-1,"")</f>
        <v/>
      </c>
      <c r="B59" s="41" t="str">
        <f ca="1">IF(AND(Sheet1!L59&lt;0, Sheet1!$C$21&gt;R59+1,OR(Sheet1!$C$21&lt;=R60,Sheet1!L60="")),   -1*Sheet1!L59,"")</f>
        <v/>
      </c>
      <c r="C59" s="42">
        <f ca="1">IF(Sheet3!$B$5="",0,    IF(E59&lt;1,0,  IF(B59="","",     IF(OR(Sheet3!$B$6=0,INDIRECT(ADDRESS(ROW(),Sheet3!$B$3+16))="" ),D59/E59,    IF(E59&lt;0,0,    IF(OR( INDIRECT(ADDRESS(8,Sheet3!$B$3+16))="",INDIRECT(ADDRESS(ROW(),Sheet3!$B$3+17))=""),        (INDIRECT(ADDRESS(ROW(),Sheet3!$B$3+16))+B59)*Sheet3!$Q$4,         INDIRECT(ADDRESS(ROW(),Sheet3!$B$3+17))-INDIRECT(ADDRESS(ROW(),Sheet3!$B$3+16))))))))</f>
        <v>0</v>
      </c>
      <c r="D59" s="39">
        <f ca="1">IF(Sheet3!$B$5="",0,IF(B59="","",IF(E59&lt;1,0,   IF(INDIRECT(ADDRESS(ROW(), Sheet3!$B$3+17))="",        INDIRECT(ADDRESS(ROW(), Sheet3!$B$3+16))*  (1+Sheet3!$Q$4)   +B59*Sheet3!$Q$4,       INDIRECT(ADDRESS(ROW(), Sheet3!$B$3+17))))))</f>
        <v>0</v>
      </c>
      <c r="E59" s="40">
        <f ca="1">IF(AND(Sheet1!L59&lt;0,  Sheet1!$C$21&gt;R59),    IF(OR(Sheet1!$C$21&lt;=R60,  Sheet1!L60=""),       IF(AND(MOD(NOW(),1)&lt;TIME(9,39,0),Sheet1!$C$22=TODAY()),    Sheet1!$C$21-R59,     Sheet1!$C$21-R59-1),               R60-R59-1),    0)</f>
        <v>0</v>
      </c>
      <c r="F59" s="30"/>
      <c r="G59" s="25" t="str">
        <f>IF(LEFT(Sheet1!K60,2)="0x",Sheet1!K59,IF(AND(Sheet1!L59="",Sheet1!L58=""),"",G58))</f>
        <v/>
      </c>
      <c r="H59" s="81"/>
      <c r="I59" s="43" t="str">
        <f t="shared" si="7"/>
        <v/>
      </c>
      <c r="J59" s="29" t="str">
        <f t="shared" si="6"/>
        <v/>
      </c>
      <c r="K59" s="24" t="str">
        <f>IF(Sheet1!L59="","",IF(Sheet1!L59&gt;0,ROW(),""))</f>
        <v/>
      </c>
      <c r="L59" s="24" t="str">
        <f t="shared" ca="1" si="1"/>
        <v/>
      </c>
      <c r="M59" s="47" t="str">
        <f t="shared" ca="1" si="2"/>
        <v/>
      </c>
      <c r="N59" s="48" t="str">
        <f>IF(LEFT(Sheet1!K59,2)="0x",Sheet1!K59,IF(AND(Sheet1!L59="",Sheet1!L58=""),"",N58))</f>
        <v/>
      </c>
      <c r="O59" s="46">
        <f>IF(Sheet1!L59="",0,IF(Sheet1!O59&lt;TIME(7,39,0)+Sheet1!$E$3/24,1,0))</f>
        <v>0</v>
      </c>
      <c r="P59" s="46" t="str">
        <f ca="1">IF(AND(Sheet1!L59&lt;0, Sheet1!$C$21&gt;R59,OR(Sheet1!$C$21&lt;=R60,Sheet1!L60="")),   -1*Sheet1!L59,"")</f>
        <v/>
      </c>
    </row>
    <row r="60" spans="1:16" ht="15.75" x14ac:dyDescent="0.25">
      <c r="A60" s="456" t="str">
        <f>IF(AND(R60&lt;&gt;"",R59&lt;&gt;""),(-Sheet1!L60/Sheet1!L59)^(360/(R60-R59-1))-1,"")</f>
        <v/>
      </c>
      <c r="B60" s="41" t="str">
        <f ca="1">IF(AND(Sheet1!L60&lt;0, Sheet1!$C$21&gt;R60+1,OR(Sheet1!$C$21&lt;=R61,Sheet1!L61="")),   -1*Sheet1!L60,"")</f>
        <v/>
      </c>
      <c r="C60" s="42">
        <f ca="1">IF(Sheet3!$B$5="",0,    IF(E60&lt;1,0,  IF(B60="","",     IF(OR(Sheet3!$B$6=0,INDIRECT(ADDRESS(ROW(),Sheet3!$B$3+16))="" ),D60/E60,    IF(E60&lt;0,0,    IF(OR( INDIRECT(ADDRESS(8,Sheet3!$B$3+16))="",INDIRECT(ADDRESS(ROW(),Sheet3!$B$3+17))=""),        (INDIRECT(ADDRESS(ROW(),Sheet3!$B$3+16))+B60)*Sheet3!$Q$4,         INDIRECT(ADDRESS(ROW(),Sheet3!$B$3+17))-INDIRECT(ADDRESS(ROW(),Sheet3!$B$3+16))))))))</f>
        <v>0</v>
      </c>
      <c r="D60" s="39">
        <f ca="1">IF(Sheet3!$B$5="",0,IF(B60="","",IF(E60&lt;1,0,   IF(INDIRECT(ADDRESS(ROW(), Sheet3!$B$3+17))="",        INDIRECT(ADDRESS(ROW(), Sheet3!$B$3+16))*  (1+Sheet3!$Q$4)   +B60*Sheet3!$Q$4,       INDIRECT(ADDRESS(ROW(), Sheet3!$B$3+17))))))</f>
        <v>0</v>
      </c>
      <c r="E60" s="40">
        <f ca="1">IF(AND(Sheet1!L60&lt;0,  Sheet1!$C$21&gt;R60),    IF(OR(Sheet1!$C$21&lt;=R61,  Sheet1!L61=""),       IF(AND(MOD(NOW(),1)&lt;TIME(9,39,0),Sheet1!$C$22=TODAY()),    Sheet1!$C$21-R60,     Sheet1!$C$21-R60-1),               R61-R60-1),    0)</f>
        <v>0</v>
      </c>
      <c r="F60" s="30"/>
      <c r="G60" s="25" t="str">
        <f>IF(LEFT(Sheet1!K61,2)="0x",Sheet1!K60,IF(AND(Sheet1!L60="",Sheet1!L59=""),"",G59))</f>
        <v/>
      </c>
      <c r="H60" s="81"/>
      <c r="I60" s="43" t="str">
        <f t="shared" si="7"/>
        <v/>
      </c>
      <c r="J60" s="29" t="str">
        <f t="shared" si="6"/>
        <v/>
      </c>
      <c r="K60" s="24" t="str">
        <f>IF(Sheet1!L60="","",IF(Sheet1!L60&gt;0,ROW(),""))</f>
        <v/>
      </c>
      <c r="L60" s="24" t="str">
        <f t="shared" ca="1" si="1"/>
        <v/>
      </c>
      <c r="M60" s="47" t="str">
        <f t="shared" ca="1" si="2"/>
        <v/>
      </c>
      <c r="N60" s="48" t="str">
        <f>IF(LEFT(Sheet1!K60,2)="0x",Sheet1!K60,IF(AND(Sheet1!L60="",Sheet1!L59=""),"",N59))</f>
        <v/>
      </c>
      <c r="O60" s="46">
        <f>IF(Sheet1!L60="",0,IF(Sheet1!O60&lt;TIME(7,39,0)+Sheet1!$E$3/24,1,0))</f>
        <v>0</v>
      </c>
      <c r="P60" s="46" t="str">
        <f ca="1">IF(AND(Sheet1!L60&lt;0, Sheet1!$C$21&gt;R60,OR(Sheet1!$C$21&lt;=R61,Sheet1!L61="")),   -1*Sheet1!L60,"")</f>
        <v/>
      </c>
    </row>
    <row r="61" spans="1:16" ht="15.75" x14ac:dyDescent="0.25">
      <c r="A61" s="456" t="str">
        <f>IF(AND(R61&lt;&gt;"",R60&lt;&gt;""),(-Sheet1!L61/Sheet1!L60)^(360/(R61-R60-1))-1,"")</f>
        <v/>
      </c>
      <c r="B61" s="41" t="str">
        <f ca="1">IF(AND(Sheet1!L61&lt;0, Sheet1!$C$21&gt;R61+1,OR(Sheet1!$C$21&lt;=R62,Sheet1!L62="")),   -1*Sheet1!L61,"")</f>
        <v/>
      </c>
      <c r="C61" s="42">
        <f ca="1">IF(Sheet3!$B$5="",0,    IF(E61&lt;1,0,  IF(B61="","",     IF(OR(Sheet3!$B$6=0,INDIRECT(ADDRESS(ROW(),Sheet3!$B$3+16))="" ),D61/E61,    IF(E61&lt;0,0,    IF(OR( INDIRECT(ADDRESS(8,Sheet3!$B$3+16))="",INDIRECT(ADDRESS(ROW(),Sheet3!$B$3+17))=""),        (INDIRECT(ADDRESS(ROW(),Sheet3!$B$3+16))+B61)*Sheet3!$Q$4,         INDIRECT(ADDRESS(ROW(),Sheet3!$B$3+17))-INDIRECT(ADDRESS(ROW(),Sheet3!$B$3+16))))))))</f>
        <v>0</v>
      </c>
      <c r="D61" s="39">
        <f ca="1">IF(Sheet3!$B$5="",0,IF(B61="","",IF(E61&lt;1,0,   IF(INDIRECT(ADDRESS(ROW(), Sheet3!$B$3+17))="",        INDIRECT(ADDRESS(ROW(), Sheet3!$B$3+16))*  (1+Sheet3!$Q$4)   +B61*Sheet3!$Q$4,       INDIRECT(ADDRESS(ROW(), Sheet3!$B$3+17))))))</f>
        <v>0</v>
      </c>
      <c r="E61" s="40">
        <f ca="1">IF(AND(Sheet1!L61&lt;0,  Sheet1!$C$21&gt;R61),    IF(OR(Sheet1!$C$21&lt;=R62,  Sheet1!L62=""),       IF(AND(MOD(NOW(),1)&lt;TIME(9,39,0),Sheet1!$C$22=TODAY()),    Sheet1!$C$21-R61,     Sheet1!$C$21-R61-1),               R62-R61-1),    0)</f>
        <v>0</v>
      </c>
      <c r="F61" s="30"/>
      <c r="G61" s="25" t="str">
        <f>IF(LEFT(Sheet1!K62,2)="0x",Sheet1!K61,IF(AND(Sheet1!L61="",Sheet1!L60=""),"",G60))</f>
        <v/>
      </c>
      <c r="H61" s="81"/>
      <c r="I61" s="43" t="str">
        <f t="shared" si="7"/>
        <v/>
      </c>
      <c r="J61" s="29" t="str">
        <f t="shared" si="6"/>
        <v/>
      </c>
      <c r="K61" s="24" t="str">
        <f>IF(Sheet1!L61="","",IF(Sheet1!L61&gt;0,ROW(),""))</f>
        <v/>
      </c>
      <c r="L61" s="24" t="str">
        <f t="shared" ca="1" si="1"/>
        <v/>
      </c>
      <c r="M61" s="47" t="str">
        <f t="shared" ca="1" si="2"/>
        <v/>
      </c>
      <c r="N61" s="48" t="str">
        <f>IF(LEFT(Sheet1!K61,2)="0x",Sheet1!K61,IF(AND(Sheet1!L61="",Sheet1!L60=""),"",N60))</f>
        <v/>
      </c>
      <c r="O61" s="46">
        <f>IF(Sheet1!L61="",0,IF(Sheet1!O61&lt;TIME(7,39,0)+Sheet1!$E$3/24,1,0))</f>
        <v>0</v>
      </c>
      <c r="P61" s="46" t="str">
        <f ca="1">IF(AND(Sheet1!L61&lt;0, Sheet1!$C$21&gt;R61,OR(Sheet1!$C$21&lt;=R62,Sheet1!L62="")),   -1*Sheet1!L61,"")</f>
        <v/>
      </c>
    </row>
    <row r="62" spans="1:16" ht="15.75" x14ac:dyDescent="0.25">
      <c r="A62" s="456" t="str">
        <f>IF(AND(R62&lt;&gt;"",R61&lt;&gt;""),(-Sheet1!L62/Sheet1!L61)^(360/(R62-R61-1))-1,"")</f>
        <v/>
      </c>
      <c r="B62" s="41" t="str">
        <f ca="1">IF(AND(Sheet1!L62&lt;0, Sheet1!$C$21&gt;R62+1,OR(Sheet1!$C$21&lt;=R63,Sheet1!L63="")),   -1*Sheet1!L62,"")</f>
        <v/>
      </c>
      <c r="C62" s="42">
        <f ca="1">IF(Sheet3!$B$5="",0,    IF(E62&lt;1,0,  IF(B62="","",     IF(OR(Sheet3!$B$6=0,INDIRECT(ADDRESS(ROW(),Sheet3!$B$3+16))="" ),D62/E62,    IF(E62&lt;0,0,    IF(OR( INDIRECT(ADDRESS(8,Sheet3!$B$3+16))="",INDIRECT(ADDRESS(ROW(),Sheet3!$B$3+17))=""),        (INDIRECT(ADDRESS(ROW(),Sheet3!$B$3+16))+B62)*Sheet3!$Q$4,         INDIRECT(ADDRESS(ROW(),Sheet3!$B$3+17))-INDIRECT(ADDRESS(ROW(),Sheet3!$B$3+16))))))))</f>
        <v>0</v>
      </c>
      <c r="D62" s="39">
        <f ca="1">IF(Sheet3!$B$5="",0,IF(B62="","",IF(E62&lt;1,0,   IF(INDIRECT(ADDRESS(ROW(), Sheet3!$B$3+17))="",        INDIRECT(ADDRESS(ROW(), Sheet3!$B$3+16))*  (1+Sheet3!$Q$4)   +B62*Sheet3!$Q$4,       INDIRECT(ADDRESS(ROW(), Sheet3!$B$3+17))))))</f>
        <v>0</v>
      </c>
      <c r="E62" s="40">
        <f ca="1">IF(AND(Sheet1!L62&lt;0,  Sheet1!$C$21&gt;R62),    IF(OR(Sheet1!$C$21&lt;=R63,  Sheet1!L63=""),       IF(AND(MOD(NOW(),1)&lt;TIME(9,39,0),Sheet1!$C$22=TODAY()),    Sheet1!$C$21-R62,     Sheet1!$C$21-R62-1),               R63-R62-1),    0)</f>
        <v>0</v>
      </c>
      <c r="F62" s="30"/>
      <c r="G62" s="25" t="str">
        <f>IF(LEFT(Sheet1!K63,2)="0x",Sheet1!K62,IF(AND(Sheet1!L62="",Sheet1!L61=""),"",G61))</f>
        <v/>
      </c>
      <c r="H62" s="81"/>
      <c r="I62" s="43" t="str">
        <f t="shared" si="7"/>
        <v/>
      </c>
      <c r="J62" s="29" t="str">
        <f t="shared" si="6"/>
        <v/>
      </c>
      <c r="K62" s="24" t="str">
        <f>IF(Sheet1!L62="","",IF(Sheet1!L62&gt;0,ROW(),""))</f>
        <v/>
      </c>
      <c r="L62" s="24" t="str">
        <f t="shared" ca="1" si="1"/>
        <v/>
      </c>
      <c r="M62" s="47" t="str">
        <f t="shared" ca="1" si="2"/>
        <v/>
      </c>
      <c r="N62" s="48" t="str">
        <f>IF(LEFT(Sheet1!K62,2)="0x",Sheet1!K62,IF(AND(Sheet1!L62="",Sheet1!L61=""),"",N61))</f>
        <v/>
      </c>
      <c r="O62" s="46">
        <f>IF(Sheet1!L62="",0,IF(Sheet1!O62&lt;TIME(7,39,0)+Sheet1!$E$3/24,1,0))</f>
        <v>0</v>
      </c>
      <c r="P62" s="46" t="str">
        <f ca="1">IF(AND(Sheet1!L62&lt;0, Sheet1!$C$21&gt;R62,OR(Sheet1!$C$21&lt;=R63,Sheet1!L63="")),   -1*Sheet1!L62,"")</f>
        <v/>
      </c>
    </row>
    <row r="63" spans="1:16" ht="15.75" x14ac:dyDescent="0.25">
      <c r="A63" s="456" t="str">
        <f>IF(AND(R63&lt;&gt;"",R62&lt;&gt;""),(-Sheet1!L63/Sheet1!L62)^(360/(R63-R62-1))-1,"")</f>
        <v/>
      </c>
      <c r="B63" s="41" t="str">
        <f ca="1">IF(AND(Sheet1!L63&lt;0, Sheet1!$C$21&gt;R63+1,OR(Sheet1!$C$21&lt;=R64,Sheet1!L64="")),   -1*Sheet1!L63,"")</f>
        <v/>
      </c>
      <c r="C63" s="42">
        <f ca="1">IF(Sheet3!$B$5="",0,    IF(E63&lt;1,0,  IF(B63="","",     IF(OR(Sheet3!$B$6=0,INDIRECT(ADDRESS(ROW(),Sheet3!$B$3+16))="" ),D63/E63,    IF(E63&lt;0,0,    IF(OR( INDIRECT(ADDRESS(8,Sheet3!$B$3+16))="",INDIRECT(ADDRESS(ROW(),Sheet3!$B$3+17))=""),        (INDIRECT(ADDRESS(ROW(),Sheet3!$B$3+16))+B63)*Sheet3!$Q$4,         INDIRECT(ADDRESS(ROW(),Sheet3!$B$3+17))-INDIRECT(ADDRESS(ROW(),Sheet3!$B$3+16))))))))</f>
        <v>0</v>
      </c>
      <c r="D63" s="39">
        <f ca="1">IF(Sheet3!$B$5="",0,IF(B63="","",IF(E63&lt;1,0,   IF(INDIRECT(ADDRESS(ROW(), Sheet3!$B$3+17))="",        INDIRECT(ADDRESS(ROW(), Sheet3!$B$3+16))*  (1+Sheet3!$Q$4)   +B63*Sheet3!$Q$4,       INDIRECT(ADDRESS(ROW(), Sheet3!$B$3+17))))))</f>
        <v>0</v>
      </c>
      <c r="E63" s="40">
        <f ca="1">IF(AND(Sheet1!L63&lt;0,  Sheet1!$C$21&gt;R63),    IF(OR(Sheet1!$C$21&lt;=R64,  Sheet1!L64=""),       IF(AND(MOD(NOW(),1)&lt;TIME(9,39,0),Sheet1!$C$22=TODAY()),    Sheet1!$C$21-R63,     Sheet1!$C$21-R63-1),               R64-R63-1),    0)</f>
        <v>0</v>
      </c>
      <c r="F63" s="30"/>
      <c r="G63" s="25" t="str">
        <f>IF(LEFT(Sheet1!K64,2)="0x",Sheet1!K63,IF(AND(Sheet1!L63="",Sheet1!L62=""),"",G62))</f>
        <v/>
      </c>
      <c r="H63" s="81"/>
      <c r="I63" s="43" t="str">
        <f t="shared" si="7"/>
        <v/>
      </c>
      <c r="J63" s="29" t="str">
        <f t="shared" si="6"/>
        <v/>
      </c>
      <c r="K63" s="24" t="str">
        <f>IF(Sheet1!L63="","",IF(Sheet1!L63&gt;0,ROW(),""))</f>
        <v/>
      </c>
      <c r="L63" s="24" t="str">
        <f t="shared" ca="1" si="1"/>
        <v/>
      </c>
      <c r="M63" s="47" t="str">
        <f t="shared" ca="1" si="2"/>
        <v/>
      </c>
      <c r="N63" s="48" t="str">
        <f>IF(LEFT(Sheet1!K63,2)="0x",Sheet1!K63,IF(AND(Sheet1!L63="",Sheet1!L62=""),"",N62))</f>
        <v/>
      </c>
      <c r="O63" s="46">
        <f>IF(Sheet1!L63="",0,IF(Sheet1!O63&lt;TIME(7,39,0)+Sheet1!$E$3/24,1,0))</f>
        <v>0</v>
      </c>
      <c r="P63" s="46" t="str">
        <f ca="1">IF(AND(Sheet1!L63&lt;0, Sheet1!$C$21&gt;R63,OR(Sheet1!$C$21&lt;=R64,Sheet1!L64="")),   -1*Sheet1!L63,"")</f>
        <v/>
      </c>
    </row>
    <row r="64" spans="1:16" ht="15.75" x14ac:dyDescent="0.25">
      <c r="A64" s="456" t="str">
        <f>IF(AND(R64&lt;&gt;"",R63&lt;&gt;""),(-Sheet1!L64/Sheet1!L63)^(360/(R64-R63-1))-1,"")</f>
        <v/>
      </c>
      <c r="B64" s="41" t="str">
        <f ca="1">IF(AND(Sheet1!L64&lt;0, Sheet1!$C$21&gt;R64+1,OR(Sheet1!$C$21&lt;=R65,Sheet1!L65="")),   -1*Sheet1!L64,"")</f>
        <v/>
      </c>
      <c r="C64" s="42">
        <f ca="1">IF(Sheet3!$B$5="",0,    IF(E64&lt;1,0,  IF(B64="","",     IF(OR(Sheet3!$B$6=0,INDIRECT(ADDRESS(ROW(),Sheet3!$B$3+16))="" ),D64/E64,    IF(E64&lt;0,0,    IF(OR( INDIRECT(ADDRESS(8,Sheet3!$B$3+16))="",INDIRECT(ADDRESS(ROW(),Sheet3!$B$3+17))=""),        (INDIRECT(ADDRESS(ROW(),Sheet3!$B$3+16))+B64)*Sheet3!$Q$4,         INDIRECT(ADDRESS(ROW(),Sheet3!$B$3+17))-INDIRECT(ADDRESS(ROW(),Sheet3!$B$3+16))))))))</f>
        <v>0</v>
      </c>
      <c r="D64" s="39">
        <f ca="1">IF(Sheet3!$B$5="",0,IF(B64="","",IF(E64&lt;1,0,   IF(INDIRECT(ADDRESS(ROW(), Sheet3!$B$3+17))="",        INDIRECT(ADDRESS(ROW(), Sheet3!$B$3+16))*  (1+Sheet3!$Q$4)   +B64*Sheet3!$Q$4,       INDIRECT(ADDRESS(ROW(), Sheet3!$B$3+17))))))</f>
        <v>0</v>
      </c>
      <c r="E64" s="40">
        <f ca="1">IF(AND(Sheet1!L64&lt;0,  Sheet1!$C$21&gt;R64),    IF(OR(Sheet1!$C$21&lt;=R65,  Sheet1!L65=""),       IF(AND(MOD(NOW(),1)&lt;TIME(9,39,0),Sheet1!$C$22=TODAY()),    Sheet1!$C$21-R64,     Sheet1!$C$21-R64-1),               R65-R64-1),    0)</f>
        <v>0</v>
      </c>
      <c r="F64" s="30"/>
      <c r="G64" s="25" t="str">
        <f>IF(LEFT(Sheet1!K65,2)="0x",Sheet1!K64,IF(AND(Sheet1!L64="",Sheet1!L63=""),"",G63))</f>
        <v/>
      </c>
      <c r="H64" s="81"/>
      <c r="I64" s="43" t="str">
        <f t="shared" si="7"/>
        <v/>
      </c>
      <c r="J64" s="29" t="str">
        <f t="shared" si="6"/>
        <v/>
      </c>
      <c r="K64" s="24" t="str">
        <f>IF(Sheet1!L64="","",IF(Sheet1!L64&gt;0,ROW(),""))</f>
        <v/>
      </c>
      <c r="L64" s="24" t="str">
        <f t="shared" ca="1" si="1"/>
        <v/>
      </c>
      <c r="M64" s="47" t="str">
        <f t="shared" ca="1" si="2"/>
        <v/>
      </c>
      <c r="N64" s="48" t="str">
        <f>IF(LEFT(Sheet1!K64,2)="0x",Sheet1!K64,IF(AND(Sheet1!L64="",Sheet1!L63=""),"",N63))</f>
        <v/>
      </c>
      <c r="O64" s="46">
        <f>IF(Sheet1!L64="",0,IF(Sheet1!O64&lt;TIME(7,39,0)+Sheet1!$E$3/24,1,0))</f>
        <v>0</v>
      </c>
      <c r="P64" s="46" t="str">
        <f ca="1">IF(AND(Sheet1!L64&lt;0, Sheet1!$C$21&gt;R64,OR(Sheet1!$C$21&lt;=R65,Sheet1!L65="")),   -1*Sheet1!L64,"")</f>
        <v/>
      </c>
    </row>
    <row r="65" spans="1:16" ht="15.75" x14ac:dyDescent="0.25">
      <c r="A65" s="456" t="str">
        <f>IF(AND(R65&lt;&gt;"",R64&lt;&gt;""),(-Sheet1!L65/Sheet1!L64)^(360/(R65-R64-1))-1,"")</f>
        <v/>
      </c>
      <c r="B65" s="41" t="str">
        <f ca="1">IF(AND(Sheet1!L65&lt;0, Sheet1!$C$21&gt;R65+1,OR(Sheet1!$C$21&lt;=R66,Sheet1!L66="")),   -1*Sheet1!L65,"")</f>
        <v/>
      </c>
      <c r="C65" s="42">
        <f ca="1">IF(Sheet3!$B$5="",0,    IF(E65&lt;1,0,  IF(B65="","",     IF(OR(Sheet3!$B$6=0,INDIRECT(ADDRESS(ROW(),Sheet3!$B$3+16))="" ),D65/E65,    IF(E65&lt;0,0,    IF(OR( INDIRECT(ADDRESS(8,Sheet3!$B$3+16))="",INDIRECT(ADDRESS(ROW(),Sheet3!$B$3+17))=""),        (INDIRECT(ADDRESS(ROW(),Sheet3!$B$3+16))+B65)*Sheet3!$Q$4,         INDIRECT(ADDRESS(ROW(),Sheet3!$B$3+17))-INDIRECT(ADDRESS(ROW(),Sheet3!$B$3+16))))))))</f>
        <v>0</v>
      </c>
      <c r="D65" s="39">
        <f ca="1">IF(Sheet3!$B$5="",0,IF(B65="","",IF(E65&lt;1,0,   IF(INDIRECT(ADDRESS(ROW(), Sheet3!$B$3+17))="",        INDIRECT(ADDRESS(ROW(), Sheet3!$B$3+16))*  (1+Sheet3!$Q$4)   +B65*Sheet3!$Q$4,       INDIRECT(ADDRESS(ROW(), Sheet3!$B$3+17))))))</f>
        <v>0</v>
      </c>
      <c r="E65" s="40">
        <f ca="1">IF(AND(Sheet1!L65&lt;0,  Sheet1!$C$21&gt;R65),    IF(OR(Sheet1!$C$21&lt;=R66,  Sheet1!L66=""),       IF(AND(MOD(NOW(),1)&lt;TIME(9,39,0),Sheet1!$C$22=TODAY()),    Sheet1!$C$21-R65,     Sheet1!$C$21-R65-1),               R66-R65-1),    0)</f>
        <v>0</v>
      </c>
      <c r="F65" s="30"/>
      <c r="G65" s="25" t="str">
        <f>IF(LEFT(Sheet1!K66,2)="0x",Sheet1!K65,IF(AND(Sheet1!L65="",Sheet1!L64=""),"",G64))</f>
        <v/>
      </c>
      <c r="H65" s="81"/>
      <c r="I65" s="43" t="str">
        <f t="shared" si="7"/>
        <v/>
      </c>
      <c r="J65" s="29" t="str">
        <f t="shared" si="6"/>
        <v/>
      </c>
      <c r="K65" s="24" t="str">
        <f>IF(Sheet1!L65="","",IF(Sheet1!L65&gt;0,ROW(),""))</f>
        <v/>
      </c>
      <c r="L65" s="24" t="str">
        <f t="shared" ca="1" si="1"/>
        <v/>
      </c>
      <c r="M65" s="47" t="str">
        <f t="shared" ca="1" si="2"/>
        <v/>
      </c>
      <c r="N65" s="48" t="str">
        <f>IF(LEFT(Sheet1!K65,2)="0x",Sheet1!K65,IF(AND(Sheet1!L65="",Sheet1!L64=""),"",N64))</f>
        <v/>
      </c>
      <c r="O65" s="46">
        <f>IF(Sheet1!L65="",0,IF(Sheet1!O65&lt;TIME(7,39,0)+Sheet1!$E$3/24,1,0))</f>
        <v>0</v>
      </c>
      <c r="P65" s="46" t="str">
        <f ca="1">IF(AND(Sheet1!L65&lt;0, Sheet1!$C$21&gt;R65,OR(Sheet1!$C$21&lt;=R66,Sheet1!L66="")),   -1*Sheet1!L65,"")</f>
        <v/>
      </c>
    </row>
    <row r="66" spans="1:16" ht="15.75" x14ac:dyDescent="0.25">
      <c r="A66" s="456" t="str">
        <f>IF(AND(R66&lt;&gt;"",R65&lt;&gt;""),(-Sheet1!L66/Sheet1!L65)^(360/(R66-R65-1))-1,"")</f>
        <v/>
      </c>
      <c r="B66" s="41" t="str">
        <f ca="1">IF(AND(Sheet1!L66&lt;0, Sheet1!$C$21&gt;R66+1,OR(Sheet1!$C$21&lt;=R67,Sheet1!L67="")),   -1*Sheet1!L66,"")</f>
        <v/>
      </c>
      <c r="C66" s="42">
        <f ca="1">IF(Sheet3!$B$5="",0,    IF(E66&lt;1,0,  IF(B66="","",     IF(OR(Sheet3!$B$6=0,INDIRECT(ADDRESS(ROW(),Sheet3!$B$3+16))="" ),D66/E66,    IF(E66&lt;0,0,    IF(OR( INDIRECT(ADDRESS(8,Sheet3!$B$3+16))="",INDIRECT(ADDRESS(ROW(),Sheet3!$B$3+17))=""),        (INDIRECT(ADDRESS(ROW(),Sheet3!$B$3+16))+B66)*Sheet3!$Q$4,         INDIRECT(ADDRESS(ROW(),Sheet3!$B$3+17))-INDIRECT(ADDRESS(ROW(),Sheet3!$B$3+16))))))))</f>
        <v>0</v>
      </c>
      <c r="D66" s="39">
        <f ca="1">IF(Sheet3!$B$5="",0,IF(B66="","",IF(E66&lt;1,0,   IF(INDIRECT(ADDRESS(ROW(), Sheet3!$B$3+17))="",        INDIRECT(ADDRESS(ROW(), Sheet3!$B$3+16))*  (1+Sheet3!$Q$4)   +B66*Sheet3!$Q$4,       INDIRECT(ADDRESS(ROW(), Sheet3!$B$3+17))))))</f>
        <v>0</v>
      </c>
      <c r="E66" s="40">
        <f ca="1">IF(AND(Sheet1!L66&lt;0,  Sheet1!$C$21&gt;R66),    IF(OR(Sheet1!$C$21&lt;=R67,  Sheet1!L67=""),       IF(AND(MOD(NOW(),1)&lt;TIME(9,39,0),Sheet1!$C$22=TODAY()),    Sheet1!$C$21-R66,     Sheet1!$C$21-R66-1),               R67-R66-1),    0)</f>
        <v>0</v>
      </c>
      <c r="F66" s="30"/>
      <c r="G66" s="25" t="str">
        <f>IF(LEFT(Sheet1!K67,2)="0x",Sheet1!K66,IF(AND(Sheet1!L66="",Sheet1!L65=""),"",G65))</f>
        <v/>
      </c>
      <c r="H66" s="81"/>
      <c r="I66" s="43" t="str">
        <f t="shared" si="7"/>
        <v/>
      </c>
      <c r="J66" s="29" t="str">
        <f t="shared" si="6"/>
        <v/>
      </c>
      <c r="K66" s="24" t="str">
        <f>IF(Sheet1!L66="","",IF(Sheet1!L66&gt;0,ROW(),""))</f>
        <v/>
      </c>
      <c r="L66" s="24" t="str">
        <f t="shared" ca="1" si="1"/>
        <v/>
      </c>
      <c r="M66" s="47" t="str">
        <f t="shared" ca="1" si="2"/>
        <v/>
      </c>
      <c r="N66" s="48" t="str">
        <f>IF(LEFT(Sheet1!K66,2)="0x",Sheet1!K66,IF(AND(Sheet1!L66="",Sheet1!L65=""),"",N65))</f>
        <v/>
      </c>
      <c r="O66" s="46">
        <f>IF(Sheet1!L66="",0,IF(Sheet1!O66&lt;TIME(7,39,0)+Sheet1!$E$3/24,1,0))</f>
        <v>0</v>
      </c>
      <c r="P66" s="46" t="str">
        <f ca="1">IF(AND(Sheet1!L66&lt;0, Sheet1!$C$21&gt;R66,OR(Sheet1!$C$21&lt;=R67,Sheet1!L67="")),   -1*Sheet1!L66,"")</f>
        <v/>
      </c>
    </row>
    <row r="67" spans="1:16" ht="15.75" x14ac:dyDescent="0.25">
      <c r="A67" s="456" t="str">
        <f>IF(AND(R67&lt;&gt;"",R66&lt;&gt;""),(-Sheet1!L67/Sheet1!L66)^(360/(R67-R66-1))-1,"")</f>
        <v/>
      </c>
      <c r="B67" s="41" t="str">
        <f ca="1">IF(AND(Sheet1!L67&lt;0, Sheet1!$C$21&gt;R67+1,OR(Sheet1!$C$21&lt;=R68,Sheet1!L68="")),   -1*Sheet1!L67,"")</f>
        <v/>
      </c>
      <c r="C67" s="42">
        <f ca="1">IF(Sheet3!$B$5="",0,    IF(E67&lt;1,0,  IF(B67="","",     IF(OR(Sheet3!$B$6=0,INDIRECT(ADDRESS(ROW(),Sheet3!$B$3+16))="" ),D67/E67,    IF(E67&lt;0,0,    IF(OR( INDIRECT(ADDRESS(8,Sheet3!$B$3+16))="",INDIRECT(ADDRESS(ROW(),Sheet3!$B$3+17))=""),        (INDIRECT(ADDRESS(ROW(),Sheet3!$B$3+16))+B67)*Sheet3!$Q$4,         INDIRECT(ADDRESS(ROW(),Sheet3!$B$3+17))-INDIRECT(ADDRESS(ROW(),Sheet3!$B$3+16))))))))</f>
        <v>0</v>
      </c>
      <c r="D67" s="39">
        <f ca="1">IF(Sheet3!$B$5="",0,IF(B67="","",IF(E67&lt;1,0,   IF(INDIRECT(ADDRESS(ROW(), Sheet3!$B$3+17))="",        INDIRECT(ADDRESS(ROW(), Sheet3!$B$3+16))*  (1+Sheet3!$Q$4)   +B67*Sheet3!$Q$4,       INDIRECT(ADDRESS(ROW(), Sheet3!$B$3+17))))))</f>
        <v>0</v>
      </c>
      <c r="E67" s="40">
        <f ca="1">IF(AND(Sheet1!L67&lt;0,  Sheet1!$C$21&gt;R67),    IF(OR(Sheet1!$C$21&lt;=R68,  Sheet1!L68=""),       IF(AND(MOD(NOW(),1)&lt;TIME(9,39,0),Sheet1!$C$22=TODAY()),    Sheet1!$C$21-R67,     Sheet1!$C$21-R67-1),               R68-R67-1),    0)</f>
        <v>0</v>
      </c>
      <c r="F67" s="30"/>
      <c r="G67" s="25" t="str">
        <f>IF(LEFT(Sheet1!K68,2)="0x",Sheet1!K67,IF(AND(Sheet1!L67="",Sheet1!L66=""),"",G66))</f>
        <v/>
      </c>
      <c r="H67" s="81"/>
      <c r="I67" s="43" t="str">
        <f t="shared" si="7"/>
        <v/>
      </c>
      <c r="J67" s="29" t="str">
        <f t="shared" si="6"/>
        <v/>
      </c>
      <c r="K67" s="24" t="str">
        <f>IF(Sheet1!L67="","",IF(Sheet1!L67&gt;0,ROW(),""))</f>
        <v/>
      </c>
      <c r="L67" s="24" t="str">
        <f t="shared" ca="1" si="1"/>
        <v/>
      </c>
      <c r="M67" s="47" t="str">
        <f t="shared" ca="1" si="2"/>
        <v/>
      </c>
      <c r="N67" s="48" t="str">
        <f>IF(LEFT(Sheet1!K67,2)="0x",Sheet1!K67,IF(AND(Sheet1!L67="",Sheet1!L66=""),"",N66))</f>
        <v/>
      </c>
      <c r="O67" s="46">
        <f>IF(Sheet1!L67="",0,IF(Sheet1!O67&lt;TIME(7,39,0)+Sheet1!$E$3/24,1,0))</f>
        <v>0</v>
      </c>
      <c r="P67" s="46" t="str">
        <f ca="1">IF(AND(Sheet1!L67&lt;0, Sheet1!$C$21&gt;R67,OR(Sheet1!$C$21&lt;=R68,Sheet1!L68="")),   -1*Sheet1!L67,"")</f>
        <v/>
      </c>
    </row>
    <row r="68" spans="1:16" ht="15.75" x14ac:dyDescent="0.25">
      <c r="A68" s="456" t="str">
        <f>IF(AND(R68&lt;&gt;"",R67&lt;&gt;""),(-Sheet1!L68/Sheet1!L67)^(360/(R68-R67-1))-1,"")</f>
        <v/>
      </c>
      <c r="B68" s="41" t="str">
        <f ca="1">IF(AND(Sheet1!L68&lt;0, Sheet1!$C$21&gt;R68+1,OR(Sheet1!$C$21&lt;=R69,Sheet1!L69="")),   -1*Sheet1!L68,"")</f>
        <v/>
      </c>
      <c r="C68" s="42">
        <f ca="1">IF(Sheet3!$B$5="",0,    IF(E68&lt;1,0,  IF(B68="","",     IF(OR(Sheet3!$B$6=0,INDIRECT(ADDRESS(ROW(),Sheet3!$B$3+16))="" ),D68/E68,    IF(E68&lt;0,0,    IF(OR( INDIRECT(ADDRESS(8,Sheet3!$B$3+16))="",INDIRECT(ADDRESS(ROW(),Sheet3!$B$3+17))=""),        (INDIRECT(ADDRESS(ROW(),Sheet3!$B$3+16))+B68)*Sheet3!$Q$4,         INDIRECT(ADDRESS(ROW(),Sheet3!$B$3+17))-INDIRECT(ADDRESS(ROW(),Sheet3!$B$3+16))))))))</f>
        <v>0</v>
      </c>
      <c r="D68" s="39">
        <f ca="1">IF(Sheet3!$B$5="",0,IF(B68="","",IF(E68&lt;1,0,   IF(INDIRECT(ADDRESS(ROW(), Sheet3!$B$3+17))="",        INDIRECT(ADDRESS(ROW(), Sheet3!$B$3+16))*  (1+Sheet3!$Q$4)   +B68*Sheet3!$Q$4,       INDIRECT(ADDRESS(ROW(), Sheet3!$B$3+17))))))</f>
        <v>0</v>
      </c>
      <c r="E68" s="40">
        <f ca="1">IF(AND(Sheet1!L68&lt;0,  Sheet1!$C$21&gt;R68),    IF(OR(Sheet1!$C$21&lt;=R69,  Sheet1!L69=""),       IF(AND(MOD(NOW(),1)&lt;TIME(9,39,0),Sheet1!$C$22=TODAY()),    Sheet1!$C$21-R68,     Sheet1!$C$21-R68-1),               R69-R68-1),    0)</f>
        <v>0</v>
      </c>
      <c r="F68" s="30"/>
      <c r="G68" s="25" t="str">
        <f>IF(LEFT(Sheet1!K69,2)="0x",Sheet1!K68,IF(AND(Sheet1!L68="",Sheet1!L67=""),"",G67))</f>
        <v/>
      </c>
      <c r="H68" s="81"/>
      <c r="I68" s="43" t="str">
        <f t="shared" si="7"/>
        <v/>
      </c>
      <c r="J68" s="29" t="str">
        <f t="shared" si="6"/>
        <v/>
      </c>
      <c r="K68" s="24" t="str">
        <f>IF(Sheet1!L68="","",IF(Sheet1!L68&gt;0,ROW(),""))</f>
        <v/>
      </c>
      <c r="L68" s="24" t="str">
        <f t="shared" ca="1" si="1"/>
        <v/>
      </c>
      <c r="M68" s="47" t="str">
        <f t="shared" ca="1" si="2"/>
        <v/>
      </c>
      <c r="N68" s="48" t="str">
        <f>IF(LEFT(Sheet1!K68,2)="0x",Sheet1!K68,IF(AND(Sheet1!L68="",Sheet1!L67=""),"",N67))</f>
        <v/>
      </c>
      <c r="O68" s="46">
        <f>IF(Sheet1!L68="",0,IF(Sheet1!O68&lt;TIME(7,39,0)+Sheet1!$E$3/24,1,0))</f>
        <v>0</v>
      </c>
      <c r="P68" s="46" t="str">
        <f ca="1">IF(AND(Sheet1!L68&lt;0, Sheet1!$C$21&gt;R68,OR(Sheet1!$C$21&lt;=R69,Sheet1!L69="")),   -1*Sheet1!L68,"")</f>
        <v/>
      </c>
    </row>
    <row r="69" spans="1:16" ht="15.75" x14ac:dyDescent="0.25">
      <c r="A69" s="456" t="str">
        <f>IF(AND(R69&lt;&gt;"",R68&lt;&gt;""),(-Sheet1!L69/Sheet1!L68)^(360/(R69-R68-1))-1,"")</f>
        <v/>
      </c>
      <c r="B69" s="41" t="str">
        <f ca="1">IF(AND(Sheet1!L69&lt;0, Sheet1!$C$21&gt;R69+1,OR(Sheet1!$C$21&lt;=R70,Sheet1!L70="")),   -1*Sheet1!L69,"")</f>
        <v/>
      </c>
      <c r="C69" s="42">
        <f ca="1">IF(Sheet3!$B$5="",0,    IF(E69&lt;1,0,  IF(B69="","",     IF(OR(Sheet3!$B$6=0,INDIRECT(ADDRESS(ROW(),Sheet3!$B$3+16))="" ),D69/E69,    IF(E69&lt;0,0,    IF(OR( INDIRECT(ADDRESS(8,Sheet3!$B$3+16))="",INDIRECT(ADDRESS(ROW(),Sheet3!$B$3+17))=""),        (INDIRECT(ADDRESS(ROW(),Sheet3!$B$3+16))+B69)*Sheet3!$Q$4,         INDIRECT(ADDRESS(ROW(),Sheet3!$B$3+17))-INDIRECT(ADDRESS(ROW(),Sheet3!$B$3+16))))))))</f>
        <v>0</v>
      </c>
      <c r="D69" s="39">
        <f ca="1">IF(Sheet3!$B$5="",0,IF(B69="","",IF(E69&lt;1,0,   IF(INDIRECT(ADDRESS(ROW(), Sheet3!$B$3+17))="",        INDIRECT(ADDRESS(ROW(), Sheet3!$B$3+16))*  (1+Sheet3!$Q$4)   +B69*Sheet3!$Q$4,       INDIRECT(ADDRESS(ROW(), Sheet3!$B$3+17))))))</f>
        <v>0</v>
      </c>
      <c r="E69" s="40">
        <f ca="1">IF(AND(Sheet1!L69&lt;0,  Sheet1!$C$21&gt;R69),    IF(OR(Sheet1!$C$21&lt;=R70,  Sheet1!L70=""),       IF(AND(MOD(NOW(),1)&lt;TIME(9,39,0),Sheet1!$C$22=TODAY()),    Sheet1!$C$21-R69,     Sheet1!$C$21-R69-1),               R70-R69-1),    0)</f>
        <v>0</v>
      </c>
      <c r="F69" s="30"/>
      <c r="G69" s="25" t="str">
        <f>IF(LEFT(Sheet1!K70,2)="0x",Sheet1!K69,IF(AND(Sheet1!L69="",Sheet1!L68=""),"",G68))</f>
        <v/>
      </c>
      <c r="H69" s="81"/>
      <c r="I69" s="43" t="str">
        <f t="shared" si="7"/>
        <v/>
      </c>
      <c r="J69" s="29" t="str">
        <f t="shared" si="6"/>
        <v/>
      </c>
      <c r="K69" s="24" t="str">
        <f>IF(Sheet1!L69="","",IF(Sheet1!L69&gt;0,ROW(),""))</f>
        <v/>
      </c>
      <c r="L69" s="24" t="str">
        <f t="shared" ca="1" si="1"/>
        <v/>
      </c>
      <c r="M69" s="47" t="str">
        <f t="shared" ca="1" si="2"/>
        <v/>
      </c>
      <c r="N69" s="48" t="str">
        <f>IF(LEFT(Sheet1!K69,2)="0x",Sheet1!K69,IF(AND(Sheet1!L69="",Sheet1!L68=""),"",N68))</f>
        <v/>
      </c>
      <c r="O69" s="46">
        <f>IF(Sheet1!L69="",0,IF(Sheet1!O69&lt;TIME(7,39,0)+Sheet1!$E$3/24,1,0))</f>
        <v>0</v>
      </c>
      <c r="P69" s="46" t="str">
        <f ca="1">IF(AND(Sheet1!L69&lt;0, Sheet1!$C$21&gt;R69,OR(Sheet1!$C$21&lt;=R70,Sheet1!L70="")),   -1*Sheet1!L69,"")</f>
        <v/>
      </c>
    </row>
    <row r="70" spans="1:16" ht="15.75" x14ac:dyDescent="0.25">
      <c r="A70" s="456" t="str">
        <f>IF(AND(R70&lt;&gt;"",R69&lt;&gt;""),(-Sheet1!L70/Sheet1!L69)^(360/(R70-R69-1))-1,"")</f>
        <v/>
      </c>
      <c r="B70" s="41" t="str">
        <f ca="1">IF(AND(Sheet1!L70&lt;0, Sheet1!$C$21&gt;R70+1,OR(Sheet1!$C$21&lt;=R71,Sheet1!L71="")),   -1*Sheet1!L70,"")</f>
        <v/>
      </c>
      <c r="C70" s="42">
        <f ca="1">IF(Sheet3!$B$5="",0,    IF(E70&lt;1,0,  IF(B70="","",     IF(OR(Sheet3!$B$6=0,INDIRECT(ADDRESS(ROW(),Sheet3!$B$3+16))="" ),D70/E70,    IF(E70&lt;0,0,    IF(OR( INDIRECT(ADDRESS(8,Sheet3!$B$3+16))="",INDIRECT(ADDRESS(ROW(),Sheet3!$B$3+17))=""),        (INDIRECT(ADDRESS(ROW(),Sheet3!$B$3+16))+B70)*Sheet3!$Q$4,         INDIRECT(ADDRESS(ROW(),Sheet3!$B$3+17))-INDIRECT(ADDRESS(ROW(),Sheet3!$B$3+16))))))))</f>
        <v>0</v>
      </c>
      <c r="D70" s="39">
        <f ca="1">IF(Sheet3!$B$5="",0,IF(B70="","",IF(E70&lt;1,0,   IF(INDIRECT(ADDRESS(ROW(), Sheet3!$B$3+17))="",        INDIRECT(ADDRESS(ROW(), Sheet3!$B$3+16))*  (1+Sheet3!$Q$4)   +B70*Sheet3!$Q$4,       INDIRECT(ADDRESS(ROW(), Sheet3!$B$3+17))))))</f>
        <v>0</v>
      </c>
      <c r="E70" s="40">
        <f ca="1">IF(AND(Sheet1!L70&lt;0,  Sheet1!$C$21&gt;R70),    IF(OR(Sheet1!$C$21&lt;=R71,  Sheet1!L71=""),       IF(AND(MOD(NOW(),1)&lt;TIME(9,39,0),Sheet1!$C$22=TODAY()),    Sheet1!$C$21-R70,     Sheet1!$C$21-R70-1),               R71-R70-1),    0)</f>
        <v>0</v>
      </c>
      <c r="F70" s="30"/>
      <c r="G70" s="25" t="str">
        <f>IF(LEFT(Sheet1!K71,2)="0x",Sheet1!K70,IF(AND(Sheet1!L70="",Sheet1!L69=""),"",G69))</f>
        <v/>
      </c>
      <c r="H70" s="81"/>
      <c r="I70" s="43" t="str">
        <f t="shared" si="7"/>
        <v/>
      </c>
      <c r="J70" s="29" t="str">
        <f t="shared" si="6"/>
        <v/>
      </c>
      <c r="K70" s="24" t="str">
        <f>IF(Sheet1!L70="","",IF(Sheet1!L70&gt;0,ROW(),""))</f>
        <v/>
      </c>
      <c r="L70" s="24" t="str">
        <f t="shared" ca="1" si="1"/>
        <v/>
      </c>
      <c r="M70" s="47" t="str">
        <f t="shared" ca="1" si="2"/>
        <v/>
      </c>
      <c r="N70" s="48" t="str">
        <f>IF(LEFT(Sheet1!K70,2)="0x",Sheet1!K70,IF(AND(Sheet1!L70="",Sheet1!L69=""),"",N69))</f>
        <v/>
      </c>
      <c r="O70" s="46">
        <f>IF(Sheet1!L70="",0,IF(Sheet1!O70&lt;TIME(7,39,0)+Sheet1!$E$3/24,1,0))</f>
        <v>0</v>
      </c>
      <c r="P70" s="46" t="str">
        <f ca="1">IF(AND(Sheet1!L70&lt;0, Sheet1!$C$21&gt;R70,OR(Sheet1!$C$21&lt;=R71,Sheet1!L71="")),   -1*Sheet1!L70,"")</f>
        <v/>
      </c>
    </row>
    <row r="71" spans="1:16" ht="15.75" x14ac:dyDescent="0.25">
      <c r="A71" s="456" t="str">
        <f>IF(AND(R71&lt;&gt;"",R70&lt;&gt;""),(-Sheet1!L71/Sheet1!L70)^(360/(R71-R70-1))-1,"")</f>
        <v/>
      </c>
      <c r="B71" s="41" t="str">
        <f ca="1">IF(AND(Sheet1!L71&lt;0, Sheet1!$C$21&gt;R71+1,OR(Sheet1!$C$21&lt;=R72,Sheet1!L72="")),   -1*Sheet1!L71,"")</f>
        <v/>
      </c>
      <c r="C71" s="42">
        <f ca="1">IF(Sheet3!$B$5="",0,    IF(E71&lt;1,0,  IF(B71="","",     IF(OR(Sheet3!$B$6=0,INDIRECT(ADDRESS(ROW(),Sheet3!$B$3+16))="" ),D71/E71,    IF(E71&lt;0,0,    IF(OR( INDIRECT(ADDRESS(8,Sheet3!$B$3+16))="",INDIRECT(ADDRESS(ROW(),Sheet3!$B$3+17))=""),        (INDIRECT(ADDRESS(ROW(),Sheet3!$B$3+16))+B71)*Sheet3!$Q$4,         INDIRECT(ADDRESS(ROW(),Sheet3!$B$3+17))-INDIRECT(ADDRESS(ROW(),Sheet3!$B$3+16))))))))</f>
        <v>0</v>
      </c>
      <c r="D71" s="39">
        <f ca="1">IF(Sheet3!$B$5="",0,IF(B71="","",IF(E71&lt;1,0,   IF(INDIRECT(ADDRESS(ROW(), Sheet3!$B$3+17))="",        INDIRECT(ADDRESS(ROW(), Sheet3!$B$3+16))*  (1+Sheet3!$Q$4)   +B71*Sheet3!$Q$4,       INDIRECT(ADDRESS(ROW(), Sheet3!$B$3+17))))))</f>
        <v>0</v>
      </c>
      <c r="E71" s="40">
        <f ca="1">IF(AND(Sheet1!L71&lt;0,  Sheet1!$C$21&gt;R71),    IF(OR(Sheet1!$C$21&lt;=R72,  Sheet1!L72=""),       IF(AND(MOD(NOW(),1)&lt;TIME(9,39,0),Sheet1!$C$22=TODAY()),    Sheet1!$C$21-R71,     Sheet1!$C$21-R71-1),               R72-R71-1),    0)</f>
        <v>0</v>
      </c>
      <c r="F71" s="30"/>
      <c r="G71" s="25" t="str">
        <f>IF(LEFT(Sheet1!K72,2)="0x",Sheet1!K71,IF(AND(Sheet1!L71="",Sheet1!L70=""),"",G70))</f>
        <v/>
      </c>
      <c r="H71" s="81"/>
      <c r="I71" s="43" t="str">
        <f t="shared" si="7"/>
        <v/>
      </c>
      <c r="J71" s="29" t="str">
        <f t="shared" si="6"/>
        <v/>
      </c>
      <c r="K71" s="24" t="str">
        <f>IF(Sheet1!L71="","",IF(Sheet1!L71&gt;0,ROW(),""))</f>
        <v/>
      </c>
      <c r="L71" s="24" t="str">
        <f t="shared" ca="1" si="1"/>
        <v/>
      </c>
      <c r="M71" s="47" t="str">
        <f t="shared" ca="1" si="2"/>
        <v/>
      </c>
      <c r="N71" s="48" t="str">
        <f>IF(LEFT(Sheet1!K71,2)="0x",Sheet1!K71,IF(AND(Sheet1!L71="",Sheet1!L70=""),"",N70))</f>
        <v/>
      </c>
      <c r="O71" s="46">
        <f>IF(Sheet1!L71="",0,IF(Sheet1!O71&lt;TIME(7,39,0)+Sheet1!$E$3/24,1,0))</f>
        <v>0</v>
      </c>
      <c r="P71" s="46" t="str">
        <f ca="1">IF(AND(Sheet1!L71&lt;0, Sheet1!$C$21&gt;R71,OR(Sheet1!$C$21&lt;=R72,Sheet1!L72="")),   -1*Sheet1!L71,"")</f>
        <v/>
      </c>
    </row>
    <row r="72" spans="1:16" ht="15.75" x14ac:dyDescent="0.25">
      <c r="A72" s="456" t="str">
        <f>IF(AND(R72&lt;&gt;"",R71&lt;&gt;""),(-Sheet1!L72/Sheet1!L71)^(360/(R72-R71-1))-1,"")</f>
        <v/>
      </c>
      <c r="B72" s="41" t="str">
        <f ca="1">IF(AND(Sheet1!L72&lt;0, Sheet1!$C$21&gt;R72+1,OR(Sheet1!$C$21&lt;=R73,Sheet1!L73="")),   -1*Sheet1!L72,"")</f>
        <v/>
      </c>
      <c r="C72" s="42">
        <f ca="1">IF(Sheet3!$B$5="",0,    IF(E72&lt;1,0,  IF(B72="","",     IF(OR(Sheet3!$B$6=0,INDIRECT(ADDRESS(ROW(),Sheet3!$B$3+16))="" ),D72/E72,    IF(E72&lt;0,0,    IF(OR( INDIRECT(ADDRESS(8,Sheet3!$B$3+16))="",INDIRECT(ADDRESS(ROW(),Sheet3!$B$3+17))=""),        (INDIRECT(ADDRESS(ROW(),Sheet3!$B$3+16))+B72)*Sheet3!$Q$4,         INDIRECT(ADDRESS(ROW(),Sheet3!$B$3+17))-INDIRECT(ADDRESS(ROW(),Sheet3!$B$3+16))))))))</f>
        <v>0</v>
      </c>
      <c r="D72" s="39">
        <f ca="1">IF(Sheet3!$B$5="",0,IF(B72="","",IF(E72&lt;1,0,   IF(INDIRECT(ADDRESS(ROW(), Sheet3!$B$3+17))="",        INDIRECT(ADDRESS(ROW(), Sheet3!$B$3+16))*  (1+Sheet3!$Q$4)   +B72*Sheet3!$Q$4,       INDIRECT(ADDRESS(ROW(), Sheet3!$B$3+17))))))</f>
        <v>0</v>
      </c>
      <c r="E72" s="40">
        <f ca="1">IF(AND(Sheet1!L72&lt;0,  Sheet1!$C$21&gt;R72),    IF(OR(Sheet1!$C$21&lt;=R73,  Sheet1!L73=""),       IF(AND(MOD(NOW(),1)&lt;TIME(9,39,0),Sheet1!$C$22=TODAY()),    Sheet1!$C$21-R72,     Sheet1!$C$21-R72-1),               R73-R72-1),    0)</f>
        <v>0</v>
      </c>
      <c r="F72" s="30"/>
      <c r="G72" s="25" t="str">
        <f>IF(LEFT(Sheet1!K73,2)="0x",Sheet1!K72,IF(AND(Sheet1!L72="",Sheet1!L71=""),"",G71))</f>
        <v/>
      </c>
      <c r="H72" s="81"/>
      <c r="I72" s="43" t="str">
        <f t="shared" si="7"/>
        <v/>
      </c>
      <c r="J72" s="29" t="str">
        <f t="shared" si="6"/>
        <v/>
      </c>
      <c r="K72" s="24" t="str">
        <f>IF(Sheet1!L72="","",IF(Sheet1!L72&gt;0,ROW(),""))</f>
        <v/>
      </c>
      <c r="L72" s="24" t="str">
        <f t="shared" ref="L72:L82" ca="1" si="8">IF(B72&lt;&gt;"",ROW(),"")</f>
        <v/>
      </c>
      <c r="M72" s="47" t="str">
        <f t="shared" ref="M72:M77" ca="1" si="9">IF(P72&lt;&gt;"",ROW(),"")</f>
        <v/>
      </c>
      <c r="N72" s="48" t="str">
        <f>IF(LEFT(Sheet1!K72,2)="0x",Sheet1!K72,IF(AND(Sheet1!L72="",Sheet1!L71=""),"",N71))</f>
        <v/>
      </c>
      <c r="O72" s="46">
        <f>IF(Sheet1!L72="",0,IF(Sheet1!O72&lt;TIME(7,39,0)+Sheet1!$E$3/24,1,0))</f>
        <v>0</v>
      </c>
      <c r="P72" s="46" t="str">
        <f ca="1">IF(AND(Sheet1!L72&lt;0, Sheet1!$C$21&gt;R72,OR(Sheet1!$C$21&lt;=R73,Sheet1!L73="")),   -1*Sheet1!L72,"")</f>
        <v/>
      </c>
    </row>
    <row r="73" spans="1:16" ht="15.75" x14ac:dyDescent="0.25">
      <c r="A73" s="456" t="str">
        <f>IF(AND(R73&lt;&gt;"",R72&lt;&gt;""),(-Sheet1!L73/Sheet1!L72)^(360/(R73-R72-1))-1,"")</f>
        <v/>
      </c>
      <c r="B73" s="41" t="str">
        <f ca="1">IF(AND(Sheet1!L73&lt;0, Sheet1!$C$21&gt;R73+1,OR(Sheet1!$C$21&lt;=R74,Sheet1!L74="")),   -1*Sheet1!L73,"")</f>
        <v/>
      </c>
      <c r="C73" s="42">
        <f ca="1">IF(Sheet3!$B$5="",0,    IF(E73&lt;1,0,  IF(B73="","",     IF(OR(Sheet3!$B$6=0,INDIRECT(ADDRESS(ROW(),Sheet3!$B$3+16))="" ),D73/E73,    IF(E73&lt;0,0,    IF(OR( INDIRECT(ADDRESS(8,Sheet3!$B$3+16))="",INDIRECT(ADDRESS(ROW(),Sheet3!$B$3+17))=""),        (INDIRECT(ADDRESS(ROW(),Sheet3!$B$3+16))+B73)*Sheet3!$Q$4,         INDIRECT(ADDRESS(ROW(),Sheet3!$B$3+17))-INDIRECT(ADDRESS(ROW(),Sheet3!$B$3+16))))))))</f>
        <v>0</v>
      </c>
      <c r="D73" s="39">
        <f ca="1">IF(Sheet3!$B$5="",0,IF(B73="","",IF(E73&lt;1,0,   IF(INDIRECT(ADDRESS(ROW(), Sheet3!$B$3+17))="",        INDIRECT(ADDRESS(ROW(), Sheet3!$B$3+16))*  (1+Sheet3!$Q$4)   +B73*Sheet3!$Q$4,       INDIRECT(ADDRESS(ROW(), Sheet3!$B$3+17))))))</f>
        <v>0</v>
      </c>
      <c r="E73" s="40">
        <f ca="1">IF(AND(Sheet1!L73&lt;0,  Sheet1!$C$21&gt;R73),    IF(OR(Sheet1!$C$21&lt;=R74,  Sheet1!L74=""),       IF(AND(MOD(NOW(),1)&lt;TIME(9,39,0),Sheet1!$C$22=TODAY()),    Sheet1!$C$21-R73,     Sheet1!$C$21-R73-1),               R74-R73-1),    0)</f>
        <v>0</v>
      </c>
      <c r="F73" s="30"/>
      <c r="G73" s="25" t="str">
        <f>IF(LEFT(Sheet1!K74,2)="0x",Sheet1!K73,IF(AND(Sheet1!L73="",Sheet1!L72=""),"",G72))</f>
        <v/>
      </c>
      <c r="H73" s="81"/>
      <c r="I73" s="43" t="str">
        <f t="shared" si="7"/>
        <v/>
      </c>
      <c r="J73" s="29" t="str">
        <f t="shared" si="6"/>
        <v/>
      </c>
      <c r="K73" s="24" t="str">
        <f>IF(Sheet1!L73="","",IF(Sheet1!L73&gt;0,ROW(),""))</f>
        <v/>
      </c>
      <c r="L73" s="24" t="str">
        <f t="shared" ca="1" si="8"/>
        <v/>
      </c>
      <c r="M73" s="47" t="str">
        <f t="shared" ca="1" si="9"/>
        <v/>
      </c>
      <c r="N73" s="48" t="str">
        <f>IF(LEFT(Sheet1!K73,2)="0x",Sheet1!K73,IF(AND(Sheet1!L73="",Sheet1!L72=""),"",N72))</f>
        <v/>
      </c>
      <c r="O73" s="46">
        <f>IF(Sheet1!L73="",0,IF(Sheet1!O73&lt;TIME(7,39,0)+Sheet1!$E$3/24,1,0))</f>
        <v>0</v>
      </c>
      <c r="P73" s="46" t="str">
        <f ca="1">IF(AND(Sheet1!L73&lt;0, Sheet1!$C$21&gt;R73,OR(Sheet1!$C$21&lt;=R74,Sheet1!L74="")),   -1*Sheet1!L73,"")</f>
        <v/>
      </c>
    </row>
    <row r="74" spans="1:16" ht="15.75" x14ac:dyDescent="0.25">
      <c r="A74" s="456" t="str">
        <f>IF(AND(R74&lt;&gt;"",R73&lt;&gt;""),(-Sheet1!L74/Sheet1!L73)^(360/(R74-R73-1))-1,"")</f>
        <v/>
      </c>
      <c r="B74" s="41" t="str">
        <f ca="1">IF(AND(Sheet1!L74&lt;0, Sheet1!$C$21&gt;R74+1,OR(Sheet1!$C$21&lt;=R75,Sheet1!L75="")),   -1*Sheet1!L74,"")</f>
        <v/>
      </c>
      <c r="C74" s="42">
        <f ca="1">IF(Sheet3!$B$5="",0,    IF(E74&lt;1,0,  IF(B74="","",     IF(OR(Sheet3!$B$6=0,INDIRECT(ADDRESS(ROW(),Sheet3!$B$3+16))="" ),D74/E74,    IF(E74&lt;0,0,    IF(OR( INDIRECT(ADDRESS(8,Sheet3!$B$3+16))="",INDIRECT(ADDRESS(ROW(),Sheet3!$B$3+17))=""),        (INDIRECT(ADDRESS(ROW(),Sheet3!$B$3+16))+B74)*Sheet3!$Q$4,         INDIRECT(ADDRESS(ROW(),Sheet3!$B$3+17))-INDIRECT(ADDRESS(ROW(),Sheet3!$B$3+16))))))))</f>
        <v>0</v>
      </c>
      <c r="D74" s="39">
        <f ca="1">IF(Sheet3!$B$5="",0,IF(B74="","",IF(E74&lt;1,0,   IF(INDIRECT(ADDRESS(ROW(), Sheet3!$B$3+17))="",        INDIRECT(ADDRESS(ROW(), Sheet3!$B$3+16))*  (1+Sheet3!$Q$4)   +B74*Sheet3!$Q$4,       INDIRECT(ADDRESS(ROW(), Sheet3!$B$3+17))))))</f>
        <v>0</v>
      </c>
      <c r="E74" s="40">
        <f ca="1">IF(AND(Sheet1!L74&lt;0,  Sheet1!$C$21&gt;R74),    IF(OR(Sheet1!$C$21&lt;=R75,  Sheet1!L75=""),       IF(AND(MOD(NOW(),1)&lt;TIME(9,39,0),Sheet1!$C$22=TODAY()),    Sheet1!$C$21-R74,     Sheet1!$C$21-R74-1),               R75-R74-1),    0)</f>
        <v>0</v>
      </c>
      <c r="F74" s="30"/>
      <c r="G74" s="25" t="str">
        <f>IF(LEFT(Sheet1!K75,2)="0x",Sheet1!K74,IF(AND(Sheet1!L74="",Sheet1!L73=""),"",G73))</f>
        <v/>
      </c>
      <c r="H74" s="81"/>
      <c r="I74" s="43" t="str">
        <f t="shared" si="7"/>
        <v/>
      </c>
      <c r="J74" s="29" t="str">
        <f t="shared" si="6"/>
        <v/>
      </c>
      <c r="K74" s="24" t="str">
        <f>IF(Sheet1!L74="","",IF(Sheet1!L74&gt;0,ROW(),""))</f>
        <v/>
      </c>
      <c r="L74" s="24" t="str">
        <f t="shared" ca="1" si="8"/>
        <v/>
      </c>
      <c r="M74" s="47" t="str">
        <f t="shared" ca="1" si="9"/>
        <v/>
      </c>
      <c r="N74" s="48" t="str">
        <f>IF(LEFT(Sheet1!K74,2)="0x",Sheet1!K74,IF(AND(Sheet1!L74="",Sheet1!L73=""),"",N73))</f>
        <v/>
      </c>
      <c r="O74" s="46">
        <f>IF(Sheet1!L74="",0,IF(Sheet1!O74&lt;TIME(7,39,0)+Sheet1!$E$3/24,1,0))</f>
        <v>0</v>
      </c>
      <c r="P74" s="46" t="str">
        <f ca="1">IF(AND(Sheet1!L74&lt;0, Sheet1!$C$21&gt;R74,OR(Sheet1!$C$21&lt;=R75,Sheet1!L75="")),   -1*Sheet1!L74,"")</f>
        <v/>
      </c>
    </row>
    <row r="75" spans="1:16" ht="15.75" x14ac:dyDescent="0.25">
      <c r="A75" s="456" t="str">
        <f>IF(AND(R75&lt;&gt;"",R74&lt;&gt;""),(-Sheet1!L75/Sheet1!L74)^(360/(R75-R74-1))-1,"")</f>
        <v/>
      </c>
      <c r="B75" s="41" t="str">
        <f ca="1">IF(AND(Sheet1!L75&lt;0, Sheet1!$C$21&gt;R75+1,OR(Sheet1!$C$21&lt;=R76,Sheet1!L76="")),   -1*Sheet1!L75,"")</f>
        <v/>
      </c>
      <c r="C75" s="42">
        <f ca="1">IF(Sheet3!$B$5="",0,    IF(E75&lt;1,0,  IF(B75="","",     IF(OR(Sheet3!$B$6=0,INDIRECT(ADDRESS(ROW(),Sheet3!$B$3+16))="" ),D75/E75,    IF(E75&lt;0,0,    IF(OR( INDIRECT(ADDRESS(8,Sheet3!$B$3+16))="",INDIRECT(ADDRESS(ROW(),Sheet3!$B$3+17))=""),        (INDIRECT(ADDRESS(ROW(),Sheet3!$B$3+16))+B75)*Sheet3!$Q$4,         INDIRECT(ADDRESS(ROW(),Sheet3!$B$3+17))-INDIRECT(ADDRESS(ROW(),Sheet3!$B$3+16))))))))</f>
        <v>0</v>
      </c>
      <c r="D75" s="39">
        <f ca="1">IF(Sheet3!$B$5="",0,IF(B75="","",IF(E75&lt;1,0,   IF(INDIRECT(ADDRESS(ROW(), Sheet3!$B$3+17))="",        INDIRECT(ADDRESS(ROW(), Sheet3!$B$3+16))*  (1+Sheet3!$Q$4)   +B75*Sheet3!$Q$4,       INDIRECT(ADDRESS(ROW(), Sheet3!$B$3+17))))))</f>
        <v>0</v>
      </c>
      <c r="E75" s="40">
        <f ca="1">IF(AND(Sheet1!L75&lt;0,  Sheet1!$C$21&gt;R75),    IF(OR(Sheet1!$C$21&lt;=R76,  Sheet1!L76=""),       IF(AND(MOD(NOW(),1)&lt;TIME(9,39,0),Sheet1!$C$22=TODAY()),    Sheet1!$C$21-R75,     Sheet1!$C$21-R75-1),               R76-R75-1),    0)</f>
        <v>0</v>
      </c>
      <c r="F75" s="30"/>
      <c r="G75" s="25" t="str">
        <f>IF(LEFT(Sheet1!K76,2)="0x",Sheet1!K75,IF(AND(Sheet1!L75="",Sheet1!L74=""),"",G74))</f>
        <v/>
      </c>
      <c r="H75" s="81"/>
      <c r="I75" s="43" t="str">
        <f t="shared" si="7"/>
        <v/>
      </c>
      <c r="J75" s="29" t="str">
        <f t="shared" si="6"/>
        <v/>
      </c>
      <c r="K75" s="24" t="str">
        <f>IF(Sheet1!L75="","",IF(Sheet1!L75&gt;0,ROW(),""))</f>
        <v/>
      </c>
      <c r="L75" s="24" t="str">
        <f t="shared" ca="1" si="8"/>
        <v/>
      </c>
      <c r="M75" s="47" t="str">
        <f t="shared" ca="1" si="9"/>
        <v/>
      </c>
      <c r="N75" s="48" t="str">
        <f>IF(LEFT(Sheet1!K75,2)="0x",Sheet1!K75,IF(AND(Sheet1!L75="",Sheet1!L74=""),"",N74))</f>
        <v/>
      </c>
      <c r="O75" s="46">
        <f>IF(Sheet1!L75="",0,IF(Sheet1!O75&lt;TIME(7,39,0)+Sheet1!$E$3/24,1,0))</f>
        <v>0</v>
      </c>
      <c r="P75" s="46" t="str">
        <f ca="1">IF(AND(Sheet1!L75&lt;0, Sheet1!$C$21&gt;R75,OR(Sheet1!$C$21&lt;=R76,Sheet1!L76="")),   -1*Sheet1!L75,"")</f>
        <v/>
      </c>
    </row>
    <row r="76" spans="1:16" ht="15.75" x14ac:dyDescent="0.25">
      <c r="A76" s="456" t="str">
        <f>IF(AND(R76&lt;&gt;"",R75&lt;&gt;""),(-Sheet1!L76/Sheet1!L75)^(360/(R76-R75-1))-1,"")</f>
        <v/>
      </c>
      <c r="B76" s="41" t="str">
        <f ca="1">IF(AND(Sheet1!L76&lt;0, Sheet1!$C$21&gt;R76+1,OR(Sheet1!$C$21&lt;=R77,Sheet1!L77="")),   -1*Sheet1!L76,"")</f>
        <v/>
      </c>
      <c r="C76" s="42">
        <f ca="1">IF(Sheet3!$B$5="",0,    IF(E76&lt;1,0,  IF(B76="","",     IF(OR(Sheet3!$B$6=0,INDIRECT(ADDRESS(ROW(),Sheet3!$B$3+16))="" ),D76/E76,    IF(E76&lt;0,0,    IF(OR( INDIRECT(ADDRESS(8,Sheet3!$B$3+16))="",INDIRECT(ADDRESS(ROW(),Sheet3!$B$3+17))=""),        (INDIRECT(ADDRESS(ROW(),Sheet3!$B$3+16))+B76)*Sheet3!$Q$4,         INDIRECT(ADDRESS(ROW(),Sheet3!$B$3+17))-INDIRECT(ADDRESS(ROW(),Sheet3!$B$3+16))))))))</f>
        <v>0</v>
      </c>
      <c r="D76" s="39">
        <f ca="1">IF(Sheet3!$B$5="",0,IF(B76="","",IF(E76&lt;1,0,   IF(INDIRECT(ADDRESS(ROW(), Sheet3!$B$3+17))="",        INDIRECT(ADDRESS(ROW(), Sheet3!$B$3+16))*  (1+Sheet3!$Q$4)   +B76*Sheet3!$Q$4,       INDIRECT(ADDRESS(ROW(), Sheet3!$B$3+17))))))</f>
        <v>0</v>
      </c>
      <c r="E76" s="40">
        <f ca="1">IF(AND(Sheet1!L76&lt;0,  Sheet1!$C$21&gt;R76),    IF(OR(Sheet1!$C$21&lt;=R77,  Sheet1!L77=""),       IF(AND(MOD(NOW(),1)&lt;TIME(9,39,0),Sheet1!$C$22=TODAY()),    Sheet1!$C$21-R76,     Sheet1!$C$21-R76-1),               R77-R76-1),    0)</f>
        <v>0</v>
      </c>
      <c r="F76" s="30"/>
      <c r="G76" s="25" t="str">
        <f>IF(LEFT(Sheet1!K77,2)="0x",Sheet1!K76,IF(AND(Sheet1!L76="",Sheet1!L75=""),"",G75))</f>
        <v/>
      </c>
      <c r="H76" s="81"/>
      <c r="I76" s="43" t="str">
        <f t="shared" si="7"/>
        <v/>
      </c>
      <c r="J76" s="29" t="str">
        <f t="shared" si="6"/>
        <v/>
      </c>
      <c r="K76" s="24" t="str">
        <f>IF(Sheet1!L76="","",IF(Sheet1!L76&gt;0,ROW(),""))</f>
        <v/>
      </c>
      <c r="L76" s="24" t="str">
        <f t="shared" ca="1" si="8"/>
        <v/>
      </c>
      <c r="M76" s="47" t="str">
        <f t="shared" ca="1" si="9"/>
        <v/>
      </c>
      <c r="N76" s="48" t="str">
        <f>IF(LEFT(Sheet1!K76,2)="0x",Sheet1!K76,IF(AND(Sheet1!L76="",Sheet1!L75=""),"",N75))</f>
        <v/>
      </c>
      <c r="O76" s="46">
        <f>IF(Sheet1!L76="",0,IF(Sheet1!O76&lt;TIME(7,39,0)+Sheet1!$E$3/24,1,0))</f>
        <v>0</v>
      </c>
      <c r="P76" s="46" t="str">
        <f ca="1">IF(AND(Sheet1!L76&lt;0, Sheet1!$C$21&gt;R76,OR(Sheet1!$C$21&lt;=R77,Sheet1!L77="")),   -1*Sheet1!L76,"")</f>
        <v/>
      </c>
    </row>
    <row r="77" spans="1:16" ht="15.75" x14ac:dyDescent="0.25">
      <c r="A77" s="456" t="str">
        <f>IF(AND(R77&lt;&gt;"",R76&lt;&gt;""),(-Sheet1!L77/Sheet1!L76)^(360/(R77-R76-1))-1,"")</f>
        <v/>
      </c>
      <c r="B77" s="41" t="str">
        <f ca="1">IF(AND(Sheet1!L77&lt;0, Sheet1!$C$21&gt;R77+1,OR(Sheet1!$C$21&lt;=R78,Sheet1!L78="")),   -1*Sheet1!L77,"")</f>
        <v/>
      </c>
      <c r="C77" s="42">
        <f ca="1">IF(Sheet3!$B$5="",0,    IF(E77&lt;1,0,  IF(B77="","",     IF(OR(Sheet3!$B$6=0,INDIRECT(ADDRESS(ROW(),Sheet3!$B$3+16))="" ),D77/E77,    IF(E77&lt;0,0,    IF(OR( INDIRECT(ADDRESS(8,Sheet3!$B$3+16))="",INDIRECT(ADDRESS(ROW(),Sheet3!$B$3+17))=""),        (INDIRECT(ADDRESS(ROW(),Sheet3!$B$3+16))+B77)*Sheet3!$Q$4,         INDIRECT(ADDRESS(ROW(),Sheet3!$B$3+17))-INDIRECT(ADDRESS(ROW(),Sheet3!$B$3+16))))))))</f>
        <v>0</v>
      </c>
      <c r="D77" s="39">
        <f ca="1">IF(Sheet3!$B$5="",0,IF(B77="","",IF(E77&lt;1,0,   IF(INDIRECT(ADDRESS(ROW(), Sheet3!$B$3+17))="",        INDIRECT(ADDRESS(ROW(), Sheet3!$B$3+16))*  (1+Sheet3!$Q$4)   +B77*Sheet3!$Q$4,       INDIRECT(ADDRESS(ROW(), Sheet3!$B$3+17))))))</f>
        <v>0</v>
      </c>
      <c r="E77" s="40">
        <f ca="1">IF(AND(Sheet1!L77&lt;0,  Sheet1!$C$21&gt;R77),    IF(OR(Sheet1!$C$21&lt;=R78,  Sheet1!L78=""),       IF(AND(MOD(NOW(),1)&lt;TIME(9,39,0),Sheet1!$C$22=TODAY()),    Sheet1!$C$21-R77,     Sheet1!$C$21-R77-1),               R78-R77-1),    0)</f>
        <v>0</v>
      </c>
      <c r="F77" s="30"/>
      <c r="G77" s="25" t="str">
        <f>IF(LEFT(Sheet1!K78,2)="0x",Sheet1!K77,IF(AND(Sheet1!L77="",Sheet1!L76=""),"",G76))</f>
        <v/>
      </c>
      <c r="H77" s="81"/>
      <c r="I77" s="43" t="str">
        <f t="shared" si="7"/>
        <v/>
      </c>
      <c r="J77" s="29" t="str">
        <f t="shared" si="6"/>
        <v/>
      </c>
      <c r="K77" s="24" t="str">
        <f>IF(Sheet1!L77="","",IF(Sheet1!L77&gt;0,ROW(),""))</f>
        <v/>
      </c>
      <c r="L77" s="24" t="str">
        <f t="shared" ca="1" si="8"/>
        <v/>
      </c>
      <c r="M77" s="47" t="str">
        <f t="shared" ca="1" si="9"/>
        <v/>
      </c>
      <c r="N77" s="48" t="str">
        <f>IF(LEFT(Sheet1!K77,2)="0x",Sheet1!K77,IF(AND(Sheet1!L77="",Sheet1!L76=""),"",N76))</f>
        <v/>
      </c>
      <c r="O77" s="46">
        <f>IF(Sheet1!L77="",0,IF(Sheet1!O77&lt;TIME(7,39,0)+Sheet1!$E$3/24,1,0))</f>
        <v>0</v>
      </c>
      <c r="P77" s="46" t="str">
        <f ca="1">IF(AND(Sheet1!L77&lt;0, Sheet1!$C$21&gt;R77,OR(Sheet1!$C$21&lt;=R78,Sheet1!L78="")),   -1*Sheet1!L77,"")</f>
        <v/>
      </c>
    </row>
    <row r="78" spans="1:16" ht="15.75" x14ac:dyDescent="0.25">
      <c r="A78" s="456" t="str">
        <f>IF(AND(R78&lt;&gt;"",R77&lt;&gt;""),(-Sheet1!L78/Sheet1!L77)^(360/(R78-R77-1))-1,"")</f>
        <v/>
      </c>
      <c r="B78" s="41" t="str">
        <f ca="1">IF(AND(Sheet1!L78&lt;0, Sheet1!$C$21&gt;R78+1,OR(Sheet1!$C$21&lt;=R79,Sheet1!L79="")),   -1*Sheet1!L78,"")</f>
        <v/>
      </c>
      <c r="C78" s="42">
        <f ca="1">IF(Sheet3!$B$5="",0,    IF(E78&lt;1,0,  IF(B78="","",     IF(OR(Sheet3!$B$6=0,INDIRECT(ADDRESS(ROW(),Sheet3!$B$3+16))="" ),D78/E78,    IF(E78&lt;0,0,    IF(OR( INDIRECT(ADDRESS(8,Sheet3!$B$3+16))="",INDIRECT(ADDRESS(ROW(),Sheet3!$B$3+17))=""),        (INDIRECT(ADDRESS(ROW(),Sheet3!$B$3+16))+B78)*Sheet3!$Q$4,         INDIRECT(ADDRESS(ROW(),Sheet3!$B$3+17))-INDIRECT(ADDRESS(ROW(),Sheet3!$B$3+16))))))))</f>
        <v>0</v>
      </c>
      <c r="D78" s="39">
        <f ca="1">IF(Sheet3!$B$5="",0,IF(B78="","",IF(E78&lt;1,0,   IF(INDIRECT(ADDRESS(ROW(), Sheet3!$B$3+17))="",        INDIRECT(ADDRESS(ROW(), Sheet3!$B$3+16))*  (1+Sheet3!$Q$4)   +B78*Sheet3!$Q$4,       INDIRECT(ADDRESS(ROW(), Sheet3!$B$3+17))))))</f>
        <v>0</v>
      </c>
      <c r="E78" s="40">
        <f ca="1">IF(AND(Sheet1!L78&lt;0,  Sheet1!$C$21&gt;R78),    IF(OR(Sheet1!$C$21&lt;=R79,  Sheet1!L79=""),       IF(AND(MOD(NOW(),1)&lt;TIME(9,39,0),Sheet1!$C$22=TODAY()),    Sheet1!$C$21-R78,     Sheet1!$C$21-R78-1),               R79-R78-1),    0)</f>
        <v>0</v>
      </c>
      <c r="F78" s="30"/>
      <c r="G78" s="25" t="str">
        <f>IF(LEFT(Sheet1!K79,2)="0x",Sheet1!K78,IF(AND(Sheet1!L78="",Sheet1!L77=""),"",G77))</f>
        <v/>
      </c>
      <c r="H78" s="81"/>
      <c r="I78" s="43" t="str">
        <f t="shared" si="7"/>
        <v/>
      </c>
      <c r="J78" s="29" t="str">
        <f t="shared" si="6"/>
        <v/>
      </c>
      <c r="K78" s="24" t="str">
        <f>IF(Sheet1!L78="","",IF(Sheet1!L78&gt;0,ROW(),""))</f>
        <v/>
      </c>
      <c r="L78" s="24" t="str">
        <f t="shared" ca="1" si="8"/>
        <v/>
      </c>
      <c r="M78" s="47" t="str">
        <f t="shared" ref="M78:M141" ca="1" si="10">IF(P78&lt;&gt;"",ROW(),"")</f>
        <v/>
      </c>
      <c r="N78" s="48" t="str">
        <f>IF(LEFT(Sheet1!K78,2)="0x",Sheet1!K78,IF(AND(Sheet1!L78="",Sheet1!L77=""),"",N77))</f>
        <v/>
      </c>
      <c r="O78" s="46">
        <f>IF(Sheet1!L78="",0,IF(Sheet1!O78&lt;TIME(7,39,0)+Sheet1!$E$3/24,1,0))</f>
        <v>0</v>
      </c>
      <c r="P78" s="46" t="str">
        <f ca="1">IF(AND(Sheet1!L78&lt;0, Sheet1!$C$21&gt;R78,OR(Sheet1!$C$21&lt;=R79,Sheet1!L79="")),   -1*Sheet1!L78,"")</f>
        <v/>
      </c>
    </row>
    <row r="79" spans="1:16" ht="15.75" x14ac:dyDescent="0.25">
      <c r="A79" s="456" t="str">
        <f>IF(AND(R79&lt;&gt;"",R78&lt;&gt;""),(-Sheet1!L79/Sheet1!L78)^(360/(R79-R78-1))-1,"")</f>
        <v/>
      </c>
      <c r="B79" s="41" t="str">
        <f ca="1">IF(AND(Sheet1!L79&lt;0, Sheet1!$C$21&gt;R79+1,OR(Sheet1!$C$21&lt;=R80,Sheet1!L80="")),   -1*Sheet1!L79,"")</f>
        <v/>
      </c>
      <c r="C79" s="42">
        <f ca="1">IF(Sheet3!$B$5="",0,    IF(E79&lt;1,0,  IF(B79="","",     IF(OR(Sheet3!$B$6=0,INDIRECT(ADDRESS(ROW(),Sheet3!$B$3+16))="" ),D79/E79,    IF(E79&lt;0,0,    IF(OR( INDIRECT(ADDRESS(8,Sheet3!$B$3+16))="",INDIRECT(ADDRESS(ROW(),Sheet3!$B$3+17))=""),        (INDIRECT(ADDRESS(ROW(),Sheet3!$B$3+16))+B79)*Sheet3!$Q$4,         INDIRECT(ADDRESS(ROW(),Sheet3!$B$3+17))-INDIRECT(ADDRESS(ROW(),Sheet3!$B$3+16))))))))</f>
        <v>0</v>
      </c>
      <c r="D79" s="39">
        <f ca="1">IF(Sheet3!$B$5="",0,IF(B79="","",IF(E79&lt;1,0,   IF(INDIRECT(ADDRESS(ROW(), Sheet3!$B$3+17))="",        INDIRECT(ADDRESS(ROW(), Sheet3!$B$3+16))*  (1+Sheet3!$Q$4)   +B79*Sheet3!$Q$4,       INDIRECT(ADDRESS(ROW(), Sheet3!$B$3+17))))))</f>
        <v>0</v>
      </c>
      <c r="E79" s="40">
        <f ca="1">IF(AND(Sheet1!L79&lt;0,  Sheet1!$C$21&gt;R79),    IF(OR(Sheet1!$C$21&lt;=R80,  Sheet1!L80=""),       IF(AND(MOD(NOW(),1)&lt;TIME(9,39,0),Sheet1!$C$22=TODAY()),    Sheet1!$C$21-R79,     Sheet1!$C$21-R79-1),               R80-R79-1),    0)</f>
        <v>0</v>
      </c>
      <c r="F79" s="30"/>
      <c r="G79" s="25" t="str">
        <f>IF(LEFT(Sheet1!K80,2)="0x",Sheet1!K79,IF(AND(Sheet1!L79="",Sheet1!L78=""),"",G78))</f>
        <v/>
      </c>
      <c r="H79" s="81"/>
      <c r="I79" s="43" t="str">
        <f t="shared" si="7"/>
        <v/>
      </c>
      <c r="J79" s="29" t="str">
        <f t="shared" si="6"/>
        <v/>
      </c>
      <c r="K79" s="24" t="str">
        <f>IF(Sheet1!L79="","",IF(Sheet1!L79&gt;0,ROW(),""))</f>
        <v/>
      </c>
      <c r="L79" s="24" t="str">
        <f t="shared" ca="1" si="8"/>
        <v/>
      </c>
      <c r="M79" s="47" t="str">
        <f t="shared" ca="1" si="10"/>
        <v/>
      </c>
      <c r="N79" s="48" t="str">
        <f>IF(LEFT(Sheet1!K79,2)="0x",Sheet1!K79,IF(AND(Sheet1!L79="",Sheet1!L78=""),"",N78))</f>
        <v/>
      </c>
      <c r="O79" s="46">
        <f>IF(Sheet1!L79="",0,IF(Sheet1!O79&lt;TIME(7,39,0)+Sheet1!$E$3/24,1,0))</f>
        <v>0</v>
      </c>
      <c r="P79" s="46" t="str">
        <f ca="1">IF(AND(Sheet1!L79&lt;0, Sheet1!$C$21&gt;R79,OR(Sheet1!$C$21&lt;=R80,Sheet1!L80="")),   -1*Sheet1!L79,"")</f>
        <v/>
      </c>
    </row>
    <row r="80" spans="1:16" ht="15.75" x14ac:dyDescent="0.25">
      <c r="A80" s="456" t="str">
        <f>IF(AND(R80&lt;&gt;"",R79&lt;&gt;""),(-Sheet1!L80/Sheet1!L79)^(360/(R80-R79-1))-1,"")</f>
        <v/>
      </c>
      <c r="B80" s="41" t="str">
        <f ca="1">IF(AND(Sheet1!L80&lt;0, Sheet1!$C$21&gt;R80+1,OR(Sheet1!$C$21&lt;=R81,Sheet1!L81="")),   -1*Sheet1!L80,"")</f>
        <v/>
      </c>
      <c r="C80" s="42">
        <f ca="1">IF(Sheet3!$B$5="",0,    IF(E80&lt;1,0,  IF(B80="","",     IF(OR(Sheet3!$B$6=0,INDIRECT(ADDRESS(ROW(),Sheet3!$B$3+16))="" ),D80/E80,    IF(E80&lt;0,0,    IF(OR( INDIRECT(ADDRESS(8,Sheet3!$B$3+16))="",INDIRECT(ADDRESS(ROW(),Sheet3!$B$3+17))=""),        (INDIRECT(ADDRESS(ROW(),Sheet3!$B$3+16))+B80)*Sheet3!$Q$4,         INDIRECT(ADDRESS(ROW(),Sheet3!$B$3+17))-INDIRECT(ADDRESS(ROW(),Sheet3!$B$3+16))))))))</f>
        <v>0</v>
      </c>
      <c r="D80" s="39">
        <f ca="1">IF(Sheet3!$B$5="",0,IF(B80="","",IF(E80&lt;1,0,   IF(INDIRECT(ADDRESS(ROW(), Sheet3!$B$3+17))="",        INDIRECT(ADDRESS(ROW(), Sheet3!$B$3+16))*  (1+Sheet3!$Q$4)   +B80*Sheet3!$Q$4,       INDIRECT(ADDRESS(ROW(), Sheet3!$B$3+17))))))</f>
        <v>0</v>
      </c>
      <c r="E80" s="40">
        <f ca="1">IF(AND(Sheet1!L80&lt;0,  Sheet1!$C$21&gt;R80),    IF(OR(Sheet1!$C$21&lt;=R81,  Sheet1!L81=""),       IF(AND(MOD(NOW(),1)&lt;TIME(9,39,0),Sheet1!$C$22=TODAY()),    Sheet1!$C$21-R80,     Sheet1!$C$21-R80-1),               R81-R80-1),    0)</f>
        <v>0</v>
      </c>
      <c r="F80" s="30"/>
      <c r="G80" s="25" t="str">
        <f>IF(LEFT(Sheet1!K81,2)="0x",Sheet1!K80,IF(AND(Sheet1!L80="",Sheet1!L79=""),"",G79))</f>
        <v/>
      </c>
      <c r="H80" s="81"/>
      <c r="I80" s="43" t="str">
        <f t="shared" si="7"/>
        <v/>
      </c>
      <c r="J80" s="29" t="str">
        <f t="shared" si="6"/>
        <v/>
      </c>
      <c r="K80" s="24" t="str">
        <f>IF(Sheet1!L80="","",IF(Sheet1!L80&gt;0,ROW(),""))</f>
        <v/>
      </c>
      <c r="L80" s="24" t="str">
        <f t="shared" ca="1" si="8"/>
        <v/>
      </c>
      <c r="M80" s="47" t="str">
        <f t="shared" ca="1" si="10"/>
        <v/>
      </c>
      <c r="N80" s="48" t="str">
        <f>IF(LEFT(Sheet1!K80,2)="0x",Sheet1!K80,IF(AND(Sheet1!L80="",Sheet1!L79=""),"",N79))</f>
        <v/>
      </c>
      <c r="O80" s="46">
        <f>IF(Sheet1!L80="",0,IF(Sheet1!O80&lt;TIME(7,39,0)+Sheet1!$E$3/24,1,0))</f>
        <v>0</v>
      </c>
      <c r="P80" s="46" t="str">
        <f ca="1">IF(AND(Sheet1!L80&lt;0, Sheet1!$C$21&gt;R80,OR(Sheet1!$C$21&lt;=R81,Sheet1!L81="")),   -1*Sheet1!L80,"")</f>
        <v/>
      </c>
    </row>
    <row r="81" spans="1:16" ht="15.75" x14ac:dyDescent="0.25">
      <c r="A81" s="456" t="str">
        <f>IF(AND(R81&lt;&gt;"",R80&lt;&gt;""),(-Sheet1!L81/Sheet1!L80)^(360/(R81-R80-1))-1,"")</f>
        <v/>
      </c>
      <c r="B81" s="41" t="str">
        <f ca="1">IF(AND(Sheet1!L81&lt;0, Sheet1!$C$21&gt;R81+1,OR(Sheet1!$C$21&lt;=R82,Sheet1!L82="")),   -1*Sheet1!L81,"")</f>
        <v/>
      </c>
      <c r="C81" s="42">
        <f ca="1">IF(Sheet3!$B$5="",0,    IF(E81&lt;1,0,  IF(B81="","",     IF(OR(Sheet3!$B$6=0,INDIRECT(ADDRESS(ROW(),Sheet3!$B$3+16))="" ),D81/E81,    IF(E81&lt;0,0,    IF(OR( INDIRECT(ADDRESS(8,Sheet3!$B$3+16))="",INDIRECT(ADDRESS(ROW(),Sheet3!$B$3+17))=""),        (INDIRECT(ADDRESS(ROW(),Sheet3!$B$3+16))+B81)*Sheet3!$Q$4,         INDIRECT(ADDRESS(ROW(),Sheet3!$B$3+17))-INDIRECT(ADDRESS(ROW(),Sheet3!$B$3+16))))))))</f>
        <v>0</v>
      </c>
      <c r="D81" s="39">
        <f ca="1">IF(Sheet3!$B$5="",0,IF(B81="","",IF(E81&lt;1,0,   IF(INDIRECT(ADDRESS(ROW(), Sheet3!$B$3+17))="",        INDIRECT(ADDRESS(ROW(), Sheet3!$B$3+16))*  (1+Sheet3!$Q$4)   +B81*Sheet3!$Q$4,       INDIRECT(ADDRESS(ROW(), Sheet3!$B$3+17))))))</f>
        <v>0</v>
      </c>
      <c r="E81" s="40">
        <f ca="1">IF(AND(Sheet1!L81&lt;0,  Sheet1!$C$21&gt;R81),    IF(OR(Sheet1!$C$21&lt;=R82,  Sheet1!L82=""),       IF(AND(MOD(NOW(),1)&lt;TIME(9,39,0),Sheet1!$C$22=TODAY()),    Sheet1!$C$21-R81,     Sheet1!$C$21-R81-1),               R82-R81-1),    0)</f>
        <v>0</v>
      </c>
      <c r="F81" s="30"/>
      <c r="G81" s="25" t="str">
        <f>IF(LEFT(Sheet1!K82,2)="0x",Sheet1!K81,IF(AND(Sheet1!L81="",Sheet1!L80=""),"",G80))</f>
        <v/>
      </c>
      <c r="H81" s="81"/>
      <c r="I81" s="43" t="str">
        <f t="shared" si="7"/>
        <v/>
      </c>
      <c r="J81" s="29" t="str">
        <f t="shared" si="6"/>
        <v/>
      </c>
      <c r="K81" s="24" t="str">
        <f>IF(Sheet1!L81="","",IF(Sheet1!L81&gt;0,ROW(),""))</f>
        <v/>
      </c>
      <c r="L81" s="24" t="str">
        <f t="shared" ca="1" si="8"/>
        <v/>
      </c>
      <c r="M81" s="47" t="str">
        <f t="shared" ca="1" si="10"/>
        <v/>
      </c>
      <c r="N81" s="48" t="str">
        <f>IF(LEFT(Sheet1!K81,2)="0x",Sheet1!K81,IF(AND(Sheet1!L81="",Sheet1!L80=""),"",N80))</f>
        <v/>
      </c>
      <c r="O81" s="46">
        <f>IF(Sheet1!L81="",0,IF(Sheet1!O81&lt;TIME(7,39,0)+Sheet1!$E$3/24,1,0))</f>
        <v>0</v>
      </c>
      <c r="P81" s="46" t="str">
        <f ca="1">IF(AND(Sheet1!L81&lt;0, Sheet1!$C$21&gt;R81,OR(Sheet1!$C$21&lt;=R82,Sheet1!L82="")),   -1*Sheet1!L81,"")</f>
        <v/>
      </c>
    </row>
    <row r="82" spans="1:16" ht="15.75" x14ac:dyDescent="0.25">
      <c r="A82" s="456" t="str">
        <f>IF(AND(R82&lt;&gt;"",R81&lt;&gt;""),(-Sheet1!L82/Sheet1!L81)^(360/(R82-R81-1))-1,"")</f>
        <v/>
      </c>
      <c r="B82" s="41" t="str">
        <f ca="1">IF(AND(Sheet1!L82&lt;0, Sheet1!$C$21&gt;R82+1,OR(Sheet1!$C$21&lt;=R83,Sheet1!L83="")),   -1*Sheet1!L82,"")</f>
        <v/>
      </c>
      <c r="C82" s="42">
        <f ca="1">IF(Sheet3!$B$5="",0,    IF(E82&lt;1,0,  IF(B82="","",     IF(OR(Sheet3!$B$6=0,INDIRECT(ADDRESS(ROW(),Sheet3!$B$3+16))="" ),D82/E82,    IF(E82&lt;0,0,    IF(OR( INDIRECT(ADDRESS(8,Sheet3!$B$3+16))="",INDIRECT(ADDRESS(ROW(),Sheet3!$B$3+17))=""),        (INDIRECT(ADDRESS(ROW(),Sheet3!$B$3+16))+B82)*Sheet3!$Q$4,         INDIRECT(ADDRESS(ROW(),Sheet3!$B$3+17))-INDIRECT(ADDRESS(ROW(),Sheet3!$B$3+16))))))))</f>
        <v>0</v>
      </c>
      <c r="D82" s="39">
        <f ca="1">IF(Sheet3!$B$5="",0,IF(B82="","",IF(E82&lt;1,0,   IF(INDIRECT(ADDRESS(ROW(), Sheet3!$B$3+17))="",        INDIRECT(ADDRESS(ROW(), Sheet3!$B$3+16))*  (1+Sheet3!$Q$4)   +B82*Sheet3!$Q$4,       INDIRECT(ADDRESS(ROW(), Sheet3!$B$3+17))))))</f>
        <v>0</v>
      </c>
      <c r="E82" s="40">
        <f ca="1">IF(AND(Sheet1!L82&lt;0,  Sheet1!$C$21&gt;R82),    IF(OR(Sheet1!$C$21&lt;=R83,  Sheet1!L83=""),       IF(AND(MOD(NOW(),1)&lt;TIME(9,39,0),Sheet1!$C$22=TODAY()),    Sheet1!$C$21-R82,     Sheet1!$C$21-R82-1),               R83-R82-1),    0)</f>
        <v>0</v>
      </c>
      <c r="F82" s="30"/>
      <c r="G82" s="25" t="str">
        <f>IF(LEFT(Sheet1!K83,2)="0x",Sheet1!K82,IF(AND(Sheet1!L82="",Sheet1!L81=""),"",G81))</f>
        <v/>
      </c>
      <c r="H82" s="81"/>
      <c r="I82" s="43" t="str">
        <f t="shared" si="7"/>
        <v/>
      </c>
      <c r="J82" s="29" t="str">
        <f t="shared" si="6"/>
        <v/>
      </c>
      <c r="K82" s="24" t="str">
        <f>IF(Sheet1!L82="","",IF(Sheet1!L82&gt;0,ROW(),""))</f>
        <v/>
      </c>
      <c r="L82" s="24" t="str">
        <f t="shared" ca="1" si="8"/>
        <v/>
      </c>
      <c r="M82" s="47" t="str">
        <f t="shared" ca="1" si="10"/>
        <v/>
      </c>
      <c r="N82" s="48" t="str">
        <f>IF(LEFT(Sheet1!K82,2)="0x",Sheet1!K82,IF(AND(Sheet1!L82="",Sheet1!L81=""),"",N81))</f>
        <v/>
      </c>
      <c r="O82" s="46">
        <f>IF(Sheet1!L82="",0,IF(Sheet1!O82&lt;TIME(7,39,0)+Sheet1!$E$3/24,1,0))</f>
        <v>0</v>
      </c>
      <c r="P82" s="46" t="str">
        <f ca="1">IF(AND(Sheet1!L82&lt;0, Sheet1!$C$21&gt;R82,OR(Sheet1!$C$21&lt;=R83,Sheet1!L83="")),   -1*Sheet1!L82,"")</f>
        <v/>
      </c>
    </row>
    <row r="83" spans="1:16" ht="15.75" x14ac:dyDescent="0.25">
      <c r="A83" s="456" t="str">
        <f>IF(AND(R83&lt;&gt;"",R82&lt;&gt;""),(-Sheet1!L83/Sheet1!L82)^(360/(R83-R82-1))-1,"")</f>
        <v/>
      </c>
      <c r="B83" s="41" t="str">
        <f ca="1">IF(AND(Sheet1!L83&lt;0, Sheet1!$C$21&gt;R83+1,OR(Sheet1!$C$21&lt;=R84,Sheet1!L84="")),   -1*Sheet1!L83,"")</f>
        <v/>
      </c>
      <c r="C83" s="42">
        <f ca="1">IF(Sheet3!$B$5="",0,    IF(E83&lt;1,0,  IF(B83="","",     IF(OR(Sheet3!$B$6=0,INDIRECT(ADDRESS(ROW(),Sheet3!$B$3+16))="" ),D83/E83,    IF(E83&lt;0,0,    IF(OR( INDIRECT(ADDRESS(8,Sheet3!$B$3+16))="",INDIRECT(ADDRESS(ROW(),Sheet3!$B$3+17))=""),        (INDIRECT(ADDRESS(ROW(),Sheet3!$B$3+16))+B83)*Sheet3!$Q$4,         INDIRECT(ADDRESS(ROW(),Sheet3!$B$3+17))-INDIRECT(ADDRESS(ROW(),Sheet3!$B$3+16))))))))</f>
        <v>0</v>
      </c>
      <c r="D83" s="39">
        <f ca="1">IF(Sheet3!$B$5="",0,IF(B83="","",IF(E83&lt;1,0,   IF(INDIRECT(ADDRESS(ROW(), Sheet3!$B$3+17))="",        INDIRECT(ADDRESS(ROW(), Sheet3!$B$3+16))*  (1+Sheet3!$Q$4)   +B83*Sheet3!$Q$4,       INDIRECT(ADDRESS(ROW(), Sheet3!$B$3+17))))))</f>
        <v>0</v>
      </c>
      <c r="E83" s="40">
        <f ca="1">IF(AND(Sheet1!L83&lt;0,  Sheet1!$C$21&gt;R83),    IF(OR(Sheet1!$C$21&lt;=R84,  Sheet1!L84=""),       IF(AND(MOD(NOW(),1)&lt;TIME(9,39,0),Sheet1!$C$22=TODAY()),    Sheet1!$C$21-R83,     Sheet1!$C$21-R83-1),               R84-R83-1),    0)</f>
        <v>0</v>
      </c>
      <c r="F83" s="30"/>
      <c r="G83" s="25" t="str">
        <f>IF(LEFT(Sheet1!K84,2)="0x",Sheet1!K83,IF(AND(Sheet1!L83="",Sheet1!L82=""),"",G82))</f>
        <v/>
      </c>
      <c r="H83" s="87"/>
      <c r="I83" s="43" t="str">
        <f t="shared" si="7"/>
        <v/>
      </c>
      <c r="J83" s="29" t="str">
        <f t="shared" si="6"/>
        <v/>
      </c>
      <c r="K83" s="24" t="str">
        <f>IF(Sheet1!L83="","",IF(Sheet1!L83&gt;0,ROW(),""))</f>
        <v/>
      </c>
      <c r="L83" s="24" t="str">
        <f t="shared" ref="L83:L141" ca="1" si="11">IF(B83&lt;&gt;"",ROW(),"")</f>
        <v/>
      </c>
      <c r="M83" s="47" t="str">
        <f t="shared" ca="1" si="10"/>
        <v/>
      </c>
      <c r="N83" s="48" t="str">
        <f>IF(LEFT(Sheet1!K83,2)="0x",Sheet1!K83,IF(AND(Sheet1!L83="",Sheet1!L82=""),"",N82))</f>
        <v/>
      </c>
      <c r="O83" s="46">
        <f>IF(Sheet1!L83="",0,IF(Sheet1!O83&lt;TIME(7,39,0)+Sheet1!$E$3/24,1,0))</f>
        <v>0</v>
      </c>
      <c r="P83" s="46" t="str">
        <f ca="1">IF(AND(Sheet1!L83&lt;0, Sheet1!$C$21&gt;R83,OR(Sheet1!$C$21&lt;=R84,Sheet1!L84="")),   -1*Sheet1!L83,"")</f>
        <v/>
      </c>
    </row>
    <row r="84" spans="1:16" ht="15.75" x14ac:dyDescent="0.25">
      <c r="A84" s="456" t="str">
        <f>IF(AND(R84&lt;&gt;"",R83&lt;&gt;""),(-Sheet1!L84/Sheet1!L83)^(360/(R84-R83-1))-1,"")</f>
        <v/>
      </c>
      <c r="B84" s="41" t="str">
        <f ca="1">IF(AND(Sheet1!L84&lt;0, Sheet1!$C$21&gt;R84+1,OR(Sheet1!$C$21&lt;=R85,Sheet1!L85="")),   -1*Sheet1!L84,"")</f>
        <v/>
      </c>
      <c r="C84" s="42">
        <f ca="1">IF(Sheet3!$B$5="",0,    IF(E84&lt;1,0,  IF(B84="","",     IF(OR(Sheet3!$B$6=0,INDIRECT(ADDRESS(ROW(),Sheet3!$B$3+16))="" ),D84/E84,    IF(E84&lt;0,0,    IF(OR( INDIRECT(ADDRESS(8,Sheet3!$B$3+16))="",INDIRECT(ADDRESS(ROW(),Sheet3!$B$3+17))=""),        (INDIRECT(ADDRESS(ROW(),Sheet3!$B$3+16))+B84)*Sheet3!$Q$4,         INDIRECT(ADDRESS(ROW(),Sheet3!$B$3+17))-INDIRECT(ADDRESS(ROW(),Sheet3!$B$3+16))))))))</f>
        <v>0</v>
      </c>
      <c r="D84" s="39">
        <f ca="1">IF(Sheet3!$B$5="",0,IF(B84="","",IF(E84&lt;1,0,   IF(INDIRECT(ADDRESS(ROW(), Sheet3!$B$3+17))="",        INDIRECT(ADDRESS(ROW(), Sheet3!$B$3+16))*  (1+Sheet3!$Q$4)   +B84*Sheet3!$Q$4,       INDIRECT(ADDRESS(ROW(), Sheet3!$B$3+17))))))</f>
        <v>0</v>
      </c>
      <c r="E84" s="40">
        <f ca="1">IF(AND(Sheet1!L84&lt;0,  Sheet1!$C$21&gt;R84),    IF(OR(Sheet1!$C$21&lt;=R85,  Sheet1!L85=""),       IF(AND(MOD(NOW(),1)&lt;TIME(9,39,0),Sheet1!$C$22=TODAY()),    Sheet1!$C$21-R84,     Sheet1!$C$21-R84-1),               R85-R84-1),    0)</f>
        <v>0</v>
      </c>
      <c r="F84" s="30"/>
      <c r="G84" s="25" t="str">
        <f>IF(LEFT(Sheet1!K85,2)="0x",Sheet1!K84,IF(AND(Sheet1!L84="",Sheet1!L83=""),"",G83))</f>
        <v/>
      </c>
      <c r="H84" s="88"/>
      <c r="I84" s="43" t="str">
        <f t="shared" si="7"/>
        <v/>
      </c>
      <c r="J84" s="29" t="str">
        <f t="shared" si="6"/>
        <v/>
      </c>
      <c r="K84" s="24" t="str">
        <f>IF(Sheet1!L84="","",IF(Sheet1!L84&gt;0,ROW(),""))</f>
        <v/>
      </c>
      <c r="L84" s="24" t="str">
        <f t="shared" ca="1" si="11"/>
        <v/>
      </c>
      <c r="M84" s="47" t="str">
        <f t="shared" ca="1" si="10"/>
        <v/>
      </c>
      <c r="N84" s="48" t="str">
        <f>IF(LEFT(Sheet1!K84,2)="0x",Sheet1!K84,IF(AND(Sheet1!L84="",Sheet1!L83=""),"",N83))</f>
        <v/>
      </c>
      <c r="O84" s="46">
        <f>IF(Sheet1!L84="",0,IF(Sheet1!O84&lt;TIME(7,39,0)+Sheet1!$E$3/24,1,0))</f>
        <v>0</v>
      </c>
      <c r="P84" s="46" t="str">
        <f ca="1">IF(AND(Sheet1!L84&lt;0, Sheet1!$C$21&gt;R84,OR(Sheet1!$C$21&lt;=R85,Sheet1!L85="")),   -1*Sheet1!L84,"")</f>
        <v/>
      </c>
    </row>
    <row r="85" spans="1:16" ht="15.75" x14ac:dyDescent="0.25">
      <c r="A85" s="456" t="str">
        <f>IF(AND(R85&lt;&gt;"",R84&lt;&gt;""),(-Sheet1!L85/Sheet1!L84)^(360/(R85-R84-1))-1,"")</f>
        <v/>
      </c>
      <c r="B85" s="41" t="str">
        <f ca="1">IF(AND(Sheet1!L85&lt;0, Sheet1!$C$21&gt;R85+1,OR(Sheet1!$C$21&lt;=R86,Sheet1!L86="")),   -1*Sheet1!L85,"")</f>
        <v/>
      </c>
      <c r="C85" s="42">
        <f ca="1">IF(Sheet3!$B$5="",0,    IF(E85&lt;1,0,  IF(B85="","",     IF(OR(Sheet3!$B$6=0,INDIRECT(ADDRESS(ROW(),Sheet3!$B$3+16))="" ),D85/E85,    IF(E85&lt;0,0,    IF(OR( INDIRECT(ADDRESS(8,Sheet3!$B$3+16))="",INDIRECT(ADDRESS(ROW(),Sheet3!$B$3+17))=""),        (INDIRECT(ADDRESS(ROW(),Sheet3!$B$3+16))+B85)*Sheet3!$Q$4,         INDIRECT(ADDRESS(ROW(),Sheet3!$B$3+17))-INDIRECT(ADDRESS(ROW(),Sheet3!$B$3+16))))))))</f>
        <v>0</v>
      </c>
      <c r="D85" s="39">
        <f ca="1">IF(Sheet3!$B$5="",0,IF(B85="","",IF(E85&lt;1,0,   IF(INDIRECT(ADDRESS(ROW(), Sheet3!$B$3+17))="",        INDIRECT(ADDRESS(ROW(), Sheet3!$B$3+16))*  (1+Sheet3!$Q$4)   +B85*Sheet3!$Q$4,       INDIRECT(ADDRESS(ROW(), Sheet3!$B$3+17))))))</f>
        <v>0</v>
      </c>
      <c r="E85" s="40">
        <f ca="1">IF(AND(Sheet1!L85&lt;0,  Sheet1!$C$21&gt;R85),    IF(OR(Sheet1!$C$21&lt;=R86,  Sheet1!L86=""),       IF(AND(MOD(NOW(),1)&lt;TIME(9,39,0),Sheet1!$C$22=TODAY()),    Sheet1!$C$21-R85,     Sheet1!$C$21-R85-1),               R86-R85-1),    0)</f>
        <v>0</v>
      </c>
      <c r="F85" s="30"/>
      <c r="G85" s="25" t="str">
        <f>IF(LEFT(Sheet1!K86,2)="0x",Sheet1!K85,IF(AND(Sheet1!L85="",Sheet1!L84=""),"",G84))</f>
        <v/>
      </c>
      <c r="H85" s="89"/>
      <c r="I85" s="43" t="str">
        <f t="shared" si="7"/>
        <v/>
      </c>
      <c r="J85" s="29" t="str">
        <f t="shared" si="6"/>
        <v/>
      </c>
      <c r="K85" s="24" t="str">
        <f>IF(Sheet1!L85="","",IF(Sheet1!L85&gt;0,ROW(),""))</f>
        <v/>
      </c>
      <c r="L85" s="24" t="str">
        <f t="shared" ca="1" si="11"/>
        <v/>
      </c>
      <c r="M85" s="47" t="str">
        <f t="shared" ca="1" si="10"/>
        <v/>
      </c>
      <c r="N85" s="48" t="str">
        <f>IF(LEFT(Sheet1!K85,2)="0x",Sheet1!K85,IF(AND(Sheet1!L85="",Sheet1!L84=""),"",N84))</f>
        <v/>
      </c>
      <c r="O85" s="46">
        <f>IF(Sheet1!L85="",0,IF(Sheet1!O85&lt;TIME(7,39,0)+Sheet1!$E$3/24,1,0))</f>
        <v>0</v>
      </c>
      <c r="P85" s="46" t="str">
        <f ca="1">IF(AND(Sheet1!L85&lt;0, Sheet1!$C$21&gt;R85,OR(Sheet1!$C$21&lt;=R86,Sheet1!L86="")),   -1*Sheet1!L85,"")</f>
        <v/>
      </c>
    </row>
    <row r="86" spans="1:16" ht="15.75" x14ac:dyDescent="0.25">
      <c r="A86" s="456" t="str">
        <f>IF(AND(R86&lt;&gt;"",R85&lt;&gt;""),(-Sheet1!L86/Sheet1!L85)^(360/(R86-R85-1))-1,"")</f>
        <v/>
      </c>
      <c r="B86" s="41" t="str">
        <f ca="1">IF(AND(Sheet1!L86&lt;0, Sheet1!$C$21&gt;R86+1,OR(Sheet1!$C$21&lt;=R87,Sheet1!L87="")),   -1*Sheet1!L86,"")</f>
        <v/>
      </c>
      <c r="C86" s="42">
        <f ca="1">IF(Sheet3!$B$5="",0,    IF(E86&lt;1,0,  IF(B86="","",     IF(OR(Sheet3!$B$6=0,INDIRECT(ADDRESS(ROW(),Sheet3!$B$3+16))="" ),D86/E86,    IF(E86&lt;0,0,    IF(OR( INDIRECT(ADDRESS(8,Sheet3!$B$3+16))="",INDIRECT(ADDRESS(ROW(),Sheet3!$B$3+17))=""),        (INDIRECT(ADDRESS(ROW(),Sheet3!$B$3+16))+B86)*Sheet3!$Q$4,         INDIRECT(ADDRESS(ROW(),Sheet3!$B$3+17))-INDIRECT(ADDRESS(ROW(),Sheet3!$B$3+16))))))))</f>
        <v>0</v>
      </c>
      <c r="D86" s="39">
        <f ca="1">IF(Sheet3!$B$5="",0,IF(B86="","",IF(E86&lt;1,0,   IF(INDIRECT(ADDRESS(ROW(), Sheet3!$B$3+17))="",        INDIRECT(ADDRESS(ROW(), Sheet3!$B$3+16))*  (1+Sheet3!$Q$4)   +B86*Sheet3!$Q$4,       INDIRECT(ADDRESS(ROW(), Sheet3!$B$3+17))))))</f>
        <v>0</v>
      </c>
      <c r="E86" s="40">
        <f ca="1">IF(AND(Sheet1!L86&lt;0,  Sheet1!$C$21&gt;R86),    IF(OR(Sheet1!$C$21&lt;=R87,  Sheet1!L87=""),       IF(AND(MOD(NOW(),1)&lt;TIME(9,39,0),Sheet1!$C$22=TODAY()),    Sheet1!$C$21-R86,     Sheet1!$C$21-R86-1),               R87-R86-1),    0)</f>
        <v>0</v>
      </c>
      <c r="F86" s="30"/>
      <c r="G86" s="25" t="str">
        <f>IF(LEFT(Sheet1!K87,2)="0x",Sheet1!K86,IF(AND(Sheet1!L86="",Sheet1!L85=""),"",G85))</f>
        <v/>
      </c>
      <c r="H86" s="86"/>
      <c r="I86" s="43" t="str">
        <f t="shared" si="7"/>
        <v/>
      </c>
      <c r="J86" s="29" t="str">
        <f t="shared" si="6"/>
        <v/>
      </c>
      <c r="K86" s="24" t="str">
        <f>IF(Sheet1!L86="","",IF(Sheet1!L86&gt;0,ROW(),""))</f>
        <v/>
      </c>
      <c r="L86" s="24" t="str">
        <f t="shared" ca="1" si="11"/>
        <v/>
      </c>
      <c r="M86" s="47" t="str">
        <f t="shared" ca="1" si="10"/>
        <v/>
      </c>
      <c r="N86" s="48" t="str">
        <f>IF(LEFT(Sheet1!K86,2)="0x",Sheet1!K86,IF(AND(Sheet1!L86="",Sheet1!L85=""),"",N85))</f>
        <v/>
      </c>
      <c r="O86" s="46">
        <f>IF(Sheet1!L86="",0,IF(Sheet1!O86&lt;TIME(7,39,0)+Sheet1!$E$3/24,1,0))</f>
        <v>0</v>
      </c>
      <c r="P86" s="46" t="str">
        <f ca="1">IF(AND(Sheet1!L86&lt;0, Sheet1!$C$21&gt;R86,OR(Sheet1!$C$21&lt;=R87,Sheet1!L87="")),   -1*Sheet1!L86,"")</f>
        <v/>
      </c>
    </row>
    <row r="87" spans="1:16" ht="15.75" x14ac:dyDescent="0.25">
      <c r="A87" s="456" t="str">
        <f>IF(AND(R87&lt;&gt;"",R86&lt;&gt;""),(-Sheet1!L87/Sheet1!L86)^(360/(R87-R86-1))-1,"")</f>
        <v/>
      </c>
      <c r="B87" s="41" t="str">
        <f ca="1">IF(AND(Sheet1!L87&lt;0, Sheet1!$C$21&gt;R87+1,OR(Sheet1!$C$21&lt;=R88,Sheet1!L88="")),   -1*Sheet1!L87,"")</f>
        <v/>
      </c>
      <c r="C87" s="42">
        <f ca="1">IF(Sheet3!$B$5="",0,    IF(E87&lt;1,0,  IF(B87="","",     IF(OR(Sheet3!$B$6=0,INDIRECT(ADDRESS(ROW(),Sheet3!$B$3+16))="" ),D87/E87,    IF(E87&lt;0,0,    IF(OR( INDIRECT(ADDRESS(8,Sheet3!$B$3+16))="",INDIRECT(ADDRESS(ROW(),Sheet3!$B$3+17))=""),        (INDIRECT(ADDRESS(ROW(),Sheet3!$B$3+16))+B87)*Sheet3!$Q$4,         INDIRECT(ADDRESS(ROW(),Sheet3!$B$3+17))-INDIRECT(ADDRESS(ROW(),Sheet3!$B$3+16))))))))</f>
        <v>0</v>
      </c>
      <c r="D87" s="39">
        <f ca="1">IF(Sheet3!$B$5="",0,IF(B87="","",IF(E87&lt;1,0,   IF(INDIRECT(ADDRESS(ROW(), Sheet3!$B$3+17))="",        INDIRECT(ADDRESS(ROW(), Sheet3!$B$3+16))*  (1+Sheet3!$Q$4)   +B87*Sheet3!$Q$4,       INDIRECT(ADDRESS(ROW(), Sheet3!$B$3+17))))))</f>
        <v>0</v>
      </c>
      <c r="E87" s="40">
        <f ca="1">IF(AND(Sheet1!L87&lt;0,  Sheet1!$C$21&gt;R87),    IF(OR(Sheet1!$C$21&lt;=R88,  Sheet1!L88=""),       IF(AND(MOD(NOW(),1)&lt;TIME(9,39,0),Sheet1!$C$22=TODAY()),    Sheet1!$C$21-R87,     Sheet1!$C$21-R87-1),               R88-R87-1),    0)</f>
        <v>0</v>
      </c>
      <c r="F87" s="30"/>
      <c r="G87" s="25" t="str">
        <f>IF(LEFT(Sheet1!K88,2)="0x",Sheet1!K87,IF(AND(Sheet1!L87="",Sheet1!L86=""),"",G86))</f>
        <v/>
      </c>
      <c r="H87" s="81"/>
      <c r="I87" s="43" t="str">
        <f t="shared" si="7"/>
        <v/>
      </c>
      <c r="J87" s="29" t="str">
        <f t="shared" si="6"/>
        <v/>
      </c>
      <c r="K87" s="24" t="str">
        <f>IF(Sheet1!L87="","",IF(Sheet1!L87&gt;0,ROW(),""))</f>
        <v/>
      </c>
      <c r="L87" s="24" t="str">
        <f t="shared" ca="1" si="11"/>
        <v/>
      </c>
      <c r="M87" s="47" t="str">
        <f t="shared" ca="1" si="10"/>
        <v/>
      </c>
      <c r="N87" s="48" t="str">
        <f>IF(LEFT(Sheet1!K87,2)="0x",Sheet1!K87,IF(AND(Sheet1!L87="",Sheet1!L86=""),"",N86))</f>
        <v/>
      </c>
      <c r="O87" s="46">
        <f>IF(Sheet1!L87="",0,IF(Sheet1!O87&lt;TIME(7,39,0)+Sheet1!$E$3/24,1,0))</f>
        <v>0</v>
      </c>
      <c r="P87" s="46" t="str">
        <f ca="1">IF(AND(Sheet1!L87&lt;0, Sheet1!$C$21&gt;R87,OR(Sheet1!$C$21&lt;=R88,Sheet1!L88="")),   -1*Sheet1!L87,"")</f>
        <v/>
      </c>
    </row>
    <row r="88" spans="1:16" ht="15.75" x14ac:dyDescent="0.25">
      <c r="A88" s="456" t="str">
        <f>IF(AND(R88&lt;&gt;"",R87&lt;&gt;""),(-Sheet1!L88/Sheet1!L87)^(360/(R88-R87-1))-1,"")</f>
        <v/>
      </c>
      <c r="B88" s="41" t="str">
        <f ca="1">IF(AND(Sheet1!L88&lt;0, Sheet1!$C$21&gt;R88+1,OR(Sheet1!$C$21&lt;=R89,Sheet1!L89="")),   -1*Sheet1!L88,"")</f>
        <v/>
      </c>
      <c r="C88" s="42">
        <f ca="1">IF(Sheet3!$B$5="",0,    IF(E88&lt;1,0,  IF(B88="","",     IF(OR(Sheet3!$B$6=0,INDIRECT(ADDRESS(ROW(),Sheet3!$B$3+16))="" ),D88/E88,    IF(E88&lt;0,0,    IF(OR( INDIRECT(ADDRESS(8,Sheet3!$B$3+16))="",INDIRECT(ADDRESS(ROW(),Sheet3!$B$3+17))=""),        (INDIRECT(ADDRESS(ROW(),Sheet3!$B$3+16))+B88)*Sheet3!$Q$4,         INDIRECT(ADDRESS(ROW(),Sheet3!$B$3+17))-INDIRECT(ADDRESS(ROW(),Sheet3!$B$3+16))))))))</f>
        <v>0</v>
      </c>
      <c r="D88" s="39">
        <f ca="1">IF(Sheet3!$B$5="",0,IF(B88="","",IF(E88&lt;1,0,   IF(INDIRECT(ADDRESS(ROW(), Sheet3!$B$3+17))="",        INDIRECT(ADDRESS(ROW(), Sheet3!$B$3+16))*  (1+Sheet3!$Q$4)   +B88*Sheet3!$Q$4,       INDIRECT(ADDRESS(ROW(), Sheet3!$B$3+17))))))</f>
        <v>0</v>
      </c>
      <c r="E88" s="40">
        <f ca="1">IF(AND(Sheet1!L88&lt;0,  Sheet1!$C$21&gt;R88),    IF(OR(Sheet1!$C$21&lt;=R89,  Sheet1!L89=""),       IF(AND(MOD(NOW(),1)&lt;TIME(9,39,0),Sheet1!$C$22=TODAY()),    Sheet1!$C$21-R88,     Sheet1!$C$21-R88-1),               R89-R88-1),    0)</f>
        <v>0</v>
      </c>
      <c r="F88" s="30"/>
      <c r="G88" s="25" t="str">
        <f>IF(LEFT(Sheet1!K89,2)="0x",Sheet1!K88,IF(AND(Sheet1!L88="",Sheet1!L87=""),"",G87))</f>
        <v/>
      </c>
      <c r="H88" s="81"/>
      <c r="I88" s="43" t="str">
        <f t="shared" si="7"/>
        <v/>
      </c>
      <c r="J88" s="29" t="str">
        <f t="shared" si="6"/>
        <v/>
      </c>
      <c r="K88" s="24" t="str">
        <f>IF(Sheet1!L88="","",IF(Sheet1!L88&gt;0,ROW(),""))</f>
        <v/>
      </c>
      <c r="L88" s="24" t="str">
        <f t="shared" ca="1" si="11"/>
        <v/>
      </c>
      <c r="M88" s="47" t="str">
        <f t="shared" ca="1" si="10"/>
        <v/>
      </c>
      <c r="N88" s="48" t="str">
        <f>IF(LEFT(Sheet1!K88,2)="0x",Sheet1!K88,IF(AND(Sheet1!L88="",Sheet1!L87=""),"",N87))</f>
        <v/>
      </c>
      <c r="O88" s="46">
        <f>IF(Sheet1!L88="",0,IF(Sheet1!O88&lt;TIME(7,39,0)+Sheet1!$E$3/24,1,0))</f>
        <v>0</v>
      </c>
      <c r="P88" s="46" t="str">
        <f ca="1">IF(AND(Sheet1!L88&lt;0, Sheet1!$C$21&gt;R88,OR(Sheet1!$C$21&lt;=R89,Sheet1!L89="")),   -1*Sheet1!L88,"")</f>
        <v/>
      </c>
    </row>
    <row r="89" spans="1:16" ht="15.75" x14ac:dyDescent="0.25">
      <c r="A89" s="456" t="str">
        <f>IF(AND(R89&lt;&gt;"",R88&lt;&gt;""),(-Sheet1!L89/Sheet1!L88)^(360/(R89-R88-1))-1,"")</f>
        <v/>
      </c>
      <c r="B89" s="41" t="str">
        <f ca="1">IF(AND(Sheet1!L89&lt;0, Sheet1!$C$21&gt;R89+1,OR(Sheet1!$C$21&lt;=R90,Sheet1!L90="")),   -1*Sheet1!L89,"")</f>
        <v/>
      </c>
      <c r="C89" s="42">
        <f ca="1">IF(Sheet3!$B$5="",0,    IF(E89&lt;1,0,  IF(B89="","",     IF(OR(Sheet3!$B$6=0,INDIRECT(ADDRESS(ROW(),Sheet3!$B$3+16))="" ),D89/E89,    IF(E89&lt;0,0,    IF(OR( INDIRECT(ADDRESS(8,Sheet3!$B$3+16))="",INDIRECT(ADDRESS(ROW(),Sheet3!$B$3+17))=""),        (INDIRECT(ADDRESS(ROW(),Sheet3!$B$3+16))+B89)*Sheet3!$Q$4,         INDIRECT(ADDRESS(ROW(),Sheet3!$B$3+17))-INDIRECT(ADDRESS(ROW(),Sheet3!$B$3+16))))))))</f>
        <v>0</v>
      </c>
      <c r="D89" s="39">
        <f ca="1">IF(Sheet3!$B$5="",0,IF(B89="","",IF(E89&lt;1,0,   IF(INDIRECT(ADDRESS(ROW(), Sheet3!$B$3+17))="",        INDIRECT(ADDRESS(ROW(), Sheet3!$B$3+16))*  (1+Sheet3!$Q$4)   +B89*Sheet3!$Q$4,       INDIRECT(ADDRESS(ROW(), Sheet3!$B$3+17))))))</f>
        <v>0</v>
      </c>
      <c r="E89" s="40">
        <f ca="1">IF(AND(Sheet1!L89&lt;0,  Sheet1!$C$21&gt;R89),    IF(OR(Sheet1!$C$21&lt;=R90,  Sheet1!L90=""),       IF(AND(MOD(NOW(),1)&lt;TIME(9,39,0),Sheet1!$C$22=TODAY()),    Sheet1!$C$21-R89,     Sheet1!$C$21-R89-1),               R90-R89-1),    0)</f>
        <v>0</v>
      </c>
      <c r="F89" s="30"/>
      <c r="G89" s="25" t="str">
        <f>IF(LEFT(Sheet1!K90,2)="0x",Sheet1!K89,IF(AND(Sheet1!L89="",Sheet1!L88=""),"",G88))</f>
        <v/>
      </c>
      <c r="H89" s="81"/>
      <c r="I89" s="43" t="str">
        <f t="shared" si="7"/>
        <v/>
      </c>
      <c r="J89" s="29" t="str">
        <f t="shared" ref="J89:J152" si="12">IF(I89="","",INDEX(G:G,I89))</f>
        <v/>
      </c>
      <c r="K89" s="24" t="str">
        <f>IF(Sheet1!L89="","",IF(Sheet1!L89&gt;0,ROW(),""))</f>
        <v/>
      </c>
      <c r="L89" s="24" t="str">
        <f t="shared" ca="1" si="11"/>
        <v/>
      </c>
      <c r="M89" s="47" t="str">
        <f t="shared" ca="1" si="10"/>
        <v/>
      </c>
      <c r="N89" s="48" t="str">
        <f>IF(LEFT(Sheet1!K89,2)="0x",Sheet1!K89,IF(AND(Sheet1!L89="",Sheet1!L88=""),"",N88))</f>
        <v/>
      </c>
      <c r="O89" s="46">
        <f>IF(Sheet1!L89="",0,IF(Sheet1!O89&lt;TIME(7,39,0)+Sheet1!$E$3/24,1,0))</f>
        <v>0</v>
      </c>
      <c r="P89" s="46" t="str">
        <f ca="1">IF(AND(Sheet1!L89&lt;0, Sheet1!$C$21&gt;R89,OR(Sheet1!$C$21&lt;=R90,Sheet1!L90="")),   -1*Sheet1!L89,"")</f>
        <v/>
      </c>
    </row>
    <row r="90" spans="1:16" ht="15.75" x14ac:dyDescent="0.25">
      <c r="A90" s="456" t="str">
        <f>IF(AND(R90&lt;&gt;"",R89&lt;&gt;""),(-Sheet1!L90/Sheet1!L89)^(360/(R90-R89-1))-1,"")</f>
        <v/>
      </c>
      <c r="B90" s="41" t="str">
        <f ca="1">IF(AND(Sheet1!L90&lt;0, Sheet1!$C$21&gt;R90+1,OR(Sheet1!$C$21&lt;=R91,Sheet1!L91="")),   -1*Sheet1!L90,"")</f>
        <v/>
      </c>
      <c r="C90" s="42">
        <f ca="1">IF(Sheet3!$B$5="",0,    IF(E90&lt;1,0,  IF(B90="","",     IF(OR(Sheet3!$B$6=0,INDIRECT(ADDRESS(ROW(),Sheet3!$B$3+16))="" ),D90/E90,    IF(E90&lt;0,0,    IF(OR( INDIRECT(ADDRESS(8,Sheet3!$B$3+16))="",INDIRECT(ADDRESS(ROW(),Sheet3!$B$3+17))=""),        (INDIRECT(ADDRESS(ROW(),Sheet3!$B$3+16))+B90)*Sheet3!$Q$4,         INDIRECT(ADDRESS(ROW(),Sheet3!$B$3+17))-INDIRECT(ADDRESS(ROW(),Sheet3!$B$3+16))))))))</f>
        <v>0</v>
      </c>
      <c r="D90" s="39">
        <f ca="1">IF(Sheet3!$B$5="",0,IF(B90="","",IF(E90&lt;1,0,   IF(INDIRECT(ADDRESS(ROW(), Sheet3!$B$3+17))="",        INDIRECT(ADDRESS(ROW(), Sheet3!$B$3+16))*  (1+Sheet3!$Q$4)   +B90*Sheet3!$Q$4,       INDIRECT(ADDRESS(ROW(), Sheet3!$B$3+17))))))</f>
        <v>0</v>
      </c>
      <c r="E90" s="40">
        <f ca="1">IF(AND(Sheet1!L90&lt;0,  Sheet1!$C$21&gt;R90),    IF(OR(Sheet1!$C$21&lt;=R91,  Sheet1!L91=""),       IF(AND(MOD(NOW(),1)&lt;TIME(9,39,0),Sheet1!$C$22=TODAY()),    Sheet1!$C$21-R90,     Sheet1!$C$21-R90-1),               R91-R90-1),    0)</f>
        <v>0</v>
      </c>
      <c r="F90" s="30"/>
      <c r="G90" s="25" t="str">
        <f>IF(LEFT(Sheet1!K91,2)="0x",Sheet1!K90,IF(AND(Sheet1!L90="",Sheet1!L89=""),"",G89))</f>
        <v/>
      </c>
      <c r="H90" s="81"/>
      <c r="I90" s="43" t="str">
        <f t="shared" si="7"/>
        <v/>
      </c>
      <c r="J90" s="29" t="str">
        <f t="shared" si="12"/>
        <v/>
      </c>
      <c r="K90" s="24" t="str">
        <f>IF(Sheet1!L90="","",IF(Sheet1!L90&gt;0,ROW(),""))</f>
        <v/>
      </c>
      <c r="L90" s="24" t="str">
        <f t="shared" ca="1" si="11"/>
        <v/>
      </c>
      <c r="M90" s="47" t="str">
        <f t="shared" ca="1" si="10"/>
        <v/>
      </c>
      <c r="N90" s="48" t="str">
        <f>IF(LEFT(Sheet1!K90,2)="0x",Sheet1!K90,IF(AND(Sheet1!L90="",Sheet1!L89=""),"",N89))</f>
        <v/>
      </c>
      <c r="O90" s="46">
        <f>IF(Sheet1!L90="",0,IF(Sheet1!O90&lt;TIME(7,39,0)+Sheet1!$E$3/24,1,0))</f>
        <v>0</v>
      </c>
      <c r="P90" s="46" t="str">
        <f ca="1">IF(AND(Sheet1!L90&lt;0, Sheet1!$C$21&gt;R90,OR(Sheet1!$C$21&lt;=R91,Sheet1!L91="")),   -1*Sheet1!L90,"")</f>
        <v/>
      </c>
    </row>
    <row r="91" spans="1:16" ht="15.75" x14ac:dyDescent="0.25">
      <c r="A91" s="456" t="str">
        <f>IF(AND(R91&lt;&gt;"",R90&lt;&gt;""),(-Sheet1!L91/Sheet1!L90)^(360/(R91-R90-1))-1,"")</f>
        <v/>
      </c>
      <c r="B91" s="41" t="str">
        <f ca="1">IF(AND(Sheet1!L91&lt;0, Sheet1!$C$21&gt;R91+1,OR(Sheet1!$C$21&lt;=R92,Sheet1!L92="")),   -1*Sheet1!L91,"")</f>
        <v/>
      </c>
      <c r="C91" s="42">
        <f ca="1">IF(Sheet3!$B$5="",0,    IF(E91&lt;1,0,  IF(B91="","",     IF(OR(Sheet3!$B$6=0,INDIRECT(ADDRESS(ROW(),Sheet3!$B$3+16))="" ),D91/E91,    IF(E91&lt;0,0,    IF(OR( INDIRECT(ADDRESS(8,Sheet3!$B$3+16))="",INDIRECT(ADDRESS(ROW(),Sheet3!$B$3+17))=""),        (INDIRECT(ADDRESS(ROW(),Sheet3!$B$3+16))+B91)*Sheet3!$Q$4,         INDIRECT(ADDRESS(ROW(),Sheet3!$B$3+17))-INDIRECT(ADDRESS(ROW(),Sheet3!$B$3+16))))))))</f>
        <v>0</v>
      </c>
      <c r="D91" s="39">
        <f ca="1">IF(Sheet3!$B$5="",0,IF(B91="","",IF(E91&lt;1,0,   IF(INDIRECT(ADDRESS(ROW(), Sheet3!$B$3+17))="",        INDIRECT(ADDRESS(ROW(), Sheet3!$B$3+16))*  (1+Sheet3!$Q$4)   +B91*Sheet3!$Q$4,       INDIRECT(ADDRESS(ROW(), Sheet3!$B$3+17))))))</f>
        <v>0</v>
      </c>
      <c r="E91" s="40">
        <f ca="1">IF(AND(Sheet1!L91&lt;0,  Sheet1!$C$21&gt;R91),    IF(OR(Sheet1!$C$21&lt;=R92,  Sheet1!L92=""),       IF(AND(MOD(NOW(),1)&lt;TIME(9,39,0),Sheet1!$C$22=TODAY()),    Sheet1!$C$21-R91,     Sheet1!$C$21-R91-1),               R92-R91-1),    0)</f>
        <v>0</v>
      </c>
      <c r="F91" s="30"/>
      <c r="G91" s="25" t="str">
        <f>IF(LEFT(Sheet1!K92,2)="0x",Sheet1!K91,IF(AND(Sheet1!L91="",Sheet1!L90=""),"",G90))</f>
        <v/>
      </c>
      <c r="H91" s="81"/>
      <c r="I91" s="43" t="str">
        <f t="shared" si="7"/>
        <v/>
      </c>
      <c r="J91" s="29" t="str">
        <f t="shared" si="12"/>
        <v/>
      </c>
      <c r="K91" s="24" t="str">
        <f>IF(Sheet1!L91="","",IF(Sheet1!L91&gt;0,ROW(),""))</f>
        <v/>
      </c>
      <c r="L91" s="24" t="str">
        <f t="shared" ca="1" si="11"/>
        <v/>
      </c>
      <c r="M91" s="47" t="str">
        <f t="shared" ca="1" si="10"/>
        <v/>
      </c>
      <c r="N91" s="48" t="str">
        <f>IF(LEFT(Sheet1!K91,2)="0x",Sheet1!K91,IF(AND(Sheet1!L91="",Sheet1!L90=""),"",N90))</f>
        <v/>
      </c>
      <c r="O91" s="46">
        <f>IF(Sheet1!L91="",0,IF(Sheet1!O91&lt;TIME(7,39,0)+Sheet1!$E$3/24,1,0))</f>
        <v>0</v>
      </c>
      <c r="P91" s="46" t="str">
        <f ca="1">IF(AND(Sheet1!L91&lt;0, Sheet1!$C$21&gt;R91,OR(Sheet1!$C$21&lt;=R92,Sheet1!L92="")),   -1*Sheet1!L91,"")</f>
        <v/>
      </c>
    </row>
    <row r="92" spans="1:16" ht="15.75" x14ac:dyDescent="0.25">
      <c r="A92" s="456" t="str">
        <f>IF(AND(R92&lt;&gt;"",R91&lt;&gt;""),(-Sheet1!L92/Sheet1!L91)^(360/(R92-R91-1))-1,"")</f>
        <v/>
      </c>
      <c r="B92" s="41" t="str">
        <f ca="1">IF(AND(Sheet1!L92&lt;0, Sheet1!$C$21&gt;R92+1,OR(Sheet1!$C$21&lt;=R93,Sheet1!L93="")),   -1*Sheet1!L92,"")</f>
        <v/>
      </c>
      <c r="C92" s="42">
        <f ca="1">IF(Sheet3!$B$5="",0,    IF(E92&lt;1,0,  IF(B92="","",     IF(OR(Sheet3!$B$6=0,INDIRECT(ADDRESS(ROW(),Sheet3!$B$3+16))="" ),D92/E92,    IF(E92&lt;0,0,    IF(OR( INDIRECT(ADDRESS(8,Sheet3!$B$3+16))="",INDIRECT(ADDRESS(ROW(),Sheet3!$B$3+17))=""),        (INDIRECT(ADDRESS(ROW(),Sheet3!$B$3+16))+B92)*Sheet3!$Q$4,         INDIRECT(ADDRESS(ROW(),Sheet3!$B$3+17))-INDIRECT(ADDRESS(ROW(),Sheet3!$B$3+16))))))))</f>
        <v>0</v>
      </c>
      <c r="D92" s="39">
        <f ca="1">IF(Sheet3!$B$5="",0,IF(B92="","",IF(E92&lt;1,0,   IF(INDIRECT(ADDRESS(ROW(), Sheet3!$B$3+17))="",        INDIRECT(ADDRESS(ROW(), Sheet3!$B$3+16))*  (1+Sheet3!$Q$4)   +B92*Sheet3!$Q$4,       INDIRECT(ADDRESS(ROW(), Sheet3!$B$3+17))))))</f>
        <v>0</v>
      </c>
      <c r="E92" s="40">
        <f ca="1">IF(AND(Sheet1!L92&lt;0,  Sheet1!$C$21&gt;R92),    IF(OR(Sheet1!$C$21&lt;=R93,  Sheet1!L93=""),       IF(AND(MOD(NOW(),1)&lt;TIME(9,39,0),Sheet1!$C$22=TODAY()),    Sheet1!$C$21-R92,     Sheet1!$C$21-R92-1),               R93-R92-1),    0)</f>
        <v>0</v>
      </c>
      <c r="F92" s="30"/>
      <c r="G92" s="25" t="str">
        <f>IF(LEFT(Sheet1!K93,2)="0x",Sheet1!K92,IF(AND(Sheet1!L92="",Sheet1!L91=""),"",G91))</f>
        <v/>
      </c>
      <c r="H92" s="81"/>
      <c r="I92" s="43" t="str">
        <f t="shared" si="7"/>
        <v/>
      </c>
      <c r="J92" s="29" t="str">
        <f t="shared" si="12"/>
        <v/>
      </c>
      <c r="K92" s="24" t="str">
        <f>IF(Sheet1!L92="","",IF(Sheet1!L92&gt;0,ROW(),""))</f>
        <v/>
      </c>
      <c r="L92" s="24" t="str">
        <f t="shared" ca="1" si="11"/>
        <v/>
      </c>
      <c r="M92" s="47" t="str">
        <f t="shared" ca="1" si="10"/>
        <v/>
      </c>
      <c r="N92" s="48" t="str">
        <f>IF(LEFT(Sheet1!K92,2)="0x",Sheet1!K92,IF(AND(Sheet1!L92="",Sheet1!L91=""),"",N91))</f>
        <v/>
      </c>
      <c r="O92" s="46">
        <f>IF(Sheet1!L92="",0,IF(Sheet1!O92&lt;TIME(7,39,0)+Sheet1!$E$3/24,1,0))</f>
        <v>0</v>
      </c>
      <c r="P92" s="46" t="str">
        <f ca="1">IF(AND(Sheet1!L92&lt;0, Sheet1!$C$21&gt;R92,OR(Sheet1!$C$21&lt;=R93,Sheet1!L93="")),   -1*Sheet1!L92,"")</f>
        <v/>
      </c>
    </row>
    <row r="93" spans="1:16" ht="15.75" x14ac:dyDescent="0.25">
      <c r="A93" s="456" t="str">
        <f>IF(AND(R93&lt;&gt;"",R92&lt;&gt;""),(-Sheet1!L93/Sheet1!L92)^(360/(R93-R92-1))-1,"")</f>
        <v/>
      </c>
      <c r="B93" s="41" t="str">
        <f ca="1">IF(AND(Sheet1!L93&lt;0, Sheet1!$C$21&gt;R93+1,OR(Sheet1!$C$21&lt;=R94,Sheet1!L94="")),   -1*Sheet1!L93,"")</f>
        <v/>
      </c>
      <c r="C93" s="42">
        <f ca="1">IF(Sheet3!$B$5="",0,    IF(E93&lt;1,0,  IF(B93="","",     IF(OR(Sheet3!$B$6=0,INDIRECT(ADDRESS(ROW(),Sheet3!$B$3+16))="" ),D93/E93,    IF(E93&lt;0,0,    IF(OR( INDIRECT(ADDRESS(8,Sheet3!$B$3+16))="",INDIRECT(ADDRESS(ROW(),Sheet3!$B$3+17))=""),        (INDIRECT(ADDRESS(ROW(),Sheet3!$B$3+16))+B93)*Sheet3!$Q$4,         INDIRECT(ADDRESS(ROW(),Sheet3!$B$3+17))-INDIRECT(ADDRESS(ROW(),Sheet3!$B$3+16))))))))</f>
        <v>0</v>
      </c>
      <c r="D93" s="39">
        <f ca="1">IF(Sheet3!$B$5="",0,IF(B93="","",IF(E93&lt;1,0,   IF(INDIRECT(ADDRESS(ROW(), Sheet3!$B$3+17))="",        INDIRECT(ADDRESS(ROW(), Sheet3!$B$3+16))*  (1+Sheet3!$Q$4)   +B93*Sheet3!$Q$4,       INDIRECT(ADDRESS(ROW(), Sheet3!$B$3+17))))))</f>
        <v>0</v>
      </c>
      <c r="E93" s="40">
        <f ca="1">IF(AND(Sheet1!L93&lt;0,  Sheet1!$C$21&gt;R93),    IF(OR(Sheet1!$C$21&lt;=R94,  Sheet1!L94=""),       IF(AND(MOD(NOW(),1)&lt;TIME(9,39,0),Sheet1!$C$22=TODAY()),    Sheet1!$C$21-R93,     Sheet1!$C$21-R93-1),               R94-R93-1),    0)</f>
        <v>0</v>
      </c>
      <c r="F93" s="30"/>
      <c r="G93" s="25" t="str">
        <f>IF(LEFT(Sheet1!K94,2)="0x",Sheet1!K93,IF(AND(Sheet1!L93="",Sheet1!L92=""),"",G92))</f>
        <v/>
      </c>
      <c r="H93" s="81"/>
      <c r="I93" s="43" t="str">
        <f t="shared" si="7"/>
        <v/>
      </c>
      <c r="J93" s="29" t="str">
        <f t="shared" si="12"/>
        <v/>
      </c>
      <c r="K93" s="24" t="str">
        <f>IF(Sheet1!L93="","",IF(Sheet1!L93&gt;0,ROW(),""))</f>
        <v/>
      </c>
      <c r="L93" s="24" t="str">
        <f t="shared" ca="1" si="11"/>
        <v/>
      </c>
      <c r="M93" s="47" t="str">
        <f t="shared" ca="1" si="10"/>
        <v/>
      </c>
      <c r="N93" s="48" t="str">
        <f>IF(LEFT(Sheet1!K93,2)="0x",Sheet1!K93,IF(AND(Sheet1!L93="",Sheet1!L92=""),"",N92))</f>
        <v/>
      </c>
      <c r="O93" s="46">
        <f>IF(Sheet1!L93="",0,IF(Sheet1!O93&lt;TIME(7,39,0)+Sheet1!$E$3/24,1,0))</f>
        <v>0</v>
      </c>
      <c r="P93" s="46" t="str">
        <f ca="1">IF(AND(Sheet1!L93&lt;0, Sheet1!$C$21&gt;R93,OR(Sheet1!$C$21&lt;=R94,Sheet1!L94="")),   -1*Sheet1!L93,"")</f>
        <v/>
      </c>
    </row>
    <row r="94" spans="1:16" ht="15.75" x14ac:dyDescent="0.25">
      <c r="A94" s="456" t="str">
        <f>IF(AND(R94&lt;&gt;"",R93&lt;&gt;""),(-Sheet1!L94/Sheet1!L93)^(360/(R94-R93-1))-1,"")</f>
        <v/>
      </c>
      <c r="B94" s="41" t="str">
        <f ca="1">IF(AND(Sheet1!L94&lt;0, Sheet1!$C$21&gt;R94+1,OR(Sheet1!$C$21&lt;=R95,Sheet1!L95="")),   -1*Sheet1!L94,"")</f>
        <v/>
      </c>
      <c r="C94" s="42">
        <f ca="1">IF(Sheet3!$B$5="",0,    IF(E94&lt;1,0,  IF(B94="","",     IF(OR(Sheet3!$B$6=0,INDIRECT(ADDRESS(ROW(),Sheet3!$B$3+16))="" ),D94/E94,    IF(E94&lt;0,0,    IF(OR( INDIRECT(ADDRESS(8,Sheet3!$B$3+16))="",INDIRECT(ADDRESS(ROW(),Sheet3!$B$3+17))=""),        (INDIRECT(ADDRESS(ROW(),Sheet3!$B$3+16))+B94)*Sheet3!$Q$4,         INDIRECT(ADDRESS(ROW(),Sheet3!$B$3+17))-INDIRECT(ADDRESS(ROW(),Sheet3!$B$3+16))))))))</f>
        <v>0</v>
      </c>
      <c r="D94" s="39">
        <f ca="1">IF(Sheet3!$B$5="",0,IF(B94="","",IF(E94&lt;1,0,   IF(INDIRECT(ADDRESS(ROW(), Sheet3!$B$3+17))="",        INDIRECT(ADDRESS(ROW(), Sheet3!$B$3+16))*  (1+Sheet3!$Q$4)   +B94*Sheet3!$Q$4,       INDIRECT(ADDRESS(ROW(), Sheet3!$B$3+17))))))</f>
        <v>0</v>
      </c>
      <c r="E94" s="40">
        <f ca="1">IF(AND(Sheet1!L94&lt;0,  Sheet1!$C$21&gt;R94),    IF(OR(Sheet1!$C$21&lt;=R95,  Sheet1!L95=""),       IF(AND(MOD(NOW(),1)&lt;TIME(9,39,0),Sheet1!$C$22=TODAY()),    Sheet1!$C$21-R94,     Sheet1!$C$21-R94-1),               R95-R94-1),    0)</f>
        <v>0</v>
      </c>
      <c r="F94" s="30"/>
      <c r="G94" s="25" t="str">
        <f>IF(LEFT(Sheet1!K95,2)="0x",Sheet1!K94,IF(AND(Sheet1!L94="",Sheet1!L93=""),"",G93))</f>
        <v/>
      </c>
      <c r="H94" s="81"/>
      <c r="I94" s="43" t="str">
        <f t="shared" si="7"/>
        <v/>
      </c>
      <c r="J94" s="29" t="str">
        <f t="shared" si="12"/>
        <v/>
      </c>
      <c r="K94" s="24" t="str">
        <f>IF(Sheet1!L94="","",IF(Sheet1!L94&gt;0,ROW(),""))</f>
        <v/>
      </c>
      <c r="L94" s="24" t="str">
        <f t="shared" ca="1" si="11"/>
        <v/>
      </c>
      <c r="M94" s="47" t="str">
        <f t="shared" ca="1" si="10"/>
        <v/>
      </c>
      <c r="N94" s="48" t="str">
        <f>IF(LEFT(Sheet1!K94,2)="0x",Sheet1!K94,IF(AND(Sheet1!L94="",Sheet1!L93=""),"",N93))</f>
        <v/>
      </c>
      <c r="O94" s="46">
        <f>IF(Sheet1!L94="",0,IF(Sheet1!O94&lt;TIME(7,39,0)+Sheet1!$E$3/24,1,0))</f>
        <v>0</v>
      </c>
      <c r="P94" s="46" t="str">
        <f ca="1">IF(AND(Sheet1!L94&lt;0, Sheet1!$C$21&gt;R94,OR(Sheet1!$C$21&lt;=R95,Sheet1!L95="")),   -1*Sheet1!L94,"")</f>
        <v/>
      </c>
    </row>
    <row r="95" spans="1:16" ht="15.75" x14ac:dyDescent="0.25">
      <c r="A95" s="456" t="str">
        <f>IF(AND(R95&lt;&gt;"",R94&lt;&gt;""),(-Sheet1!L95/Sheet1!L94)^(360/(R95-R94-1))-1,"")</f>
        <v/>
      </c>
      <c r="B95" s="41" t="str">
        <f ca="1">IF(AND(Sheet1!L95&lt;0, Sheet1!$C$21&gt;R95+1,OR(Sheet1!$C$21&lt;=R96,Sheet1!L96="")),   -1*Sheet1!L95,"")</f>
        <v/>
      </c>
      <c r="C95" s="42">
        <f ca="1">IF(Sheet3!$B$5="",0,    IF(E95&lt;1,0,  IF(B95="","",     IF(OR(Sheet3!$B$6=0,INDIRECT(ADDRESS(ROW(),Sheet3!$B$3+16))="" ),D95/E95,    IF(E95&lt;0,0,    IF(OR( INDIRECT(ADDRESS(8,Sheet3!$B$3+16))="",INDIRECT(ADDRESS(ROW(),Sheet3!$B$3+17))=""),        (INDIRECT(ADDRESS(ROW(),Sheet3!$B$3+16))+B95)*Sheet3!$Q$4,         INDIRECT(ADDRESS(ROW(),Sheet3!$B$3+17))-INDIRECT(ADDRESS(ROW(),Sheet3!$B$3+16))))))))</f>
        <v>0</v>
      </c>
      <c r="D95" s="39">
        <f ca="1">IF(Sheet3!$B$5="",0,IF(B95="","",IF(E95&lt;1,0,   IF(INDIRECT(ADDRESS(ROW(), Sheet3!$B$3+17))="",        INDIRECT(ADDRESS(ROW(), Sheet3!$B$3+16))*  (1+Sheet3!$Q$4)   +B95*Sheet3!$Q$4,       INDIRECT(ADDRESS(ROW(), Sheet3!$B$3+17))))))</f>
        <v>0</v>
      </c>
      <c r="E95" s="40">
        <f ca="1">IF(AND(Sheet1!L95&lt;0,  Sheet1!$C$21&gt;R95),    IF(OR(Sheet1!$C$21&lt;=R96,  Sheet1!L96=""),       IF(AND(MOD(NOW(),1)&lt;TIME(9,39,0),Sheet1!$C$22=TODAY()),    Sheet1!$C$21-R95,     Sheet1!$C$21-R95-1),               R96-R95-1),    0)</f>
        <v>0</v>
      </c>
      <c r="F95" s="30"/>
      <c r="G95" s="25" t="str">
        <f>IF(LEFT(Sheet1!K96,2)="0x",Sheet1!K95,IF(AND(Sheet1!L95="",Sheet1!L94=""),"",G94))</f>
        <v/>
      </c>
      <c r="H95" s="81"/>
      <c r="I95" s="43" t="str">
        <f t="shared" si="7"/>
        <v/>
      </c>
      <c r="J95" s="29" t="str">
        <f t="shared" si="12"/>
        <v/>
      </c>
      <c r="K95" s="24" t="str">
        <f>IF(Sheet1!L95="","",IF(Sheet1!L95&gt;0,ROW(),""))</f>
        <v/>
      </c>
      <c r="L95" s="24" t="str">
        <f t="shared" ca="1" si="11"/>
        <v/>
      </c>
      <c r="M95" s="47" t="str">
        <f t="shared" ca="1" si="10"/>
        <v/>
      </c>
      <c r="N95" s="48" t="str">
        <f>IF(LEFT(Sheet1!K95,2)="0x",Sheet1!K95,IF(AND(Sheet1!L95="",Sheet1!L94=""),"",N94))</f>
        <v/>
      </c>
      <c r="O95" s="46">
        <f>IF(Sheet1!L95="",0,IF(Sheet1!O95&lt;TIME(7,39,0)+Sheet1!$E$3/24,1,0))</f>
        <v>0</v>
      </c>
      <c r="P95" s="46" t="str">
        <f ca="1">IF(AND(Sheet1!L95&lt;0, Sheet1!$C$21&gt;R95,OR(Sheet1!$C$21&lt;=R96,Sheet1!L96="")),   -1*Sheet1!L95,"")</f>
        <v/>
      </c>
    </row>
    <row r="96" spans="1:16" ht="15.75" x14ac:dyDescent="0.25">
      <c r="A96" s="456" t="str">
        <f>IF(AND(R96&lt;&gt;"",R95&lt;&gt;""),(-Sheet1!L96/Sheet1!L95)^(360/(R96-R95-1))-1,"")</f>
        <v/>
      </c>
      <c r="B96" s="41" t="str">
        <f ca="1">IF(AND(Sheet1!L96&lt;0, Sheet1!$C$21&gt;R96+1,OR(Sheet1!$C$21&lt;=R97,Sheet1!L97="")),   -1*Sheet1!L96,"")</f>
        <v/>
      </c>
      <c r="C96" s="42">
        <f ca="1">IF(Sheet3!$B$5="",0,    IF(E96&lt;1,0,  IF(B96="","",     IF(OR(Sheet3!$B$6=0,INDIRECT(ADDRESS(ROW(),Sheet3!$B$3+16))="" ),D96/E96,    IF(E96&lt;0,0,    IF(OR( INDIRECT(ADDRESS(8,Sheet3!$B$3+16))="",INDIRECT(ADDRESS(ROW(),Sheet3!$B$3+17))=""),        (INDIRECT(ADDRESS(ROW(),Sheet3!$B$3+16))+B96)*Sheet3!$Q$4,         INDIRECT(ADDRESS(ROW(),Sheet3!$B$3+17))-INDIRECT(ADDRESS(ROW(),Sheet3!$B$3+16))))))))</f>
        <v>0</v>
      </c>
      <c r="D96" s="39">
        <f ca="1">IF(Sheet3!$B$5="",0,IF(B96="","",IF(E96&lt;1,0,   IF(INDIRECT(ADDRESS(ROW(), Sheet3!$B$3+17))="",        INDIRECT(ADDRESS(ROW(), Sheet3!$B$3+16))*  (1+Sheet3!$Q$4)   +B96*Sheet3!$Q$4,       INDIRECT(ADDRESS(ROW(), Sheet3!$B$3+17))))))</f>
        <v>0</v>
      </c>
      <c r="E96" s="40">
        <f ca="1">IF(AND(Sheet1!L96&lt;0,  Sheet1!$C$21&gt;R96),    IF(OR(Sheet1!$C$21&lt;=R97,  Sheet1!L97=""),       IF(AND(MOD(NOW(),1)&lt;TIME(9,39,0),Sheet1!$C$22=TODAY()),    Sheet1!$C$21-R96,     Sheet1!$C$21-R96-1),               R97-R96-1),    0)</f>
        <v>0</v>
      </c>
      <c r="F96" s="30"/>
      <c r="G96" s="25" t="str">
        <f>IF(LEFT(Sheet1!K97,2)="0x",Sheet1!K96,IF(AND(Sheet1!L96="",Sheet1!L95=""),"",G95))</f>
        <v/>
      </c>
      <c r="H96" s="81"/>
      <c r="I96" s="43" t="str">
        <f t="shared" si="7"/>
        <v/>
      </c>
      <c r="J96" s="29" t="str">
        <f t="shared" si="12"/>
        <v/>
      </c>
      <c r="K96" s="24" t="str">
        <f>IF(Sheet1!L96="","",IF(Sheet1!L96&gt;0,ROW(),""))</f>
        <v/>
      </c>
      <c r="L96" s="24" t="str">
        <f t="shared" ca="1" si="11"/>
        <v/>
      </c>
      <c r="M96" s="47" t="str">
        <f t="shared" ca="1" si="10"/>
        <v/>
      </c>
      <c r="N96" s="48" t="str">
        <f>IF(LEFT(Sheet1!K96,2)="0x",Sheet1!K96,IF(AND(Sheet1!L96="",Sheet1!L95=""),"",N95))</f>
        <v/>
      </c>
      <c r="O96" s="46">
        <f>IF(Sheet1!L96="",0,IF(Sheet1!O96&lt;TIME(7,39,0)+Sheet1!$E$3/24,1,0))</f>
        <v>0</v>
      </c>
      <c r="P96" s="46" t="str">
        <f ca="1">IF(AND(Sheet1!L96&lt;0, Sheet1!$C$21&gt;R96,OR(Sheet1!$C$21&lt;=R97,Sheet1!L97="")),   -1*Sheet1!L96,"")</f>
        <v/>
      </c>
    </row>
    <row r="97" spans="1:16" ht="15.75" x14ac:dyDescent="0.25">
      <c r="A97" s="456" t="str">
        <f>IF(AND(R97&lt;&gt;"",R96&lt;&gt;""),(-Sheet1!L97/Sheet1!L96)^(360/(R97-R96-1))-1,"")</f>
        <v/>
      </c>
      <c r="B97" s="41" t="str">
        <f ca="1">IF(AND(Sheet1!L97&lt;0, Sheet1!$C$21&gt;R97+1,OR(Sheet1!$C$21&lt;=R98,Sheet1!L98="")),   -1*Sheet1!L97,"")</f>
        <v/>
      </c>
      <c r="C97" s="42">
        <f ca="1">IF(Sheet3!$B$5="",0,    IF(E97&lt;1,0,  IF(B97="","",     IF(OR(Sheet3!$B$6=0,INDIRECT(ADDRESS(ROW(),Sheet3!$B$3+16))="" ),D97/E97,    IF(E97&lt;0,0,    IF(OR( INDIRECT(ADDRESS(8,Sheet3!$B$3+16))="",INDIRECT(ADDRESS(ROW(),Sheet3!$B$3+17))=""),        (INDIRECT(ADDRESS(ROW(),Sheet3!$B$3+16))+B97)*Sheet3!$Q$4,         INDIRECT(ADDRESS(ROW(),Sheet3!$B$3+17))-INDIRECT(ADDRESS(ROW(),Sheet3!$B$3+16))))))))</f>
        <v>0</v>
      </c>
      <c r="D97" s="39">
        <f ca="1">IF(Sheet3!$B$5="",0,IF(B97="","",IF(E97&lt;1,0,   IF(INDIRECT(ADDRESS(ROW(), Sheet3!$B$3+17))="",        INDIRECT(ADDRESS(ROW(), Sheet3!$B$3+16))*  (1+Sheet3!$Q$4)   +B97*Sheet3!$Q$4,       INDIRECT(ADDRESS(ROW(), Sheet3!$B$3+17))))))</f>
        <v>0</v>
      </c>
      <c r="E97" s="40">
        <f ca="1">IF(AND(Sheet1!L97&lt;0,  Sheet1!$C$21&gt;R97),    IF(OR(Sheet1!$C$21&lt;=R98,  Sheet1!L98=""),       IF(AND(MOD(NOW(),1)&lt;TIME(9,39,0),Sheet1!$C$22=TODAY()),    Sheet1!$C$21-R97,     Sheet1!$C$21-R97-1),               R98-R97-1),    0)</f>
        <v>0</v>
      </c>
      <c r="F97" s="30"/>
      <c r="G97" s="25" t="str">
        <f>IF(LEFT(Sheet1!K98,2)="0x",Sheet1!K97,IF(AND(Sheet1!L97="",Sheet1!L96=""),"",G96))</f>
        <v/>
      </c>
      <c r="H97" s="81"/>
      <c r="I97" s="43" t="str">
        <f t="shared" si="7"/>
        <v/>
      </c>
      <c r="J97" s="29" t="str">
        <f t="shared" si="12"/>
        <v/>
      </c>
      <c r="K97" s="24" t="str">
        <f>IF(Sheet1!L97="","",IF(Sheet1!L97&gt;0,ROW(),""))</f>
        <v/>
      </c>
      <c r="L97" s="24" t="str">
        <f t="shared" ca="1" si="11"/>
        <v/>
      </c>
      <c r="M97" s="47" t="str">
        <f t="shared" ca="1" si="10"/>
        <v/>
      </c>
      <c r="N97" s="48" t="str">
        <f>IF(LEFT(Sheet1!K97,2)="0x",Sheet1!K97,IF(AND(Sheet1!L97="",Sheet1!L96=""),"",N96))</f>
        <v/>
      </c>
      <c r="O97" s="46">
        <f>IF(Sheet1!L97="",0,IF(Sheet1!O97&lt;TIME(7,39,0)+Sheet1!$E$3/24,1,0))</f>
        <v>0</v>
      </c>
      <c r="P97" s="46" t="str">
        <f ca="1">IF(AND(Sheet1!L97&lt;0, Sheet1!$C$21&gt;R97,OR(Sheet1!$C$21&lt;=R98,Sheet1!L98="")),   -1*Sheet1!L97,"")</f>
        <v/>
      </c>
    </row>
    <row r="98" spans="1:16" ht="15.75" x14ac:dyDescent="0.25">
      <c r="A98" s="456" t="str">
        <f>IF(AND(R98&lt;&gt;"",R97&lt;&gt;""),(-Sheet1!L98/Sheet1!L97)^(360/(R98-R97-1))-1,"")</f>
        <v/>
      </c>
      <c r="B98" s="41" t="str">
        <f ca="1">IF(AND(Sheet1!L98&lt;0, Sheet1!$C$21&gt;R98+1,OR(Sheet1!$C$21&lt;=R99,Sheet1!L99="")),   -1*Sheet1!L98,"")</f>
        <v/>
      </c>
      <c r="C98" s="42">
        <f ca="1">IF(Sheet3!$B$5="",0,    IF(E98&lt;1,0,  IF(B98="","",     IF(OR(Sheet3!$B$6=0,INDIRECT(ADDRESS(ROW(),Sheet3!$B$3+16))="" ),D98/E98,    IF(E98&lt;0,0,    IF(OR( INDIRECT(ADDRESS(8,Sheet3!$B$3+16))="",INDIRECT(ADDRESS(ROW(),Sheet3!$B$3+17))=""),        (INDIRECT(ADDRESS(ROW(),Sheet3!$B$3+16))+B98)*Sheet3!$Q$4,         INDIRECT(ADDRESS(ROW(),Sheet3!$B$3+17))-INDIRECT(ADDRESS(ROW(),Sheet3!$B$3+16))))))))</f>
        <v>0</v>
      </c>
      <c r="D98" s="39">
        <f ca="1">IF(Sheet3!$B$5="",0,IF(B98="","",IF(E98&lt;1,0,   IF(INDIRECT(ADDRESS(ROW(), Sheet3!$B$3+17))="",        INDIRECT(ADDRESS(ROW(), Sheet3!$B$3+16))*  (1+Sheet3!$Q$4)   +B98*Sheet3!$Q$4,       INDIRECT(ADDRESS(ROW(), Sheet3!$B$3+17))))))</f>
        <v>0</v>
      </c>
      <c r="E98" s="40">
        <f ca="1">IF(AND(Sheet1!L98&lt;0,  Sheet1!$C$21&gt;R98),    IF(OR(Sheet1!$C$21&lt;=R99,  Sheet1!L99=""),       IF(AND(MOD(NOW(),1)&lt;TIME(9,39,0),Sheet1!$C$22=TODAY()),    Sheet1!$C$21-R98,     Sheet1!$C$21-R98-1),               R99-R98-1),    0)</f>
        <v>0</v>
      </c>
      <c r="F98" s="30"/>
      <c r="G98" s="25" t="str">
        <f>IF(LEFT(Sheet1!K99,2)="0x",Sheet1!K98,IF(AND(Sheet1!L98="",Sheet1!L97=""),"",G97))</f>
        <v/>
      </c>
      <c r="H98" s="81"/>
      <c r="I98" s="43" t="str">
        <f t="shared" si="7"/>
        <v/>
      </c>
      <c r="J98" s="29" t="str">
        <f t="shared" si="12"/>
        <v/>
      </c>
      <c r="K98" s="24" t="str">
        <f>IF(Sheet1!L98="","",IF(Sheet1!L98&gt;0,ROW(),""))</f>
        <v/>
      </c>
      <c r="L98" s="24" t="str">
        <f t="shared" ca="1" si="11"/>
        <v/>
      </c>
      <c r="M98" s="47" t="str">
        <f t="shared" ca="1" si="10"/>
        <v/>
      </c>
      <c r="N98" s="48" t="str">
        <f>IF(LEFT(Sheet1!K98,2)="0x",Sheet1!K98,IF(AND(Sheet1!L98="",Sheet1!L97=""),"",N97))</f>
        <v/>
      </c>
      <c r="O98" s="46">
        <f>IF(Sheet1!L98="",0,IF(Sheet1!O98&lt;TIME(7,39,0)+Sheet1!$E$3/24,1,0))</f>
        <v>0</v>
      </c>
      <c r="P98" s="46" t="str">
        <f ca="1">IF(AND(Sheet1!L98&lt;0, Sheet1!$C$21&gt;R98,OR(Sheet1!$C$21&lt;=R99,Sheet1!L99="")),   -1*Sheet1!L98,"")</f>
        <v/>
      </c>
    </row>
    <row r="99" spans="1:16" ht="15.75" x14ac:dyDescent="0.25">
      <c r="A99" s="456" t="str">
        <f>IF(AND(R99&lt;&gt;"",R98&lt;&gt;""),(-Sheet1!L99/Sheet1!L98)^(360/(R99-R98-1))-1,"")</f>
        <v/>
      </c>
      <c r="B99" s="41" t="str">
        <f ca="1">IF(AND(Sheet1!L99&lt;0, Sheet1!$C$21&gt;R99+1,OR(Sheet1!$C$21&lt;=R100,Sheet1!L100="")),   -1*Sheet1!L99,"")</f>
        <v/>
      </c>
      <c r="C99" s="42">
        <f ca="1">IF(Sheet3!$B$5="",0,    IF(E99&lt;1,0,  IF(B99="","",     IF(OR(Sheet3!$B$6=0,INDIRECT(ADDRESS(ROW(),Sheet3!$B$3+16))="" ),D99/E99,    IF(E99&lt;0,0,    IF(OR( INDIRECT(ADDRESS(8,Sheet3!$B$3+16))="",INDIRECT(ADDRESS(ROW(),Sheet3!$B$3+17))=""),        (INDIRECT(ADDRESS(ROW(),Sheet3!$B$3+16))+B99)*Sheet3!$Q$4,         INDIRECT(ADDRESS(ROW(),Sheet3!$B$3+17))-INDIRECT(ADDRESS(ROW(),Sheet3!$B$3+16))))))))</f>
        <v>0</v>
      </c>
      <c r="D99" s="39">
        <f ca="1">IF(Sheet3!$B$5="",0,IF(B99="","",IF(E99&lt;1,0,   IF(INDIRECT(ADDRESS(ROW(), Sheet3!$B$3+17))="",        INDIRECT(ADDRESS(ROW(), Sheet3!$B$3+16))*  (1+Sheet3!$Q$4)   +B99*Sheet3!$Q$4,       INDIRECT(ADDRESS(ROW(), Sheet3!$B$3+17))))))</f>
        <v>0</v>
      </c>
      <c r="E99" s="40">
        <f ca="1">IF(AND(Sheet1!L99&lt;0,  Sheet1!$C$21&gt;R99),    IF(OR(Sheet1!$C$21&lt;=R100,  Sheet1!L100=""),       IF(AND(MOD(NOW(),1)&lt;TIME(9,39,0),Sheet1!$C$22=TODAY()),    Sheet1!$C$21-R99,     Sheet1!$C$21-R99-1),               R100-R99-1),    0)</f>
        <v>0</v>
      </c>
      <c r="F99" s="30"/>
      <c r="G99" s="25" t="str">
        <f>IF(LEFT(Sheet1!K100,2)="0x",Sheet1!K99,IF(AND(Sheet1!L99="",Sheet1!L98=""),"",G98))</f>
        <v/>
      </c>
      <c r="H99" s="81"/>
      <c r="I99" s="43" t="str">
        <f t="shared" si="7"/>
        <v/>
      </c>
      <c r="J99" s="29" t="str">
        <f t="shared" si="12"/>
        <v/>
      </c>
      <c r="K99" s="24" t="str">
        <f>IF(Sheet1!L99="","",IF(Sheet1!L99&gt;0,ROW(),""))</f>
        <v/>
      </c>
      <c r="L99" s="24" t="str">
        <f t="shared" ca="1" si="11"/>
        <v/>
      </c>
      <c r="M99" s="47" t="str">
        <f t="shared" ca="1" si="10"/>
        <v/>
      </c>
      <c r="N99" s="48" t="str">
        <f>IF(LEFT(Sheet1!K99,2)="0x",Sheet1!K99,IF(AND(Sheet1!L99="",Sheet1!L98=""),"",N98))</f>
        <v/>
      </c>
      <c r="O99" s="46">
        <f>IF(Sheet1!L99="",0,IF(Sheet1!O99&lt;TIME(7,39,0)+Sheet1!$E$3/24,1,0))</f>
        <v>0</v>
      </c>
      <c r="P99" s="46" t="str">
        <f ca="1">IF(AND(Sheet1!L99&lt;0, Sheet1!$C$21&gt;R99,OR(Sheet1!$C$21&lt;=R100,Sheet1!L100="")),   -1*Sheet1!L99,"")</f>
        <v/>
      </c>
    </row>
    <row r="100" spans="1:16" ht="15.75" x14ac:dyDescent="0.25">
      <c r="A100" s="456" t="str">
        <f>IF(AND(R100&lt;&gt;"",R99&lt;&gt;""),(-Sheet1!L100/Sheet1!L99)^(360/(R100-R99-1))-1,"")</f>
        <v/>
      </c>
      <c r="B100" s="41" t="str">
        <f ca="1">IF(AND(Sheet1!L100&lt;0, Sheet1!$C$21&gt;R100+1,OR(Sheet1!$C$21&lt;=R101,Sheet1!L101="")),   -1*Sheet1!L100,"")</f>
        <v/>
      </c>
      <c r="C100" s="42">
        <f ca="1">IF(Sheet3!$B$5="",0,    IF(E100&lt;1,0,  IF(B100="","",     IF(OR(Sheet3!$B$6=0,INDIRECT(ADDRESS(ROW(),Sheet3!$B$3+16))="" ),D100/E100,    IF(E100&lt;0,0,    IF(OR( INDIRECT(ADDRESS(8,Sheet3!$B$3+16))="",INDIRECT(ADDRESS(ROW(),Sheet3!$B$3+17))=""),        (INDIRECT(ADDRESS(ROW(),Sheet3!$B$3+16))+B100)*Sheet3!$Q$4,         INDIRECT(ADDRESS(ROW(),Sheet3!$B$3+17))-INDIRECT(ADDRESS(ROW(),Sheet3!$B$3+16))))))))</f>
        <v>0</v>
      </c>
      <c r="D100" s="39">
        <f ca="1">IF(Sheet3!$B$5="",0,IF(B100="","",IF(E100&lt;1,0,   IF(INDIRECT(ADDRESS(ROW(), Sheet3!$B$3+17))="",        INDIRECT(ADDRESS(ROW(), Sheet3!$B$3+16))*  (1+Sheet3!$Q$4)   +B100*Sheet3!$Q$4,       INDIRECT(ADDRESS(ROW(), Sheet3!$B$3+17))))))</f>
        <v>0</v>
      </c>
      <c r="E100" s="40">
        <f ca="1">IF(AND(Sheet1!L100&lt;0,  Sheet1!$C$21&gt;R100),    IF(OR(Sheet1!$C$21&lt;=R101,  Sheet1!L101=""),       IF(AND(MOD(NOW(),1)&lt;TIME(9,39,0),Sheet1!$C$22=TODAY()),    Sheet1!$C$21-R100,     Sheet1!$C$21-R100-1),               R101-R100-1),    0)</f>
        <v>0</v>
      </c>
      <c r="F100" s="30"/>
      <c r="G100" s="25" t="str">
        <f>IF(LEFT(Sheet1!K101,2)="0x",Sheet1!K100,IF(AND(Sheet1!L100="",Sheet1!L99=""),"",G99))</f>
        <v/>
      </c>
      <c r="H100" s="81"/>
      <c r="I100" s="43" t="str">
        <f t="shared" si="7"/>
        <v/>
      </c>
      <c r="J100" s="29" t="str">
        <f t="shared" si="12"/>
        <v/>
      </c>
      <c r="K100" s="24" t="str">
        <f>IF(Sheet1!L100="","",IF(Sheet1!L100&gt;0,ROW(),""))</f>
        <v/>
      </c>
      <c r="L100" s="24" t="str">
        <f t="shared" ca="1" si="11"/>
        <v/>
      </c>
      <c r="M100" s="47" t="str">
        <f t="shared" ca="1" si="10"/>
        <v/>
      </c>
      <c r="N100" s="48" t="str">
        <f>IF(LEFT(Sheet1!K100,2)="0x",Sheet1!K100,IF(AND(Sheet1!L100="",Sheet1!L99=""),"",N99))</f>
        <v/>
      </c>
      <c r="O100" s="46">
        <f>IF(Sheet1!L100="",0,IF(Sheet1!O100&lt;TIME(7,39,0)+Sheet1!$E$3/24,1,0))</f>
        <v>0</v>
      </c>
      <c r="P100" s="46" t="str">
        <f ca="1">IF(AND(Sheet1!L100&lt;0, Sheet1!$C$21&gt;R100,OR(Sheet1!$C$21&lt;=R101,Sheet1!L101="")),   -1*Sheet1!L100,"")</f>
        <v/>
      </c>
    </row>
    <row r="101" spans="1:16" ht="15.75" x14ac:dyDescent="0.25">
      <c r="A101" s="456" t="str">
        <f>IF(AND(R101&lt;&gt;"",R100&lt;&gt;""),(-Sheet1!L101/Sheet1!L100)^(360/(R101-R100-1))-1,"")</f>
        <v/>
      </c>
      <c r="B101" s="41" t="str">
        <f ca="1">IF(AND(Sheet1!L101&lt;0, Sheet1!$C$21&gt;R101+1,OR(Sheet1!$C$21&lt;=R102,Sheet1!L102="")),   -1*Sheet1!L101,"")</f>
        <v/>
      </c>
      <c r="C101" s="42">
        <f ca="1">IF(Sheet3!$B$5="",0,    IF(E101&lt;1,0,  IF(B101="","",     IF(OR(Sheet3!$B$6=0,INDIRECT(ADDRESS(ROW(),Sheet3!$B$3+16))="" ),D101/E101,    IF(E101&lt;0,0,    IF(OR( INDIRECT(ADDRESS(8,Sheet3!$B$3+16))="",INDIRECT(ADDRESS(ROW(),Sheet3!$B$3+17))=""),        (INDIRECT(ADDRESS(ROW(),Sheet3!$B$3+16))+B101)*Sheet3!$Q$4,         INDIRECT(ADDRESS(ROW(),Sheet3!$B$3+17))-INDIRECT(ADDRESS(ROW(),Sheet3!$B$3+16))))))))</f>
        <v>0</v>
      </c>
      <c r="D101" s="39">
        <f ca="1">IF(Sheet3!$B$5="",0,IF(B101="","",IF(E101&lt;1,0,   IF(INDIRECT(ADDRESS(ROW(), Sheet3!$B$3+17))="",        INDIRECT(ADDRESS(ROW(), Sheet3!$B$3+16))*  (1+Sheet3!$Q$4)   +B101*Sheet3!$Q$4,       INDIRECT(ADDRESS(ROW(), Sheet3!$B$3+17))))))</f>
        <v>0</v>
      </c>
      <c r="E101" s="40">
        <f ca="1">IF(AND(Sheet1!L101&lt;0,  Sheet1!$C$21&gt;R101),    IF(OR(Sheet1!$C$21&lt;=R102,  Sheet1!L102=""),       IF(AND(MOD(NOW(),1)&lt;TIME(9,39,0),Sheet1!$C$22=TODAY()),    Sheet1!$C$21-R101,     Sheet1!$C$21-R101-1),               R102-R101-1),    0)</f>
        <v>0</v>
      </c>
      <c r="F101" s="30"/>
      <c r="G101" s="25" t="str">
        <f>IF(LEFT(Sheet1!K102,2)="0x",Sheet1!K101,IF(AND(Sheet1!L101="",Sheet1!L100=""),"",G100))</f>
        <v/>
      </c>
      <c r="H101" s="81"/>
      <c r="I101" s="43" t="str">
        <f t="shared" si="7"/>
        <v/>
      </c>
      <c r="J101" s="29" t="str">
        <f t="shared" si="12"/>
        <v/>
      </c>
      <c r="K101" s="24" t="str">
        <f>IF(Sheet1!L101="","",IF(Sheet1!L101&gt;0,ROW(),""))</f>
        <v/>
      </c>
      <c r="L101" s="24" t="str">
        <f t="shared" ca="1" si="11"/>
        <v/>
      </c>
      <c r="M101" s="47" t="str">
        <f t="shared" ca="1" si="10"/>
        <v/>
      </c>
      <c r="N101" s="48" t="str">
        <f>IF(LEFT(Sheet1!K101,2)="0x",Sheet1!K101,IF(AND(Sheet1!L101="",Sheet1!L100=""),"",N100))</f>
        <v/>
      </c>
      <c r="O101" s="46">
        <f>IF(Sheet1!L101="",0,IF(Sheet1!O101&lt;TIME(7,39,0)+Sheet1!$E$3/24,1,0))</f>
        <v>0</v>
      </c>
      <c r="P101" s="46" t="str">
        <f ca="1">IF(AND(Sheet1!L101&lt;0, Sheet1!$C$21&gt;R101,OR(Sheet1!$C$21&lt;=R102,Sheet1!L102="")),   -1*Sheet1!L101,"")</f>
        <v/>
      </c>
    </row>
    <row r="102" spans="1:16" ht="15.75" x14ac:dyDescent="0.25">
      <c r="A102" s="456" t="str">
        <f>IF(AND(R102&lt;&gt;"",R101&lt;&gt;""),(-Sheet1!L102/Sheet1!L101)^(360/(R102-R101-1))-1,"")</f>
        <v/>
      </c>
      <c r="B102" s="41" t="str">
        <f ca="1">IF(AND(Sheet1!L102&lt;0, Sheet1!$C$21&gt;R102+1,OR(Sheet1!$C$21&lt;=R103,Sheet1!L103="")),   -1*Sheet1!L102,"")</f>
        <v/>
      </c>
      <c r="C102" s="42">
        <f ca="1">IF(Sheet3!$B$5="",0,    IF(E102&lt;1,0,  IF(B102="","",     IF(OR(Sheet3!$B$6=0,INDIRECT(ADDRESS(ROW(),Sheet3!$B$3+16))="" ),D102/E102,    IF(E102&lt;0,0,    IF(OR( INDIRECT(ADDRESS(8,Sheet3!$B$3+16))="",INDIRECT(ADDRESS(ROW(),Sheet3!$B$3+17))=""),        (INDIRECT(ADDRESS(ROW(),Sheet3!$B$3+16))+B102)*Sheet3!$Q$4,         INDIRECT(ADDRESS(ROW(),Sheet3!$B$3+17))-INDIRECT(ADDRESS(ROW(),Sheet3!$B$3+16))))))))</f>
        <v>0</v>
      </c>
      <c r="D102" s="39">
        <f ca="1">IF(Sheet3!$B$5="",0,IF(B102="","",IF(E102&lt;1,0,   IF(INDIRECT(ADDRESS(ROW(), Sheet3!$B$3+17))="",        INDIRECT(ADDRESS(ROW(), Sheet3!$B$3+16))*  (1+Sheet3!$Q$4)   +B102*Sheet3!$Q$4,       INDIRECT(ADDRESS(ROW(), Sheet3!$B$3+17))))))</f>
        <v>0</v>
      </c>
      <c r="E102" s="40">
        <f ca="1">IF(AND(Sheet1!L102&lt;0,  Sheet1!$C$21&gt;R102),    IF(OR(Sheet1!$C$21&lt;=R103,  Sheet1!L103=""),       IF(AND(MOD(NOW(),1)&lt;TIME(9,39,0),Sheet1!$C$22=TODAY()),    Sheet1!$C$21-R102,     Sheet1!$C$21-R102-1),               R103-R102-1),    0)</f>
        <v>0</v>
      </c>
      <c r="F102" s="30"/>
      <c r="G102" s="25" t="str">
        <f>IF(LEFT(Sheet1!K103,2)="0x",Sheet1!K102,IF(AND(Sheet1!L102="",Sheet1!L101=""),"",G101))</f>
        <v/>
      </c>
      <c r="H102" s="81"/>
      <c r="I102" s="43" t="str">
        <f t="shared" ref="I102:I165" si="13">IFERROR(SMALL(K$6:K$117,ROW(Q65)),"")</f>
        <v/>
      </c>
      <c r="J102" s="29" t="str">
        <f t="shared" si="12"/>
        <v/>
      </c>
      <c r="K102" s="24" t="str">
        <f>IF(Sheet1!L102="","",IF(Sheet1!L102&gt;0,ROW(),""))</f>
        <v/>
      </c>
      <c r="L102" s="24" t="str">
        <f t="shared" ca="1" si="11"/>
        <v/>
      </c>
      <c r="M102" s="47" t="str">
        <f t="shared" ca="1" si="10"/>
        <v/>
      </c>
      <c r="N102" s="48" t="str">
        <f>IF(LEFT(Sheet1!K102,2)="0x",Sheet1!K102,IF(AND(Sheet1!L102="",Sheet1!L101=""),"",N101))</f>
        <v/>
      </c>
      <c r="O102" s="46">
        <f>IF(Sheet1!L102="",0,IF(Sheet1!O102&lt;TIME(7,39,0)+Sheet1!$E$3/24,1,0))</f>
        <v>0</v>
      </c>
      <c r="P102" s="46" t="str">
        <f ca="1">IF(AND(Sheet1!L102&lt;0, Sheet1!$C$21&gt;R102,OR(Sheet1!$C$21&lt;=R103,Sheet1!L103="")),   -1*Sheet1!L102,"")</f>
        <v/>
      </c>
    </row>
    <row r="103" spans="1:16" ht="15.75" x14ac:dyDescent="0.25">
      <c r="A103" s="456" t="str">
        <f>IF(AND(R103&lt;&gt;"",R102&lt;&gt;""),(-Sheet1!L103/Sheet1!L102)^(360/(R103-R102-1))-1,"")</f>
        <v/>
      </c>
      <c r="B103" s="41" t="str">
        <f ca="1">IF(AND(Sheet1!L103&lt;0, Sheet1!$C$21&gt;R103+1,OR(Sheet1!$C$21&lt;=R104,Sheet1!L104="")),   -1*Sheet1!L103,"")</f>
        <v/>
      </c>
      <c r="C103" s="42">
        <f ca="1">IF(Sheet3!$B$5="",0,    IF(E103&lt;1,0,  IF(B103="","",     IF(OR(Sheet3!$B$6=0,INDIRECT(ADDRESS(ROW(),Sheet3!$B$3+16))="" ),D103/E103,    IF(E103&lt;0,0,    IF(OR( INDIRECT(ADDRESS(8,Sheet3!$B$3+16))="",INDIRECT(ADDRESS(ROW(),Sheet3!$B$3+17))=""),        (INDIRECT(ADDRESS(ROW(),Sheet3!$B$3+16))+B103)*Sheet3!$Q$4,         INDIRECT(ADDRESS(ROW(),Sheet3!$B$3+17))-INDIRECT(ADDRESS(ROW(),Sheet3!$B$3+16))))))))</f>
        <v>0</v>
      </c>
      <c r="D103" s="39">
        <f ca="1">IF(Sheet3!$B$5="",0,IF(B103="","",IF(E103&lt;1,0,   IF(INDIRECT(ADDRESS(ROW(), Sheet3!$B$3+17))="",        INDIRECT(ADDRESS(ROW(), Sheet3!$B$3+16))*  (1+Sheet3!$Q$4)   +B103*Sheet3!$Q$4,       INDIRECT(ADDRESS(ROW(), Sheet3!$B$3+17))))))</f>
        <v>0</v>
      </c>
      <c r="E103" s="40">
        <f ca="1">IF(AND(Sheet1!L103&lt;0,  Sheet1!$C$21&gt;R103),    IF(OR(Sheet1!$C$21&lt;=R104,  Sheet1!L104=""),       IF(AND(MOD(NOW(),1)&lt;TIME(9,39,0),Sheet1!$C$22=TODAY()),    Sheet1!$C$21-R103,     Sheet1!$C$21-R103-1),               R104-R103-1),    0)</f>
        <v>0</v>
      </c>
      <c r="F103" s="30"/>
      <c r="G103" s="25" t="str">
        <f>IF(LEFT(Sheet1!K104,2)="0x",Sheet1!K103,IF(AND(Sheet1!L103="",Sheet1!L102=""),"",G102))</f>
        <v/>
      </c>
      <c r="H103" s="81"/>
      <c r="I103" s="43" t="str">
        <f t="shared" si="13"/>
        <v/>
      </c>
      <c r="J103" s="29" t="str">
        <f t="shared" si="12"/>
        <v/>
      </c>
      <c r="K103" s="24" t="str">
        <f>IF(Sheet1!L103="","",IF(Sheet1!L103&gt;0,ROW(),""))</f>
        <v/>
      </c>
      <c r="L103" s="24" t="str">
        <f t="shared" ca="1" si="11"/>
        <v/>
      </c>
      <c r="M103" s="47" t="str">
        <f t="shared" ca="1" si="10"/>
        <v/>
      </c>
      <c r="N103" s="48" t="str">
        <f>IF(LEFT(Sheet1!K103,2)="0x",Sheet1!K103,IF(AND(Sheet1!L103="",Sheet1!L102=""),"",N102))</f>
        <v/>
      </c>
      <c r="O103" s="46">
        <f>IF(Sheet1!L103="",0,IF(Sheet1!O103&lt;TIME(7,39,0)+Sheet1!$E$3/24,1,0))</f>
        <v>0</v>
      </c>
      <c r="P103" s="46" t="str">
        <f ca="1">IF(AND(Sheet1!L103&lt;0, Sheet1!$C$21&gt;R103,OR(Sheet1!$C$21&lt;=R104,Sheet1!L104="")),   -1*Sheet1!L103,"")</f>
        <v/>
      </c>
    </row>
    <row r="104" spans="1:16" ht="15.75" x14ac:dyDescent="0.25">
      <c r="A104" s="456" t="str">
        <f>IF(AND(R104&lt;&gt;"",R103&lt;&gt;""),(-Sheet1!L104/Sheet1!L103)^(360/(R104-R103-1))-1,"")</f>
        <v/>
      </c>
      <c r="B104" s="41" t="str">
        <f ca="1">IF(AND(Sheet1!L104&lt;0, Sheet1!$C$21&gt;R104+1,OR(Sheet1!$C$21&lt;=R105,Sheet1!L105="")),   -1*Sheet1!L104,"")</f>
        <v/>
      </c>
      <c r="C104" s="42">
        <f ca="1">IF(Sheet3!$B$5="",0,    IF(E104&lt;1,0,  IF(B104="","",     IF(OR(Sheet3!$B$6=0,INDIRECT(ADDRESS(ROW(),Sheet3!$B$3+16))="" ),D104/E104,    IF(E104&lt;0,0,    IF(OR( INDIRECT(ADDRESS(8,Sheet3!$B$3+16))="",INDIRECT(ADDRESS(ROW(),Sheet3!$B$3+17))=""),        (INDIRECT(ADDRESS(ROW(),Sheet3!$B$3+16))+B104)*Sheet3!$Q$4,         INDIRECT(ADDRESS(ROW(),Sheet3!$B$3+17))-INDIRECT(ADDRESS(ROW(),Sheet3!$B$3+16))))))))</f>
        <v>0</v>
      </c>
      <c r="D104" s="39">
        <f ca="1">IF(Sheet3!$B$5="",0,IF(B104="","",IF(E104&lt;1,0,   IF(INDIRECT(ADDRESS(ROW(), Sheet3!$B$3+17))="",        INDIRECT(ADDRESS(ROW(), Sheet3!$B$3+16))*  (1+Sheet3!$Q$4)   +B104*Sheet3!$Q$4,       INDIRECT(ADDRESS(ROW(), Sheet3!$B$3+17))))))</f>
        <v>0</v>
      </c>
      <c r="E104" s="40">
        <f ca="1">IF(AND(Sheet1!L104&lt;0,  Sheet1!$C$21&gt;R104),    IF(OR(Sheet1!$C$21&lt;=R105,  Sheet1!L105=""),       IF(AND(MOD(NOW(),1)&lt;TIME(9,39,0),Sheet1!$C$22=TODAY()),    Sheet1!$C$21-R104,     Sheet1!$C$21-R104-1),               R105-R104-1),    0)</f>
        <v>0</v>
      </c>
      <c r="F104" s="30"/>
      <c r="G104" s="25" t="str">
        <f>IF(LEFT(Sheet1!K105,2)="0x",Sheet1!K104,IF(AND(Sheet1!L104="",Sheet1!L103=""),"",G103))</f>
        <v/>
      </c>
      <c r="H104" s="81"/>
      <c r="I104" s="43" t="str">
        <f t="shared" si="13"/>
        <v/>
      </c>
      <c r="J104" s="29" t="str">
        <f t="shared" si="12"/>
        <v/>
      </c>
      <c r="K104" s="24" t="str">
        <f>IF(Sheet1!L104="","",IF(Sheet1!L104&gt;0,ROW(),""))</f>
        <v/>
      </c>
      <c r="L104" s="24" t="str">
        <f t="shared" ca="1" si="11"/>
        <v/>
      </c>
      <c r="M104" s="47" t="str">
        <f t="shared" ca="1" si="10"/>
        <v/>
      </c>
      <c r="N104" s="48" t="str">
        <f>IF(LEFT(Sheet1!K104,2)="0x",Sheet1!K104,IF(AND(Sheet1!L104="",Sheet1!L103=""),"",N103))</f>
        <v/>
      </c>
      <c r="O104" s="46">
        <f>IF(Sheet1!L104="",0,IF(Sheet1!O104&lt;TIME(7,39,0)+Sheet1!$E$3/24,1,0))</f>
        <v>0</v>
      </c>
      <c r="P104" s="46" t="str">
        <f ca="1">IF(AND(Sheet1!L104&lt;0, Sheet1!$C$21&gt;R104,OR(Sheet1!$C$21&lt;=R105,Sheet1!L105="")),   -1*Sheet1!L104,"")</f>
        <v/>
      </c>
    </row>
    <row r="105" spans="1:16" ht="15.75" x14ac:dyDescent="0.25">
      <c r="A105" s="456" t="str">
        <f>IF(AND(R105&lt;&gt;"",R104&lt;&gt;""),(-Sheet1!L105/Sheet1!L104)^(360/(R105-R104-1))-1,"")</f>
        <v/>
      </c>
      <c r="B105" s="41" t="str">
        <f ca="1">IF(AND(Sheet1!L105&lt;0, Sheet1!$C$21&gt;R105+1,OR(Sheet1!$C$21&lt;=R106,Sheet1!L106="")),   -1*Sheet1!L105,"")</f>
        <v/>
      </c>
      <c r="C105" s="42">
        <f ca="1">IF(Sheet3!$B$5="",0,    IF(E105&lt;1,0,  IF(B105="","",     IF(OR(Sheet3!$B$6=0,INDIRECT(ADDRESS(ROW(),Sheet3!$B$3+16))="" ),D105/E105,    IF(E105&lt;0,0,    IF(OR( INDIRECT(ADDRESS(8,Sheet3!$B$3+16))="",INDIRECT(ADDRESS(ROW(),Sheet3!$B$3+17))=""),        (INDIRECT(ADDRESS(ROW(),Sheet3!$B$3+16))+B105)*Sheet3!$Q$4,         INDIRECT(ADDRESS(ROW(),Sheet3!$B$3+17))-INDIRECT(ADDRESS(ROW(),Sheet3!$B$3+16))))))))</f>
        <v>0</v>
      </c>
      <c r="D105" s="39">
        <f ca="1">IF(Sheet3!$B$5="",0,IF(B105="","",IF(E105&lt;1,0,   IF(INDIRECT(ADDRESS(ROW(), Sheet3!$B$3+17))="",        INDIRECT(ADDRESS(ROW(), Sheet3!$B$3+16))*  (1+Sheet3!$Q$4)   +B105*Sheet3!$Q$4,       INDIRECT(ADDRESS(ROW(), Sheet3!$B$3+17))))))</f>
        <v>0</v>
      </c>
      <c r="E105" s="40">
        <f ca="1">IF(AND(Sheet1!L105&lt;0,  Sheet1!$C$21&gt;R105),    IF(OR(Sheet1!$C$21&lt;=R106,  Sheet1!L106=""),       IF(AND(MOD(NOW(),1)&lt;TIME(9,39,0),Sheet1!$C$22=TODAY()),    Sheet1!$C$21-R105,     Sheet1!$C$21-R105-1),               R106-R105-1),    0)</f>
        <v>0</v>
      </c>
      <c r="F105" s="30"/>
      <c r="G105" s="25" t="str">
        <f>IF(LEFT(Sheet1!K106,2)="0x",Sheet1!K105,IF(AND(Sheet1!L105="",Sheet1!L104=""),"",G104))</f>
        <v/>
      </c>
      <c r="H105" s="81"/>
      <c r="I105" s="43" t="str">
        <f t="shared" si="13"/>
        <v/>
      </c>
      <c r="J105" s="29" t="str">
        <f t="shared" si="12"/>
        <v/>
      </c>
      <c r="K105" s="24" t="str">
        <f>IF(Sheet1!L105="","",IF(Sheet1!L105&gt;0,ROW(),""))</f>
        <v/>
      </c>
      <c r="L105" s="24" t="str">
        <f t="shared" ca="1" si="11"/>
        <v/>
      </c>
      <c r="M105" s="47" t="str">
        <f t="shared" ca="1" si="10"/>
        <v/>
      </c>
      <c r="N105" s="48" t="str">
        <f>IF(LEFT(Sheet1!K105,2)="0x",Sheet1!K105,IF(AND(Sheet1!L105="",Sheet1!L104=""),"",N104))</f>
        <v/>
      </c>
      <c r="O105" s="46">
        <f>IF(Sheet1!L105="",0,IF(Sheet1!O105&lt;TIME(7,39,0)+Sheet1!$E$3/24,1,0))</f>
        <v>0</v>
      </c>
      <c r="P105" s="46" t="str">
        <f ca="1">IF(AND(Sheet1!L105&lt;0, Sheet1!$C$21&gt;R105,OR(Sheet1!$C$21&lt;=R106,Sheet1!L106="")),   -1*Sheet1!L105,"")</f>
        <v/>
      </c>
    </row>
    <row r="106" spans="1:16" ht="15.75" x14ac:dyDescent="0.25">
      <c r="A106" s="456" t="str">
        <f>IF(AND(R106&lt;&gt;"",R105&lt;&gt;""),(-Sheet1!L106/Sheet1!L105)^(360/(R106-R105-1))-1,"")</f>
        <v/>
      </c>
      <c r="B106" s="41" t="str">
        <f ca="1">IF(AND(Sheet1!L106&lt;0, Sheet1!$C$21&gt;R106+1,OR(Sheet1!$C$21&lt;=R107,Sheet1!L107="")),   -1*Sheet1!L106,"")</f>
        <v/>
      </c>
      <c r="C106" s="42">
        <f ca="1">IF(Sheet3!$B$5="",0,    IF(E106&lt;1,0,  IF(B106="","",     IF(OR(Sheet3!$B$6=0,INDIRECT(ADDRESS(ROW(),Sheet3!$B$3+16))="" ),D106/E106,    IF(E106&lt;0,0,    IF(OR( INDIRECT(ADDRESS(8,Sheet3!$B$3+16))="",INDIRECT(ADDRESS(ROW(),Sheet3!$B$3+17))=""),        (INDIRECT(ADDRESS(ROW(),Sheet3!$B$3+16))+B106)*Sheet3!$Q$4,         INDIRECT(ADDRESS(ROW(),Sheet3!$B$3+17))-INDIRECT(ADDRESS(ROW(),Sheet3!$B$3+16))))))))</f>
        <v>0</v>
      </c>
      <c r="D106" s="39">
        <f ca="1">IF(Sheet3!$B$5="",0,IF(B106="","",IF(E106&lt;1,0,   IF(INDIRECT(ADDRESS(ROW(), Sheet3!$B$3+17))="",        INDIRECT(ADDRESS(ROW(), Sheet3!$B$3+16))*  (1+Sheet3!$Q$4)   +B106*Sheet3!$Q$4,       INDIRECT(ADDRESS(ROW(), Sheet3!$B$3+17))))))</f>
        <v>0</v>
      </c>
      <c r="E106" s="40">
        <f ca="1">IF(AND(Sheet1!L106&lt;0,  Sheet1!$C$21&gt;R106),    IF(OR(Sheet1!$C$21&lt;=R107,  Sheet1!L107=""),       IF(AND(MOD(NOW(),1)&lt;TIME(9,39,0),Sheet1!$C$22=TODAY()),    Sheet1!$C$21-R106,     Sheet1!$C$21-R106-1),               R107-R106-1),    0)</f>
        <v>0</v>
      </c>
      <c r="F106" s="30"/>
      <c r="G106" s="25" t="str">
        <f>IF(LEFT(Sheet1!K107,2)="0x",Sheet1!K106,IF(AND(Sheet1!L106="",Sheet1!L105=""),"",G105))</f>
        <v/>
      </c>
      <c r="H106" s="81"/>
      <c r="I106" s="43" t="str">
        <f t="shared" si="13"/>
        <v/>
      </c>
      <c r="J106" s="29" t="str">
        <f t="shared" si="12"/>
        <v/>
      </c>
      <c r="K106" s="24" t="str">
        <f>IF(Sheet1!L106="","",IF(Sheet1!L106&gt;0,ROW(),""))</f>
        <v/>
      </c>
      <c r="L106" s="24" t="str">
        <f t="shared" ca="1" si="11"/>
        <v/>
      </c>
      <c r="M106" s="47" t="str">
        <f t="shared" ca="1" si="10"/>
        <v/>
      </c>
      <c r="N106" s="48" t="str">
        <f>IF(LEFT(Sheet1!K106,2)="0x",Sheet1!K106,IF(AND(Sheet1!L106="",Sheet1!L105=""),"",N105))</f>
        <v/>
      </c>
      <c r="O106" s="46">
        <f>IF(Sheet1!L106="",0,IF(Sheet1!O106&lt;TIME(7,39,0)+Sheet1!$E$3/24,1,0))</f>
        <v>0</v>
      </c>
      <c r="P106" s="46" t="str">
        <f ca="1">IF(AND(Sheet1!L106&lt;0, Sheet1!$C$21&gt;R106,OR(Sheet1!$C$21&lt;=R107,Sheet1!L107="")),   -1*Sheet1!L106,"")</f>
        <v/>
      </c>
    </row>
    <row r="107" spans="1:16" ht="15.75" x14ac:dyDescent="0.25">
      <c r="A107" s="456" t="str">
        <f>IF(AND(R107&lt;&gt;"",R106&lt;&gt;""),(-Sheet1!L107/Sheet1!L106)^(360/(R107-R106-1))-1,"")</f>
        <v/>
      </c>
      <c r="B107" s="41" t="str">
        <f ca="1">IF(AND(Sheet1!L107&lt;0, Sheet1!$C$21&gt;R107+1,OR(Sheet1!$C$21&lt;=R108,Sheet1!L108="")),   -1*Sheet1!L107,"")</f>
        <v/>
      </c>
      <c r="C107" s="42">
        <f ca="1">IF(Sheet3!$B$5="",0,    IF(E107&lt;1,0,  IF(B107="","",     IF(OR(Sheet3!$B$6=0,INDIRECT(ADDRESS(ROW(),Sheet3!$B$3+16))="" ),D107/E107,    IF(E107&lt;0,0,    IF(OR( INDIRECT(ADDRESS(8,Sheet3!$B$3+16))="",INDIRECT(ADDRESS(ROW(),Sheet3!$B$3+17))=""),        (INDIRECT(ADDRESS(ROW(),Sheet3!$B$3+16))+B107)*Sheet3!$Q$4,         INDIRECT(ADDRESS(ROW(),Sheet3!$B$3+17))-INDIRECT(ADDRESS(ROW(),Sheet3!$B$3+16))))))))</f>
        <v>0</v>
      </c>
      <c r="D107" s="39">
        <f ca="1">IF(Sheet3!$B$5="",0,IF(B107="","",IF(E107&lt;1,0,   IF(INDIRECT(ADDRESS(ROW(), Sheet3!$B$3+17))="",        INDIRECT(ADDRESS(ROW(), Sheet3!$B$3+16))*  (1+Sheet3!$Q$4)   +B107*Sheet3!$Q$4,       INDIRECT(ADDRESS(ROW(), Sheet3!$B$3+17))))))</f>
        <v>0</v>
      </c>
      <c r="E107" s="40">
        <f ca="1">IF(AND(Sheet1!L107&lt;0,  Sheet1!$C$21&gt;R107),    IF(OR(Sheet1!$C$21&lt;=R108,  Sheet1!L108=""),       IF(AND(MOD(NOW(),1)&lt;TIME(9,39,0),Sheet1!$C$22=TODAY()),    Sheet1!$C$21-R107,     Sheet1!$C$21-R107-1),               R108-R107-1),    0)</f>
        <v>0</v>
      </c>
      <c r="F107" s="30"/>
      <c r="G107" s="25" t="str">
        <f>IF(LEFT(Sheet1!K108,2)="0x",Sheet1!K107,IF(AND(Sheet1!L107="",Sheet1!L106=""),"",G106))</f>
        <v/>
      </c>
      <c r="H107" s="81"/>
      <c r="I107" s="43" t="str">
        <f t="shared" si="13"/>
        <v/>
      </c>
      <c r="J107" s="29" t="str">
        <f t="shared" si="12"/>
        <v/>
      </c>
      <c r="K107" s="24" t="str">
        <f>IF(Sheet1!L107="","",IF(Sheet1!L107&gt;0,ROW(),""))</f>
        <v/>
      </c>
      <c r="L107" s="24" t="str">
        <f t="shared" ca="1" si="11"/>
        <v/>
      </c>
      <c r="M107" s="47" t="str">
        <f t="shared" ca="1" si="10"/>
        <v/>
      </c>
      <c r="N107" s="48" t="str">
        <f>IF(LEFT(Sheet1!K107,2)="0x",Sheet1!K107,IF(AND(Sheet1!L107="",Sheet1!L106=""),"",N106))</f>
        <v/>
      </c>
      <c r="O107" s="46">
        <f>IF(Sheet1!L107="",0,IF(Sheet1!O107&lt;TIME(7,39,0)+Sheet1!$E$3/24,1,0))</f>
        <v>0</v>
      </c>
      <c r="P107" s="46" t="str">
        <f ca="1">IF(AND(Sheet1!L107&lt;0, Sheet1!$C$21&gt;R107,OR(Sheet1!$C$21&lt;=R108,Sheet1!L108="")),   -1*Sheet1!L107,"")</f>
        <v/>
      </c>
    </row>
    <row r="108" spans="1:16" ht="15.75" x14ac:dyDescent="0.25">
      <c r="A108" s="456" t="str">
        <f>IF(AND(R108&lt;&gt;"",R107&lt;&gt;""),(-Sheet1!L108/Sheet1!L107)^(360/(R108-R107-1))-1,"")</f>
        <v/>
      </c>
      <c r="B108" s="41" t="str">
        <f ca="1">IF(AND(Sheet1!L108&lt;0, Sheet1!$C$21&gt;R108+1,OR(Sheet1!$C$21&lt;=R109,Sheet1!L109="")),   -1*Sheet1!L108,"")</f>
        <v/>
      </c>
      <c r="C108" s="42">
        <f ca="1">IF(Sheet3!$B$5="",0,    IF(E108&lt;1,0,  IF(B108="","",     IF(OR(Sheet3!$B$6=0,INDIRECT(ADDRESS(ROW(),Sheet3!$B$3+16))="" ),D108/E108,    IF(E108&lt;0,0,    IF(OR( INDIRECT(ADDRESS(8,Sheet3!$B$3+16))="",INDIRECT(ADDRESS(ROW(),Sheet3!$B$3+17))=""),        (INDIRECT(ADDRESS(ROW(),Sheet3!$B$3+16))+B108)*Sheet3!$Q$4,         INDIRECT(ADDRESS(ROW(),Sheet3!$B$3+17))-INDIRECT(ADDRESS(ROW(),Sheet3!$B$3+16))))))))</f>
        <v>0</v>
      </c>
      <c r="D108" s="39">
        <f ca="1">IF(Sheet3!$B$5="",0,IF(B108="","",IF(E108&lt;1,0,   IF(INDIRECT(ADDRESS(ROW(), Sheet3!$B$3+17))="",        INDIRECT(ADDRESS(ROW(), Sheet3!$B$3+16))*  (1+Sheet3!$Q$4)   +B108*Sheet3!$Q$4,       INDIRECT(ADDRESS(ROW(), Sheet3!$B$3+17))))))</f>
        <v>0</v>
      </c>
      <c r="E108" s="40">
        <f ca="1">IF(AND(Sheet1!L108&lt;0,  Sheet1!$C$21&gt;R108),    IF(OR(Sheet1!$C$21&lt;=R109,  Sheet1!L109=""),       IF(AND(MOD(NOW(),1)&lt;TIME(9,39,0),Sheet1!$C$22=TODAY()),    Sheet1!$C$21-R108,     Sheet1!$C$21-R108-1),               R109-R108-1),    0)</f>
        <v>0</v>
      </c>
      <c r="F108" s="30"/>
      <c r="G108" s="25" t="str">
        <f>IF(LEFT(Sheet1!K109,2)="0x",Sheet1!K108,IF(AND(Sheet1!L108="",Sheet1!L107=""),"",G107))</f>
        <v/>
      </c>
      <c r="H108" s="81"/>
      <c r="I108" s="43" t="str">
        <f t="shared" si="13"/>
        <v/>
      </c>
      <c r="J108" s="29" t="str">
        <f t="shared" si="12"/>
        <v/>
      </c>
      <c r="K108" s="24" t="str">
        <f>IF(Sheet1!L108="","",IF(Sheet1!L108&gt;0,ROW(),""))</f>
        <v/>
      </c>
      <c r="L108" s="24" t="str">
        <f t="shared" ca="1" si="11"/>
        <v/>
      </c>
      <c r="M108" s="47" t="str">
        <f t="shared" ca="1" si="10"/>
        <v/>
      </c>
      <c r="N108" s="48" t="str">
        <f>IF(LEFT(Sheet1!K108,2)="0x",Sheet1!K108,IF(AND(Sheet1!L108="",Sheet1!L107=""),"",N107))</f>
        <v/>
      </c>
      <c r="O108" s="46">
        <f>IF(Sheet1!L108="",0,IF(Sheet1!O108&lt;TIME(7,39,0)+Sheet1!$E$3/24,1,0))</f>
        <v>0</v>
      </c>
      <c r="P108" s="46" t="str">
        <f ca="1">IF(AND(Sheet1!L108&lt;0, Sheet1!$C$21&gt;R108,OR(Sheet1!$C$21&lt;=R109,Sheet1!L109="")),   -1*Sheet1!L108,"")</f>
        <v/>
      </c>
    </row>
    <row r="109" spans="1:16" ht="15.75" x14ac:dyDescent="0.25">
      <c r="A109" s="456" t="str">
        <f>IF(AND(R109&lt;&gt;"",R108&lt;&gt;""),(-Sheet1!L109/Sheet1!L108)^(360/(R109-R108-1))-1,"")</f>
        <v/>
      </c>
      <c r="B109" s="41" t="str">
        <f ca="1">IF(AND(Sheet1!L109&lt;0, Sheet1!$C$21&gt;R109+1,OR(Sheet1!$C$21&lt;=R110,Sheet1!L110="")),   -1*Sheet1!L109,"")</f>
        <v/>
      </c>
      <c r="C109" s="42">
        <f ca="1">IF(Sheet3!$B$5="",0,    IF(E109&lt;1,0,  IF(B109="","",     IF(OR(Sheet3!$B$6=0,INDIRECT(ADDRESS(ROW(),Sheet3!$B$3+16))="" ),D109/E109,    IF(E109&lt;0,0,    IF(OR( INDIRECT(ADDRESS(8,Sheet3!$B$3+16))="",INDIRECT(ADDRESS(ROW(),Sheet3!$B$3+17))=""),        (INDIRECT(ADDRESS(ROW(),Sheet3!$B$3+16))+B109)*Sheet3!$Q$4,         INDIRECT(ADDRESS(ROW(),Sheet3!$B$3+17))-INDIRECT(ADDRESS(ROW(),Sheet3!$B$3+16))))))))</f>
        <v>0</v>
      </c>
      <c r="D109" s="39">
        <f ca="1">IF(Sheet3!$B$5="",0,IF(B109="","",IF(E109&lt;1,0,   IF(INDIRECT(ADDRESS(ROW(), Sheet3!$B$3+17))="",        INDIRECT(ADDRESS(ROW(), Sheet3!$B$3+16))*  (1+Sheet3!$Q$4)   +B109*Sheet3!$Q$4,       INDIRECT(ADDRESS(ROW(), Sheet3!$B$3+17))))))</f>
        <v>0</v>
      </c>
      <c r="E109" s="40">
        <f ca="1">IF(AND(Sheet1!L109&lt;0,  Sheet1!$C$21&gt;R109),    IF(OR(Sheet1!$C$21&lt;=R110,  Sheet1!L110=""),       IF(AND(MOD(NOW(),1)&lt;TIME(9,39,0),Sheet1!$C$22=TODAY()),    Sheet1!$C$21-R109,     Sheet1!$C$21-R109-1),               R110-R109-1),    0)</f>
        <v>0</v>
      </c>
      <c r="F109" s="30"/>
      <c r="G109" s="25" t="str">
        <f>IF(LEFT(Sheet1!K110,2)="0x",Sheet1!K109,IF(AND(Sheet1!L109="",Sheet1!L108=""),"",G108))</f>
        <v/>
      </c>
      <c r="H109" s="81"/>
      <c r="I109" s="43" t="str">
        <f t="shared" si="13"/>
        <v/>
      </c>
      <c r="J109" s="29" t="str">
        <f t="shared" si="12"/>
        <v/>
      </c>
      <c r="K109" s="24" t="str">
        <f>IF(Sheet1!L109="","",IF(Sheet1!L109&gt;0,ROW(),""))</f>
        <v/>
      </c>
      <c r="L109" s="24" t="str">
        <f t="shared" ca="1" si="11"/>
        <v/>
      </c>
      <c r="M109" s="47" t="str">
        <f t="shared" ca="1" si="10"/>
        <v/>
      </c>
      <c r="N109" s="48" t="str">
        <f>IF(LEFT(Sheet1!K109,2)="0x",Sheet1!K109,IF(AND(Sheet1!L109="",Sheet1!L108=""),"",N108))</f>
        <v/>
      </c>
      <c r="O109" s="46">
        <f>IF(Sheet1!L109="",0,IF(Sheet1!O109&lt;TIME(7,39,0)+Sheet1!$E$3/24,1,0))</f>
        <v>0</v>
      </c>
      <c r="P109" s="46" t="str">
        <f ca="1">IF(AND(Sheet1!L109&lt;0, Sheet1!$C$21&gt;R109,OR(Sheet1!$C$21&lt;=R110,Sheet1!L110="")),   -1*Sheet1!L109,"")</f>
        <v/>
      </c>
    </row>
    <row r="110" spans="1:16" ht="15.75" x14ac:dyDescent="0.25">
      <c r="A110" s="456" t="str">
        <f>IF(AND(R110&lt;&gt;"",R109&lt;&gt;""),(-Sheet1!L110/Sheet1!L109)^(360/(R110-R109-1))-1,"")</f>
        <v/>
      </c>
      <c r="B110" s="41" t="str">
        <f ca="1">IF(AND(Sheet1!L110&lt;0, Sheet1!$C$21&gt;R110+1,OR(Sheet1!$C$21&lt;=R111,Sheet1!L111="")),   -1*Sheet1!L110,"")</f>
        <v/>
      </c>
      <c r="C110" s="42">
        <f ca="1">IF(Sheet3!$B$5="",0,    IF(E110&lt;1,0,  IF(B110="","",     IF(OR(Sheet3!$B$6=0,INDIRECT(ADDRESS(ROW(),Sheet3!$B$3+16))="" ),D110/E110,    IF(E110&lt;0,0,    IF(OR( INDIRECT(ADDRESS(8,Sheet3!$B$3+16))="",INDIRECT(ADDRESS(ROW(),Sheet3!$B$3+17))=""),        (INDIRECT(ADDRESS(ROW(),Sheet3!$B$3+16))+B110)*Sheet3!$Q$4,         INDIRECT(ADDRESS(ROW(),Sheet3!$B$3+17))-INDIRECT(ADDRESS(ROW(),Sheet3!$B$3+16))))))))</f>
        <v>0</v>
      </c>
      <c r="D110" s="39">
        <f ca="1">IF(Sheet3!$B$5="",0,IF(B110="","",IF(E110&lt;1,0,   IF(INDIRECT(ADDRESS(ROW(), Sheet3!$B$3+17))="",        INDIRECT(ADDRESS(ROW(), Sheet3!$B$3+16))*  (1+Sheet3!$Q$4)   +B110*Sheet3!$Q$4,       INDIRECT(ADDRESS(ROW(), Sheet3!$B$3+17))))))</f>
        <v>0</v>
      </c>
      <c r="E110" s="40">
        <f ca="1">IF(AND(Sheet1!L110&lt;0,  Sheet1!$C$21&gt;R110),    IF(OR(Sheet1!$C$21&lt;=R111,  Sheet1!L111=""),       IF(AND(MOD(NOW(),1)&lt;TIME(9,39,0),Sheet1!$C$22=TODAY()),    Sheet1!$C$21-R110,     Sheet1!$C$21-R110-1),               R111-R110-1),    0)</f>
        <v>0</v>
      </c>
      <c r="F110" s="30"/>
      <c r="G110" s="25" t="str">
        <f>IF(LEFT(Sheet1!K111,2)="0x",Sheet1!K110,IF(AND(Sheet1!L110="",Sheet1!L109=""),"",G109))</f>
        <v/>
      </c>
      <c r="H110" s="81"/>
      <c r="I110" s="43" t="str">
        <f t="shared" si="13"/>
        <v/>
      </c>
      <c r="J110" s="29" t="str">
        <f t="shared" si="12"/>
        <v/>
      </c>
      <c r="K110" s="24" t="str">
        <f>IF(Sheet1!L110="","",IF(Sheet1!L110&gt;0,ROW(),""))</f>
        <v/>
      </c>
      <c r="L110" s="24" t="str">
        <f t="shared" ca="1" si="11"/>
        <v/>
      </c>
      <c r="M110" s="47" t="str">
        <f t="shared" ca="1" si="10"/>
        <v/>
      </c>
      <c r="N110" s="48" t="str">
        <f>IF(LEFT(Sheet1!K110,2)="0x",Sheet1!K110,IF(AND(Sheet1!L110="",Sheet1!L109=""),"",N109))</f>
        <v/>
      </c>
      <c r="O110" s="46">
        <f>IF(Sheet1!L110="",0,IF(Sheet1!O110&lt;TIME(7,39,0)+Sheet1!$E$3/24,1,0))</f>
        <v>0</v>
      </c>
      <c r="P110" s="46" t="str">
        <f ca="1">IF(AND(Sheet1!L110&lt;0, Sheet1!$C$21&gt;R110,OR(Sheet1!$C$21&lt;=R111,Sheet1!L111="")),   -1*Sheet1!L110,"")</f>
        <v/>
      </c>
    </row>
    <row r="111" spans="1:16" ht="15.75" x14ac:dyDescent="0.25">
      <c r="A111" s="456" t="str">
        <f>IF(AND(R111&lt;&gt;"",R110&lt;&gt;""),(-Sheet1!L111/Sheet1!L110)^(360/(R111-R110-1))-1,"")</f>
        <v/>
      </c>
      <c r="B111" s="41" t="str">
        <f ca="1">IF(AND(Sheet1!L111&lt;0, Sheet1!$C$21&gt;R111+1,OR(Sheet1!$C$21&lt;=R112,Sheet1!L112="")),   -1*Sheet1!L111,"")</f>
        <v/>
      </c>
      <c r="C111" s="42">
        <f ca="1">IF(Sheet3!$B$5="",0,    IF(E111&lt;1,0,  IF(B111="","",     IF(OR(Sheet3!$B$6=0,INDIRECT(ADDRESS(ROW(),Sheet3!$B$3+16))="" ),D111/E111,    IF(E111&lt;0,0,    IF(OR( INDIRECT(ADDRESS(8,Sheet3!$B$3+16))="",INDIRECT(ADDRESS(ROW(),Sheet3!$B$3+17))=""),        (INDIRECT(ADDRESS(ROW(),Sheet3!$B$3+16))+B111)*Sheet3!$Q$4,         INDIRECT(ADDRESS(ROW(),Sheet3!$B$3+17))-INDIRECT(ADDRESS(ROW(),Sheet3!$B$3+16))))))))</f>
        <v>0</v>
      </c>
      <c r="D111" s="39">
        <f ca="1">IF(Sheet3!$B$5="",0,IF(B111="","",IF(E111&lt;1,0,   IF(INDIRECT(ADDRESS(ROW(), Sheet3!$B$3+17))="",        INDIRECT(ADDRESS(ROW(), Sheet3!$B$3+16))*  (1+Sheet3!$Q$4)   +B111*Sheet3!$Q$4,       INDIRECT(ADDRESS(ROW(), Sheet3!$B$3+17))))))</f>
        <v>0</v>
      </c>
      <c r="E111" s="40">
        <f ca="1">IF(AND(Sheet1!L111&lt;0,  Sheet1!$C$21&gt;R111),    IF(OR(Sheet1!$C$21&lt;=R112,  Sheet1!L112=""),       IF(AND(MOD(NOW(),1)&lt;TIME(9,39,0),Sheet1!$C$22=TODAY()),    Sheet1!$C$21-R111,     Sheet1!$C$21-R111-1),               R112-R111-1),    0)</f>
        <v>0</v>
      </c>
      <c r="F111" s="30"/>
      <c r="G111" s="25" t="str">
        <f>IF(LEFT(Sheet1!K112,2)="0x",Sheet1!K111,IF(AND(Sheet1!L111="",Sheet1!L110=""),"",G110))</f>
        <v/>
      </c>
      <c r="H111" s="81"/>
      <c r="I111" s="43" t="str">
        <f t="shared" si="13"/>
        <v/>
      </c>
      <c r="J111" s="29" t="str">
        <f t="shared" si="12"/>
        <v/>
      </c>
      <c r="K111" s="24" t="str">
        <f>IF(Sheet1!L111="","",IF(Sheet1!L111&gt;0,ROW(),""))</f>
        <v/>
      </c>
      <c r="L111" s="24" t="str">
        <f t="shared" ca="1" si="11"/>
        <v/>
      </c>
      <c r="M111" s="47" t="str">
        <f t="shared" ca="1" si="10"/>
        <v/>
      </c>
      <c r="N111" s="48" t="str">
        <f>IF(LEFT(Sheet1!K111,2)="0x",Sheet1!K111,IF(AND(Sheet1!L111="",Sheet1!L110=""),"",N110))</f>
        <v/>
      </c>
      <c r="O111" s="46">
        <f>IF(Sheet1!L111="",0,IF(Sheet1!O111&lt;TIME(7,39,0)+Sheet1!$E$3/24,1,0))</f>
        <v>0</v>
      </c>
      <c r="P111" s="46" t="str">
        <f ca="1">IF(AND(Sheet1!L111&lt;0, Sheet1!$C$21&gt;R111,OR(Sheet1!$C$21&lt;=R112,Sheet1!L112="")),   -1*Sheet1!L111,"")</f>
        <v/>
      </c>
    </row>
    <row r="112" spans="1:16" ht="15.75" x14ac:dyDescent="0.25">
      <c r="A112" s="456" t="str">
        <f>IF(AND(R112&lt;&gt;"",R111&lt;&gt;""),(-Sheet1!L112/Sheet1!L111)^(360/(R112-R111-1))-1,"")</f>
        <v/>
      </c>
      <c r="B112" s="41" t="str">
        <f ca="1">IF(AND(Sheet1!L112&lt;0, Sheet1!$C$21&gt;R112+1,OR(Sheet1!$C$21&lt;=R113,Sheet1!L113="")),   -1*Sheet1!L112,"")</f>
        <v/>
      </c>
      <c r="C112" s="42">
        <f ca="1">IF(Sheet3!$B$5="",0,    IF(E112&lt;1,0,  IF(B112="","",     IF(OR(Sheet3!$B$6=0,INDIRECT(ADDRESS(ROW(),Sheet3!$B$3+16))="" ),D112/E112,    IF(E112&lt;0,0,    IF(OR( INDIRECT(ADDRESS(8,Sheet3!$B$3+16))="",INDIRECT(ADDRESS(ROW(),Sheet3!$B$3+17))=""),        (INDIRECT(ADDRESS(ROW(),Sheet3!$B$3+16))+B112)*Sheet3!$Q$4,         INDIRECT(ADDRESS(ROW(),Sheet3!$B$3+17))-INDIRECT(ADDRESS(ROW(),Sheet3!$B$3+16))))))))</f>
        <v>0</v>
      </c>
      <c r="D112" s="39">
        <f ca="1">IF(Sheet3!$B$5="",0,IF(B112="","",IF(E112&lt;1,0,   IF(INDIRECT(ADDRESS(ROW(), Sheet3!$B$3+17))="",        INDIRECT(ADDRESS(ROW(), Sheet3!$B$3+16))*  (1+Sheet3!$Q$4)   +B112*Sheet3!$Q$4,       INDIRECT(ADDRESS(ROW(), Sheet3!$B$3+17))))))</f>
        <v>0</v>
      </c>
      <c r="E112" s="40">
        <f ca="1">IF(AND(Sheet1!L112&lt;0,  Sheet1!$C$21&gt;R112),    IF(OR(Sheet1!$C$21&lt;=R113,  Sheet1!L113=""),       IF(AND(MOD(NOW(),1)&lt;TIME(9,39,0),Sheet1!$C$22=TODAY()),    Sheet1!$C$21-R112,     Sheet1!$C$21-R112-1),               R113-R112-1),    0)</f>
        <v>0</v>
      </c>
      <c r="F112" s="30"/>
      <c r="G112" s="25" t="str">
        <f>IF(LEFT(Sheet1!K113,2)="0x",Sheet1!K112,IF(AND(Sheet1!L112="",Sheet1!L111=""),"",G111))</f>
        <v/>
      </c>
      <c r="H112" s="81"/>
      <c r="I112" s="43" t="str">
        <f t="shared" si="13"/>
        <v/>
      </c>
      <c r="J112" s="29" t="str">
        <f t="shared" si="12"/>
        <v/>
      </c>
      <c r="K112" s="24" t="str">
        <f>IF(Sheet1!L112="","",IF(Sheet1!L112&gt;0,ROW(),""))</f>
        <v/>
      </c>
      <c r="L112" s="24" t="str">
        <f t="shared" ca="1" si="11"/>
        <v/>
      </c>
      <c r="M112" s="47" t="str">
        <f t="shared" ca="1" si="10"/>
        <v/>
      </c>
      <c r="N112" s="48" t="str">
        <f>IF(LEFT(Sheet1!K112,2)="0x",Sheet1!K112,IF(AND(Sheet1!L112="",Sheet1!L111=""),"",N111))</f>
        <v/>
      </c>
      <c r="O112" s="46">
        <f>IF(Sheet1!L112="",0,IF(Sheet1!O112&lt;TIME(7,39,0)+Sheet1!$E$3/24,1,0))</f>
        <v>0</v>
      </c>
      <c r="P112" s="46" t="str">
        <f ca="1">IF(AND(Sheet1!L112&lt;0, Sheet1!$C$21&gt;R112,OR(Sheet1!$C$21&lt;=R113,Sheet1!L113="")),   -1*Sheet1!L112,"")</f>
        <v/>
      </c>
    </row>
    <row r="113" spans="1:16" ht="15.75" x14ac:dyDescent="0.25">
      <c r="A113" s="456" t="str">
        <f>IF(AND(R113&lt;&gt;"",R112&lt;&gt;""),(-Sheet1!L113/Sheet1!L112)^(360/(R113-R112-1))-1,"")</f>
        <v/>
      </c>
      <c r="B113" s="41" t="str">
        <f ca="1">IF(AND(Sheet1!L113&lt;0, Sheet1!$C$21&gt;R113+1,OR(Sheet1!$C$21&lt;=R114,Sheet1!L114="")),   -1*Sheet1!L113,"")</f>
        <v/>
      </c>
      <c r="C113" s="42">
        <f ca="1">IF(Sheet3!$B$5="",0,    IF(E113&lt;1,0,  IF(B113="","",     IF(OR(Sheet3!$B$6=0,INDIRECT(ADDRESS(ROW(),Sheet3!$B$3+16))="" ),D113/E113,    IF(E113&lt;0,0,    IF(OR( INDIRECT(ADDRESS(8,Sheet3!$B$3+16))="",INDIRECT(ADDRESS(ROW(),Sheet3!$B$3+17))=""),        (INDIRECT(ADDRESS(ROW(),Sheet3!$B$3+16))+B113)*Sheet3!$Q$4,         INDIRECT(ADDRESS(ROW(),Sheet3!$B$3+17))-INDIRECT(ADDRESS(ROW(),Sheet3!$B$3+16))))))))</f>
        <v>0</v>
      </c>
      <c r="D113" s="39">
        <f ca="1">IF(Sheet3!$B$5="",0,IF(B113="","",IF(E113&lt;1,0,   IF(INDIRECT(ADDRESS(ROW(), Sheet3!$B$3+17))="",        INDIRECT(ADDRESS(ROW(), Sheet3!$B$3+16))*  (1+Sheet3!$Q$4)   +B113*Sheet3!$Q$4,       INDIRECT(ADDRESS(ROW(), Sheet3!$B$3+17))))))</f>
        <v>0</v>
      </c>
      <c r="E113" s="40">
        <f ca="1">IF(AND(Sheet1!L113&lt;0,  Sheet1!$C$21&gt;R113),    IF(OR(Sheet1!$C$21&lt;=R114,  Sheet1!L114=""),       IF(AND(MOD(NOW(),1)&lt;TIME(9,39,0),Sheet1!$C$22=TODAY()),    Sheet1!$C$21-R113,     Sheet1!$C$21-R113-1),               R114-R113-1),    0)</f>
        <v>0</v>
      </c>
      <c r="F113" s="30"/>
      <c r="G113" s="25" t="str">
        <f>IF(LEFT(Sheet1!K114,2)="0x",Sheet1!K113,IF(AND(Sheet1!L113="",Sheet1!L112=""),"",G112))</f>
        <v/>
      </c>
      <c r="H113" s="81"/>
      <c r="I113" s="43" t="str">
        <f t="shared" si="13"/>
        <v/>
      </c>
      <c r="J113" s="29" t="str">
        <f t="shared" si="12"/>
        <v/>
      </c>
      <c r="K113" s="24" t="str">
        <f>IF(Sheet1!L113="","",IF(Sheet1!L113&gt;0,ROW(),""))</f>
        <v/>
      </c>
      <c r="L113" s="24" t="str">
        <f t="shared" ca="1" si="11"/>
        <v/>
      </c>
      <c r="M113" s="47" t="str">
        <f t="shared" ca="1" si="10"/>
        <v/>
      </c>
      <c r="N113" s="48" t="str">
        <f>IF(LEFT(Sheet1!K113,2)="0x",Sheet1!K113,IF(AND(Sheet1!L113="",Sheet1!L112=""),"",N112))</f>
        <v/>
      </c>
      <c r="O113" s="46">
        <f>IF(Sheet1!L113="",0,IF(Sheet1!O113&lt;TIME(7,39,0)+Sheet1!$E$3/24,1,0))</f>
        <v>0</v>
      </c>
      <c r="P113" s="46" t="str">
        <f ca="1">IF(AND(Sheet1!L113&lt;0, Sheet1!$C$21&gt;R113,OR(Sheet1!$C$21&lt;=R114,Sheet1!L114="")),   -1*Sheet1!L113,"")</f>
        <v/>
      </c>
    </row>
    <row r="114" spans="1:16" ht="15.75" x14ac:dyDescent="0.25">
      <c r="A114" s="456" t="str">
        <f>IF(AND(R114&lt;&gt;"",R113&lt;&gt;""),(-Sheet1!L114/Sheet1!L113)^(360/(R114-R113-1))-1,"")</f>
        <v/>
      </c>
      <c r="B114" s="41" t="str">
        <f ca="1">IF(AND(Sheet1!L114&lt;0, Sheet1!$C$21&gt;R114+1,OR(Sheet1!$C$21&lt;=R115,Sheet1!L115="")),   -1*Sheet1!L114,"")</f>
        <v/>
      </c>
      <c r="C114" s="42">
        <f ca="1">IF(Sheet3!$B$5="",0,    IF(E114&lt;1,0,  IF(B114="","",     IF(OR(Sheet3!$B$6=0,INDIRECT(ADDRESS(ROW(),Sheet3!$B$3+16))="" ),D114/E114,    IF(E114&lt;0,0,    IF(OR( INDIRECT(ADDRESS(8,Sheet3!$B$3+16))="",INDIRECT(ADDRESS(ROW(),Sheet3!$B$3+17))=""),        (INDIRECT(ADDRESS(ROW(),Sheet3!$B$3+16))+B114)*Sheet3!$Q$4,         INDIRECT(ADDRESS(ROW(),Sheet3!$B$3+17))-INDIRECT(ADDRESS(ROW(),Sheet3!$B$3+16))))))))</f>
        <v>0</v>
      </c>
      <c r="D114" s="39">
        <f ca="1">IF(Sheet3!$B$5="",0,IF(B114="","",IF(E114&lt;1,0,   IF(INDIRECT(ADDRESS(ROW(), Sheet3!$B$3+17))="",        INDIRECT(ADDRESS(ROW(), Sheet3!$B$3+16))*  (1+Sheet3!$Q$4)   +B114*Sheet3!$Q$4,       INDIRECT(ADDRESS(ROW(), Sheet3!$B$3+17))))))</f>
        <v>0</v>
      </c>
      <c r="E114" s="40">
        <f ca="1">IF(AND(Sheet1!L114&lt;0,  Sheet1!$C$21&gt;R114),    IF(OR(Sheet1!$C$21&lt;=R115,  Sheet1!L115=""),       IF(AND(MOD(NOW(),1)&lt;TIME(9,39,0),Sheet1!$C$22=TODAY()),    Sheet1!$C$21-R114,     Sheet1!$C$21-R114-1),               R115-R114-1),    0)</f>
        <v>0</v>
      </c>
      <c r="F114" s="30"/>
      <c r="G114" s="25" t="str">
        <f>IF(LEFT(Sheet1!K115,2)="0x",Sheet1!K114,IF(AND(Sheet1!L114="",Sheet1!L113=""),"",G113))</f>
        <v/>
      </c>
      <c r="H114" s="81"/>
      <c r="I114" s="43" t="str">
        <f t="shared" si="13"/>
        <v/>
      </c>
      <c r="J114" s="29" t="str">
        <f t="shared" si="12"/>
        <v/>
      </c>
      <c r="K114" s="24" t="str">
        <f>IF(Sheet1!L114="","",IF(Sheet1!L114&gt;0,ROW(),""))</f>
        <v/>
      </c>
      <c r="L114" s="24" t="str">
        <f t="shared" ca="1" si="11"/>
        <v/>
      </c>
      <c r="M114" s="47" t="str">
        <f t="shared" ca="1" si="10"/>
        <v/>
      </c>
      <c r="N114" s="48" t="str">
        <f>IF(LEFT(Sheet1!K114,2)="0x",Sheet1!K114,IF(AND(Sheet1!L114="",Sheet1!L113=""),"",N113))</f>
        <v/>
      </c>
      <c r="O114" s="46">
        <f>IF(Sheet1!L114="",0,IF(Sheet1!O114&lt;TIME(7,39,0)+Sheet1!$E$3/24,1,0))</f>
        <v>0</v>
      </c>
      <c r="P114" s="46" t="str">
        <f ca="1">IF(AND(Sheet1!L114&lt;0, Sheet1!$C$21&gt;R114,OR(Sheet1!$C$21&lt;=R115,Sheet1!L115="")),   -1*Sheet1!L114,"")</f>
        <v/>
      </c>
    </row>
    <row r="115" spans="1:16" ht="15.75" x14ac:dyDescent="0.25">
      <c r="A115" s="456" t="str">
        <f>IF(AND(R115&lt;&gt;"",R114&lt;&gt;""),(-Sheet1!L115/Sheet1!L114)^(360/(R115-R114-1))-1,"")</f>
        <v/>
      </c>
      <c r="B115" s="41" t="str">
        <f ca="1">IF(AND(Sheet1!L115&lt;0, Sheet1!$C$21&gt;R115+1,OR(Sheet1!$C$21&lt;=R116,Sheet1!L116="")),   -1*Sheet1!L115,"")</f>
        <v/>
      </c>
      <c r="C115" s="42">
        <f ca="1">IF(Sheet3!$B$5="",0,    IF(E115&lt;1,0,  IF(B115="","",     IF(OR(Sheet3!$B$6=0,INDIRECT(ADDRESS(ROW(),Sheet3!$B$3+16))="" ),D115/E115,    IF(E115&lt;0,0,    IF(OR( INDIRECT(ADDRESS(8,Sheet3!$B$3+16))="",INDIRECT(ADDRESS(ROW(),Sheet3!$B$3+17))=""),        (INDIRECT(ADDRESS(ROW(),Sheet3!$B$3+16))+B115)*Sheet3!$Q$4,         INDIRECT(ADDRESS(ROW(),Sheet3!$B$3+17))-INDIRECT(ADDRESS(ROW(),Sheet3!$B$3+16))))))))</f>
        <v>0</v>
      </c>
      <c r="D115" s="39">
        <f ca="1">IF(Sheet3!$B$5="",0,IF(B115="","",IF(E115&lt;1,0,   IF(INDIRECT(ADDRESS(ROW(), Sheet3!$B$3+17))="",        INDIRECT(ADDRESS(ROW(), Sheet3!$B$3+16))*  (1+Sheet3!$Q$4)   +B115*Sheet3!$Q$4,       INDIRECT(ADDRESS(ROW(), Sheet3!$B$3+17))))))</f>
        <v>0</v>
      </c>
      <c r="E115" s="40">
        <f ca="1">IF(AND(Sheet1!L115&lt;0,  Sheet1!$C$21&gt;R115),    IF(OR(Sheet1!$C$21&lt;=R116,  Sheet1!L116=""),       IF(AND(MOD(NOW(),1)&lt;TIME(9,39,0),Sheet1!$C$22=TODAY()),    Sheet1!$C$21-R115,     Sheet1!$C$21-R115-1),               R116-R115-1),    0)</f>
        <v>0</v>
      </c>
      <c r="F115" s="30"/>
      <c r="G115" s="25" t="str">
        <f>IF(LEFT(Sheet1!K116,2)="0x",Sheet1!K115,IF(AND(Sheet1!L115="",Sheet1!L114=""),"",G114))</f>
        <v/>
      </c>
      <c r="H115" s="81"/>
      <c r="I115" s="43" t="str">
        <f t="shared" si="13"/>
        <v/>
      </c>
      <c r="J115" s="29" t="str">
        <f t="shared" si="12"/>
        <v/>
      </c>
      <c r="K115" s="24" t="str">
        <f>IF(Sheet1!L115="","",IF(Sheet1!L115&gt;0,ROW(),""))</f>
        <v/>
      </c>
      <c r="L115" s="24" t="str">
        <f t="shared" ca="1" si="11"/>
        <v/>
      </c>
      <c r="M115" s="47" t="str">
        <f t="shared" ca="1" si="10"/>
        <v/>
      </c>
      <c r="N115" s="48" t="str">
        <f>IF(LEFT(Sheet1!K115,2)="0x",Sheet1!K115,IF(AND(Sheet1!L115="",Sheet1!L114=""),"",N114))</f>
        <v/>
      </c>
      <c r="O115" s="46">
        <f>IF(Sheet1!L115="",0,IF(Sheet1!O115&lt;TIME(7,39,0)+Sheet1!$E$3/24,1,0))</f>
        <v>0</v>
      </c>
      <c r="P115" s="46" t="str">
        <f ca="1">IF(AND(Sheet1!L115&lt;0, Sheet1!$C$21&gt;R115,OR(Sheet1!$C$21&lt;=R116,Sheet1!L116="")),   -1*Sheet1!L115,"")</f>
        <v/>
      </c>
    </row>
    <row r="116" spans="1:16" ht="15.75" x14ac:dyDescent="0.25">
      <c r="A116" s="456" t="str">
        <f>IF(AND(R116&lt;&gt;"",R115&lt;&gt;""),(-Sheet1!L116/Sheet1!L115)^(360/(R116-R115-1))-1,"")</f>
        <v/>
      </c>
      <c r="B116" s="41" t="str">
        <f ca="1">IF(AND(Sheet1!L116&lt;0, Sheet1!$C$21&gt;R116+1,OR(Sheet1!$C$21&lt;=R117,Sheet1!L117="")),   -1*Sheet1!L116,"")</f>
        <v/>
      </c>
      <c r="C116" s="42">
        <f ca="1">IF(Sheet3!$B$5="",0,    IF(E116&lt;1,0,  IF(B116="","",     IF(OR(Sheet3!$B$6=0,INDIRECT(ADDRESS(ROW(),Sheet3!$B$3+16))="" ),D116/E116,    IF(E116&lt;0,0,    IF(OR( INDIRECT(ADDRESS(8,Sheet3!$B$3+16))="",INDIRECT(ADDRESS(ROW(),Sheet3!$B$3+17))=""),        (INDIRECT(ADDRESS(ROW(),Sheet3!$B$3+16))+B116)*Sheet3!$Q$4,         INDIRECT(ADDRESS(ROW(),Sheet3!$B$3+17))-INDIRECT(ADDRESS(ROW(),Sheet3!$B$3+16))))))))</f>
        <v>0</v>
      </c>
      <c r="D116" s="39">
        <f ca="1">IF(Sheet3!$B$5="",0,IF(B116="","",IF(E116&lt;1,0,   IF(INDIRECT(ADDRESS(ROW(), Sheet3!$B$3+17))="",        INDIRECT(ADDRESS(ROW(), Sheet3!$B$3+16))*  (1+Sheet3!$Q$4)   +B116*Sheet3!$Q$4,       INDIRECT(ADDRESS(ROW(), Sheet3!$B$3+17))))))</f>
        <v>0</v>
      </c>
      <c r="E116" s="40">
        <f ca="1">IF(AND(Sheet1!L116&lt;0,  Sheet1!$C$21&gt;R116),    IF(OR(Sheet1!$C$21&lt;=R117,  Sheet1!L117=""),       IF(AND(MOD(NOW(),1)&lt;TIME(9,39,0),Sheet1!$C$22=TODAY()),    Sheet1!$C$21-R116,     Sheet1!$C$21-R116-1),               R117-R116-1),    0)</f>
        <v>0</v>
      </c>
      <c r="F116" s="30"/>
      <c r="G116" s="25" t="str">
        <f>IF(LEFT(Sheet1!K117,2)="0x",Sheet1!K116,IF(AND(Sheet1!L116="",Sheet1!L115=""),"",G115))</f>
        <v/>
      </c>
      <c r="H116" s="81"/>
      <c r="I116" s="43" t="str">
        <f t="shared" si="13"/>
        <v/>
      </c>
      <c r="J116" s="29" t="str">
        <f t="shared" si="12"/>
        <v/>
      </c>
      <c r="K116" s="24" t="str">
        <f>IF(Sheet1!L116="","",IF(Sheet1!L116&gt;0,ROW(),""))</f>
        <v/>
      </c>
      <c r="L116" s="24" t="str">
        <f t="shared" ca="1" si="11"/>
        <v/>
      </c>
      <c r="M116" s="47" t="str">
        <f t="shared" ca="1" si="10"/>
        <v/>
      </c>
      <c r="N116" s="48" t="str">
        <f>IF(LEFT(Sheet1!K116,2)="0x",Sheet1!K116,IF(AND(Sheet1!L116="",Sheet1!L115=""),"",N115))</f>
        <v/>
      </c>
      <c r="O116" s="46">
        <f>IF(Sheet1!L116="",0,IF(Sheet1!O116&lt;TIME(7,39,0)+Sheet1!$E$3/24,1,0))</f>
        <v>0</v>
      </c>
      <c r="P116" s="46" t="str">
        <f ca="1">IF(AND(Sheet1!L116&lt;0, Sheet1!$C$21&gt;R116,OR(Sheet1!$C$21&lt;=R117,Sheet1!L117="")),   -1*Sheet1!L116,"")</f>
        <v/>
      </c>
    </row>
    <row r="117" spans="1:16" ht="15.75" x14ac:dyDescent="0.25">
      <c r="A117" s="456" t="str">
        <f>IF(AND(R117&lt;&gt;"",R116&lt;&gt;""),(-Sheet1!L117/Sheet1!L116)^(360/(R117-R116-1))-1,"")</f>
        <v/>
      </c>
      <c r="B117" s="41" t="str">
        <f ca="1">IF(AND(Sheet1!L117&lt;0, Sheet1!$C$21&gt;R117+1,OR(Sheet1!$C$21&lt;=R118,Sheet1!L118="")),   -1*Sheet1!L117,"")</f>
        <v/>
      </c>
      <c r="C117" s="42">
        <f ca="1">IF(Sheet3!$B$5="",0,    IF(E117&lt;1,0,  IF(B117="","",     IF(OR(Sheet3!$B$6=0,INDIRECT(ADDRESS(ROW(),Sheet3!$B$3+16))="" ),D117/E117,    IF(E117&lt;0,0,    IF(OR( INDIRECT(ADDRESS(8,Sheet3!$B$3+16))="",INDIRECT(ADDRESS(ROW(),Sheet3!$B$3+17))=""),        (INDIRECT(ADDRESS(ROW(),Sheet3!$B$3+16))+B117)*Sheet3!$Q$4,         INDIRECT(ADDRESS(ROW(),Sheet3!$B$3+17))-INDIRECT(ADDRESS(ROW(),Sheet3!$B$3+16))))))))</f>
        <v>0</v>
      </c>
      <c r="D117" s="39">
        <f ca="1">IF(Sheet3!$B$5="",0,IF(B117="","",IF(E117&lt;1,0,   IF(INDIRECT(ADDRESS(ROW(), Sheet3!$B$3+17))="",        INDIRECT(ADDRESS(ROW(), Sheet3!$B$3+16))*  (1+Sheet3!$Q$4)   +B117*Sheet3!$Q$4,       INDIRECT(ADDRESS(ROW(), Sheet3!$B$3+17))))))</f>
        <v>0</v>
      </c>
      <c r="E117" s="40">
        <f ca="1">IF(AND(Sheet1!L117&lt;0,  Sheet1!$C$21&gt;R117),    IF(OR(Sheet1!$C$21&lt;=R118,  Sheet1!L118=""),       IF(AND(MOD(NOW(),1)&lt;TIME(9,39,0),Sheet1!$C$22=TODAY()),    Sheet1!$C$21-R117,     Sheet1!$C$21-R117-1),               R118-R117-1),    0)</f>
        <v>0</v>
      </c>
      <c r="F117" s="30"/>
      <c r="G117" s="25" t="str">
        <f>IF(LEFT(Sheet1!K118,2)="0x",Sheet1!K117,IF(AND(Sheet1!L117="",Sheet1!L116=""),"",G116))</f>
        <v/>
      </c>
      <c r="H117" s="81"/>
      <c r="I117" s="43" t="str">
        <f t="shared" si="13"/>
        <v/>
      </c>
      <c r="J117" s="29" t="str">
        <f t="shared" si="12"/>
        <v/>
      </c>
      <c r="K117" s="24" t="str">
        <f>IF(Sheet1!L117="","",IF(Sheet1!L117&gt;0,ROW(),""))</f>
        <v/>
      </c>
      <c r="L117" s="24" t="str">
        <f t="shared" ca="1" si="11"/>
        <v/>
      </c>
      <c r="M117" s="47" t="str">
        <f t="shared" ca="1" si="10"/>
        <v/>
      </c>
      <c r="N117" s="48" t="str">
        <f>IF(LEFT(Sheet1!K117,2)="0x",Sheet1!K117,IF(AND(Sheet1!L117="",Sheet1!L116=""),"",N116))</f>
        <v/>
      </c>
      <c r="O117" s="46">
        <f>IF(Sheet1!L117="",0,IF(Sheet1!O117&lt;TIME(7,39,0)+Sheet1!$E$3/24,1,0))</f>
        <v>0</v>
      </c>
      <c r="P117" s="46" t="str">
        <f ca="1">IF(AND(Sheet1!L117&lt;0, Sheet1!$C$21&gt;R117,OR(Sheet1!$C$21&lt;=R118,Sheet1!L118="")),   -1*Sheet1!L117,"")</f>
        <v/>
      </c>
    </row>
    <row r="118" spans="1:16" ht="15.75" x14ac:dyDescent="0.25">
      <c r="A118" s="456" t="str">
        <f>IF(AND(R118&lt;&gt;"",R117&lt;&gt;""),(-Sheet1!L118/Sheet1!L117)^(360/(R118-R117-1))-1,"")</f>
        <v/>
      </c>
      <c r="B118" s="41" t="str">
        <f ca="1">IF(AND(Sheet1!L118&lt;0, Sheet1!$C$21&gt;R118+1,OR(Sheet1!$C$21&lt;=R119,Sheet1!L119="")),   -1*Sheet1!L118,"")</f>
        <v/>
      </c>
      <c r="C118" s="42">
        <f ca="1">IF(Sheet3!$B$5="",0,    IF(E118&lt;1,0,  IF(B118="","",     IF(OR(Sheet3!$B$6=0,INDIRECT(ADDRESS(ROW(),Sheet3!$B$3+16))="" ),D118/E118,    IF(E118&lt;0,0,    IF(OR( INDIRECT(ADDRESS(8,Sheet3!$B$3+16))="",INDIRECT(ADDRESS(ROW(),Sheet3!$B$3+17))=""),        (INDIRECT(ADDRESS(ROW(),Sheet3!$B$3+16))+B118)*Sheet3!$Q$4,         INDIRECT(ADDRESS(ROW(),Sheet3!$B$3+17))-INDIRECT(ADDRESS(ROW(),Sheet3!$B$3+16))))))))</f>
        <v>0</v>
      </c>
      <c r="D118" s="39">
        <f ca="1">IF(Sheet3!$B$5="",0,IF(B118="","",IF(E118&lt;1,0,   IF(INDIRECT(ADDRESS(ROW(), Sheet3!$B$3+17))="",        INDIRECT(ADDRESS(ROW(), Sheet3!$B$3+16))*  (1+Sheet3!$Q$4)   +B118*Sheet3!$Q$4,       INDIRECT(ADDRESS(ROW(), Sheet3!$B$3+17))))))</f>
        <v>0</v>
      </c>
      <c r="E118" s="40">
        <f ca="1">IF(AND(Sheet1!L118&lt;0,  Sheet1!$C$21&gt;R118),    IF(OR(Sheet1!$C$21&lt;=R119,  Sheet1!L119=""),       IF(AND(MOD(NOW(),1)&lt;TIME(9,39,0),Sheet1!$C$22=TODAY()),    Sheet1!$C$21-R118,     Sheet1!$C$21-R118-1),               R119-R118-1),    0)</f>
        <v>0</v>
      </c>
      <c r="F118" s="30"/>
      <c r="G118" s="25" t="str">
        <f>IF(LEFT(Sheet1!K119,2)="0x",Sheet1!K118,IF(AND(Sheet1!L118="",Sheet1!L117=""),"",G117))</f>
        <v/>
      </c>
      <c r="H118" s="81"/>
      <c r="I118" s="43" t="str">
        <f t="shared" si="13"/>
        <v/>
      </c>
      <c r="J118" s="29" t="str">
        <f t="shared" si="12"/>
        <v/>
      </c>
      <c r="K118" s="24" t="str">
        <f>IF(Sheet1!L118="","",IF(Sheet1!L118&gt;0,ROW(),""))</f>
        <v/>
      </c>
      <c r="L118" s="24" t="str">
        <f t="shared" ca="1" si="11"/>
        <v/>
      </c>
      <c r="M118" s="47" t="str">
        <f t="shared" ca="1" si="10"/>
        <v/>
      </c>
      <c r="N118" s="48" t="str">
        <f>IF(LEFT(Sheet1!K118,2)="0x",Sheet1!K118,IF(AND(Sheet1!L118="",Sheet1!L117=""),"",N117))</f>
        <v/>
      </c>
      <c r="O118" s="46">
        <f>IF(Sheet1!L118="",0,IF(Sheet1!O118&lt;TIME(7,39,0)+Sheet1!$E$3/24,1,0))</f>
        <v>0</v>
      </c>
      <c r="P118" s="46" t="str">
        <f ca="1">IF(AND(Sheet1!L118&lt;0, Sheet1!$C$21&gt;R118,OR(Sheet1!$C$21&lt;=R119,Sheet1!L119="")),   -1*Sheet1!L118,"")</f>
        <v/>
      </c>
    </row>
    <row r="119" spans="1:16" ht="15.75" x14ac:dyDescent="0.25">
      <c r="A119" s="456" t="str">
        <f>IF(AND(R119&lt;&gt;"",R118&lt;&gt;""),(-Sheet1!L119/Sheet1!L118)^(360/(R119-R118-1))-1,"")</f>
        <v/>
      </c>
      <c r="B119" s="41" t="str">
        <f ca="1">IF(AND(Sheet1!L119&lt;0, Sheet1!$C$21&gt;R119+1,OR(Sheet1!$C$21&lt;=R120,Sheet1!L120="")),   -1*Sheet1!L119,"")</f>
        <v/>
      </c>
      <c r="C119" s="42">
        <f ca="1">IF(Sheet3!$B$5="",0,    IF(E119&lt;1,0,  IF(B119="","",     IF(OR(Sheet3!$B$6=0,INDIRECT(ADDRESS(ROW(),Sheet3!$B$3+16))="" ),D119/E119,    IF(E119&lt;0,0,    IF(OR( INDIRECT(ADDRESS(8,Sheet3!$B$3+16))="",INDIRECT(ADDRESS(ROW(),Sheet3!$B$3+17))=""),        (INDIRECT(ADDRESS(ROW(),Sheet3!$B$3+16))+B119)*Sheet3!$Q$4,         INDIRECT(ADDRESS(ROW(),Sheet3!$B$3+17))-INDIRECT(ADDRESS(ROW(),Sheet3!$B$3+16))))))))</f>
        <v>0</v>
      </c>
      <c r="D119" s="39">
        <f ca="1">IF(Sheet3!$B$5="",0,IF(B119="","",IF(E119&lt;1,0,   IF(INDIRECT(ADDRESS(ROW(), Sheet3!$B$3+17))="",        INDIRECT(ADDRESS(ROW(), Sheet3!$B$3+16))*  (1+Sheet3!$Q$4)   +B119*Sheet3!$Q$4,       INDIRECT(ADDRESS(ROW(), Sheet3!$B$3+17))))))</f>
        <v>0</v>
      </c>
      <c r="E119" s="40">
        <f ca="1">IF(AND(Sheet1!L119&lt;0,  Sheet1!$C$21&gt;R119),    IF(OR(Sheet1!$C$21&lt;=R120,  Sheet1!L120=""),       IF(AND(MOD(NOW(),1)&lt;TIME(9,39,0),Sheet1!$C$22=TODAY()),    Sheet1!$C$21-R119,     Sheet1!$C$21-R119-1),               R120-R119-1),    0)</f>
        <v>0</v>
      </c>
      <c r="F119" s="30"/>
      <c r="G119" s="25" t="str">
        <f>IF(LEFT(Sheet1!K120,2)="0x",Sheet1!K119,IF(AND(Sheet1!L119="",Sheet1!L118=""),"",G118))</f>
        <v/>
      </c>
      <c r="H119" s="81"/>
      <c r="I119" s="43" t="str">
        <f t="shared" si="13"/>
        <v/>
      </c>
      <c r="J119" s="29" t="str">
        <f t="shared" si="12"/>
        <v/>
      </c>
      <c r="K119" s="24" t="str">
        <f>IF(Sheet1!L119="","",IF(Sheet1!L119&gt;0,ROW(),""))</f>
        <v/>
      </c>
      <c r="L119" s="24" t="str">
        <f t="shared" ca="1" si="11"/>
        <v/>
      </c>
      <c r="M119" s="47" t="str">
        <f t="shared" ca="1" si="10"/>
        <v/>
      </c>
      <c r="N119" s="48" t="str">
        <f>IF(LEFT(Sheet1!K119,2)="0x",Sheet1!K119,IF(AND(Sheet1!L119="",Sheet1!L118=""),"",N118))</f>
        <v/>
      </c>
      <c r="O119" s="46">
        <f>IF(Sheet1!L119="",0,IF(Sheet1!O119&lt;TIME(7,39,0)+Sheet1!$E$3/24,1,0))</f>
        <v>0</v>
      </c>
      <c r="P119" s="46" t="str">
        <f ca="1">IF(AND(Sheet1!L119&lt;0, Sheet1!$C$21&gt;R119,OR(Sheet1!$C$21&lt;=R120,Sheet1!L120="")),   -1*Sheet1!L119,"")</f>
        <v/>
      </c>
    </row>
    <row r="120" spans="1:16" ht="15.75" x14ac:dyDescent="0.25">
      <c r="A120" s="456" t="str">
        <f>IF(AND(R120&lt;&gt;"",R119&lt;&gt;""),(-Sheet1!L120/Sheet1!L119)^(360/(R120-R119-1))-1,"")</f>
        <v/>
      </c>
      <c r="B120" s="41" t="str">
        <f ca="1">IF(AND(Sheet1!L120&lt;0, Sheet1!$C$21&gt;R120+1,OR(Sheet1!$C$21&lt;=R121,Sheet1!L121="")),   -1*Sheet1!L120,"")</f>
        <v/>
      </c>
      <c r="C120" s="42">
        <f ca="1">IF(Sheet3!$B$5="",0,    IF(E120&lt;1,0,  IF(B120="","",     IF(OR(Sheet3!$B$6=0,INDIRECT(ADDRESS(ROW(),Sheet3!$B$3+16))="" ),D120/E120,    IF(E120&lt;0,0,    IF(OR( INDIRECT(ADDRESS(8,Sheet3!$B$3+16))="",INDIRECT(ADDRESS(ROW(),Sheet3!$B$3+17))=""),        (INDIRECT(ADDRESS(ROW(),Sheet3!$B$3+16))+B120)*Sheet3!$Q$4,         INDIRECT(ADDRESS(ROW(),Sheet3!$B$3+17))-INDIRECT(ADDRESS(ROW(),Sheet3!$B$3+16))))))))</f>
        <v>0</v>
      </c>
      <c r="D120" s="39">
        <f ca="1">IF(Sheet3!$B$5="",0,IF(B120="","",IF(E120&lt;1,0,   IF(INDIRECT(ADDRESS(ROW(), Sheet3!$B$3+17))="",        INDIRECT(ADDRESS(ROW(), Sheet3!$B$3+16))*  (1+Sheet3!$Q$4)   +B120*Sheet3!$Q$4,       INDIRECT(ADDRESS(ROW(), Sheet3!$B$3+17))))))</f>
        <v>0</v>
      </c>
      <c r="E120" s="40">
        <f ca="1">IF(AND(Sheet1!L120&lt;0,  Sheet1!$C$21&gt;R120),    IF(OR(Sheet1!$C$21&lt;=R121,  Sheet1!L121=""),       IF(AND(MOD(NOW(),1)&lt;TIME(9,39,0),Sheet1!$C$22=TODAY()),    Sheet1!$C$21-R120,     Sheet1!$C$21-R120-1),               R121-R120-1),    0)</f>
        <v>0</v>
      </c>
      <c r="F120" s="30"/>
      <c r="G120" s="25" t="str">
        <f>IF(LEFT(Sheet1!K121,2)="0x",Sheet1!K120,IF(AND(Sheet1!L120="",Sheet1!L119=""),"",G119))</f>
        <v/>
      </c>
      <c r="H120" s="81"/>
      <c r="I120" s="43" t="str">
        <f t="shared" si="13"/>
        <v/>
      </c>
      <c r="J120" s="29" t="str">
        <f t="shared" si="12"/>
        <v/>
      </c>
      <c r="K120" s="24" t="str">
        <f>IF(Sheet1!L120="","",IF(Sheet1!L120&gt;0,ROW(),""))</f>
        <v/>
      </c>
      <c r="L120" s="24" t="str">
        <f t="shared" ca="1" si="11"/>
        <v/>
      </c>
      <c r="M120" s="47" t="str">
        <f t="shared" ca="1" si="10"/>
        <v/>
      </c>
      <c r="N120" s="48" t="str">
        <f>IF(LEFT(Sheet1!K120,2)="0x",Sheet1!K120,IF(AND(Sheet1!L120="",Sheet1!L119=""),"",N119))</f>
        <v/>
      </c>
      <c r="O120" s="46">
        <f>IF(Sheet1!L120="",0,IF(Sheet1!O120&lt;TIME(7,39,0)+Sheet1!$E$3/24,1,0))</f>
        <v>0</v>
      </c>
      <c r="P120" s="46" t="str">
        <f ca="1">IF(AND(Sheet1!L120&lt;0, Sheet1!$C$21&gt;R120,OR(Sheet1!$C$21&lt;=R121,Sheet1!L121="")),   -1*Sheet1!L120,"")</f>
        <v/>
      </c>
    </row>
    <row r="121" spans="1:16" ht="15.75" x14ac:dyDescent="0.25">
      <c r="A121" s="456" t="str">
        <f>IF(AND(R121&lt;&gt;"",R120&lt;&gt;""),(-Sheet1!L121/Sheet1!L120)^(360/(R121-R120-1))-1,"")</f>
        <v/>
      </c>
      <c r="B121" s="41" t="str">
        <f ca="1">IF(AND(Sheet1!L121&lt;0, Sheet1!$C$21&gt;R121+1,OR(Sheet1!$C$21&lt;=R122,Sheet1!L122="")),   -1*Sheet1!L121,"")</f>
        <v/>
      </c>
      <c r="C121" s="42">
        <f ca="1">IF(Sheet3!$B$5="",0,    IF(E121&lt;1,0,  IF(B121="","",     IF(OR(Sheet3!$B$6=0,INDIRECT(ADDRESS(ROW(),Sheet3!$B$3+16))="" ),D121/E121,    IF(E121&lt;0,0,    IF(OR( INDIRECT(ADDRESS(8,Sheet3!$B$3+16))="",INDIRECT(ADDRESS(ROW(),Sheet3!$B$3+17))=""),        (INDIRECT(ADDRESS(ROW(),Sheet3!$B$3+16))+B121)*Sheet3!$Q$4,         INDIRECT(ADDRESS(ROW(),Sheet3!$B$3+17))-INDIRECT(ADDRESS(ROW(),Sheet3!$B$3+16))))))))</f>
        <v>0</v>
      </c>
      <c r="D121" s="39">
        <f ca="1">IF(Sheet3!$B$5="",0,IF(B121="","",IF(E121&lt;1,0,   IF(INDIRECT(ADDRESS(ROW(), Sheet3!$B$3+17))="",        INDIRECT(ADDRESS(ROW(), Sheet3!$B$3+16))*  (1+Sheet3!$Q$4)   +B121*Sheet3!$Q$4,       INDIRECT(ADDRESS(ROW(), Sheet3!$B$3+17))))))</f>
        <v>0</v>
      </c>
      <c r="E121" s="40">
        <f ca="1">IF(AND(Sheet1!L121&lt;0,  Sheet1!$C$21&gt;R121),    IF(OR(Sheet1!$C$21&lt;=R122,  Sheet1!L122=""),       IF(AND(MOD(NOW(),1)&lt;TIME(9,39,0),Sheet1!$C$22=TODAY()),    Sheet1!$C$21-R121,     Sheet1!$C$21-R121-1),               R122-R121-1),    0)</f>
        <v>0</v>
      </c>
      <c r="F121" s="30"/>
      <c r="G121" s="25" t="str">
        <f>IF(LEFT(Sheet1!K122,2)="0x",Sheet1!K121,IF(AND(Sheet1!L121="",Sheet1!L120=""),"",G120))</f>
        <v/>
      </c>
      <c r="H121" s="81"/>
      <c r="I121" s="43" t="str">
        <f t="shared" si="13"/>
        <v/>
      </c>
      <c r="J121" s="29" t="str">
        <f t="shared" si="12"/>
        <v/>
      </c>
      <c r="K121" s="24" t="str">
        <f>IF(Sheet1!L121="","",IF(Sheet1!L121&gt;0,ROW(),""))</f>
        <v/>
      </c>
      <c r="L121" s="24" t="str">
        <f t="shared" ca="1" si="11"/>
        <v/>
      </c>
      <c r="M121" s="47" t="str">
        <f t="shared" ca="1" si="10"/>
        <v/>
      </c>
      <c r="N121" s="48" t="str">
        <f>IF(LEFT(Sheet1!K121,2)="0x",Sheet1!K121,IF(AND(Sheet1!L121="",Sheet1!L120=""),"",N120))</f>
        <v/>
      </c>
      <c r="O121" s="46">
        <f>IF(Sheet1!L121="",0,IF(Sheet1!O121&lt;TIME(7,39,0)+Sheet1!$E$3/24,1,0))</f>
        <v>0</v>
      </c>
      <c r="P121" s="46" t="str">
        <f ca="1">IF(AND(Sheet1!L121&lt;0, Sheet1!$C$21&gt;R121,OR(Sheet1!$C$21&lt;=R122,Sheet1!L122="")),   -1*Sheet1!L121,"")</f>
        <v/>
      </c>
    </row>
    <row r="122" spans="1:16" ht="15.75" x14ac:dyDescent="0.25">
      <c r="A122" s="456" t="str">
        <f>IF(AND(R122&lt;&gt;"",R121&lt;&gt;""),(-Sheet1!L122/Sheet1!L121)^(360/(R122-R121-1))-1,"")</f>
        <v/>
      </c>
      <c r="B122" s="41" t="str">
        <f ca="1">IF(AND(Sheet1!L122&lt;0, Sheet1!$C$21&gt;R122+1,OR(Sheet1!$C$21&lt;=R123,Sheet1!L123="")),   -1*Sheet1!L122,"")</f>
        <v/>
      </c>
      <c r="C122" s="42">
        <f ca="1">IF(Sheet3!$B$5="",0,    IF(E122&lt;1,0,  IF(B122="","",     IF(OR(Sheet3!$B$6=0,INDIRECT(ADDRESS(ROW(),Sheet3!$B$3+16))="" ),D122/E122,    IF(E122&lt;0,0,    IF(OR( INDIRECT(ADDRESS(8,Sheet3!$B$3+16))="",INDIRECT(ADDRESS(ROW(),Sheet3!$B$3+17))=""),        (INDIRECT(ADDRESS(ROW(),Sheet3!$B$3+16))+B122)*Sheet3!$Q$4,         INDIRECT(ADDRESS(ROW(),Sheet3!$B$3+17))-INDIRECT(ADDRESS(ROW(),Sheet3!$B$3+16))))))))</f>
        <v>0</v>
      </c>
      <c r="D122" s="39">
        <f ca="1">IF(Sheet3!$B$5="",0,IF(B122="","",IF(E122&lt;1,0,   IF(INDIRECT(ADDRESS(ROW(), Sheet3!$B$3+17))="",        INDIRECT(ADDRESS(ROW(), Sheet3!$B$3+16))*  (1+Sheet3!$Q$4)   +B122*Sheet3!$Q$4,       INDIRECT(ADDRESS(ROW(), Sheet3!$B$3+17))))))</f>
        <v>0</v>
      </c>
      <c r="E122" s="40">
        <f ca="1">IF(AND(Sheet1!L122&lt;0,  Sheet1!$C$21&gt;R122),    IF(OR(Sheet1!$C$21&lt;=R123,  Sheet1!L123=""),       IF(AND(MOD(NOW(),1)&lt;TIME(9,39,0),Sheet1!$C$22=TODAY()),    Sheet1!$C$21-R122,     Sheet1!$C$21-R122-1),               R123-R122-1),    0)</f>
        <v>0</v>
      </c>
      <c r="F122" s="30"/>
      <c r="G122" s="25" t="str">
        <f>IF(LEFT(Sheet1!K123,2)="0x",Sheet1!K122,IF(AND(Sheet1!L122="",Sheet1!L121=""),"",G121))</f>
        <v/>
      </c>
      <c r="H122" s="81"/>
      <c r="I122" s="43" t="str">
        <f t="shared" si="13"/>
        <v/>
      </c>
      <c r="J122" s="29" t="str">
        <f t="shared" si="12"/>
        <v/>
      </c>
      <c r="K122" s="24" t="str">
        <f>IF(Sheet1!L122="","",IF(Sheet1!L122&gt;0,ROW(),""))</f>
        <v/>
      </c>
      <c r="L122" s="24" t="str">
        <f t="shared" ca="1" si="11"/>
        <v/>
      </c>
      <c r="M122" s="47" t="str">
        <f t="shared" ca="1" si="10"/>
        <v/>
      </c>
      <c r="N122" s="48" t="str">
        <f>IF(LEFT(Sheet1!K122,2)="0x",Sheet1!K122,IF(AND(Sheet1!L122="",Sheet1!L121=""),"",N121))</f>
        <v/>
      </c>
      <c r="O122" s="46">
        <f>IF(Sheet1!L122="",0,IF(Sheet1!O122&lt;TIME(7,39,0)+Sheet1!$E$3/24,1,0))</f>
        <v>0</v>
      </c>
      <c r="P122" s="46" t="str">
        <f ca="1">IF(AND(Sheet1!L122&lt;0, Sheet1!$C$21&gt;R122,OR(Sheet1!$C$21&lt;=R123,Sheet1!L123="")),   -1*Sheet1!L122,"")</f>
        <v/>
      </c>
    </row>
    <row r="123" spans="1:16" ht="15.75" x14ac:dyDescent="0.25">
      <c r="A123" s="456" t="str">
        <f>IF(AND(R123&lt;&gt;"",R122&lt;&gt;""),(-Sheet1!L123/Sheet1!L122)^(360/(R123-R122-1))-1,"")</f>
        <v/>
      </c>
      <c r="B123" s="41" t="str">
        <f ca="1">IF(AND(Sheet1!L123&lt;0, Sheet1!$C$21&gt;R123+1,OR(Sheet1!$C$21&lt;=R124,Sheet1!L124="")),   -1*Sheet1!L123,"")</f>
        <v/>
      </c>
      <c r="C123" s="42">
        <f ca="1">IF(Sheet3!$B$5="",0,    IF(E123&lt;1,0,  IF(B123="","",     IF(OR(Sheet3!$B$6=0,INDIRECT(ADDRESS(ROW(),Sheet3!$B$3+16))="" ),D123/E123,    IF(E123&lt;0,0,    IF(OR( INDIRECT(ADDRESS(8,Sheet3!$B$3+16))="",INDIRECT(ADDRESS(ROW(),Sheet3!$B$3+17))=""),        (INDIRECT(ADDRESS(ROW(),Sheet3!$B$3+16))+B123)*Sheet3!$Q$4,         INDIRECT(ADDRESS(ROW(),Sheet3!$B$3+17))-INDIRECT(ADDRESS(ROW(),Sheet3!$B$3+16))))))))</f>
        <v>0</v>
      </c>
      <c r="D123" s="39">
        <f ca="1">IF(Sheet3!$B$5="",0,IF(B123="","",IF(E123&lt;1,0,   IF(INDIRECT(ADDRESS(ROW(), Sheet3!$B$3+17))="",        INDIRECT(ADDRESS(ROW(), Sheet3!$B$3+16))*  (1+Sheet3!$Q$4)   +B123*Sheet3!$Q$4,       INDIRECT(ADDRESS(ROW(), Sheet3!$B$3+17))))))</f>
        <v>0</v>
      </c>
      <c r="E123" s="40">
        <f ca="1">IF(AND(Sheet1!L123&lt;0,  Sheet1!$C$21&gt;R123),    IF(OR(Sheet1!$C$21&lt;=R124,  Sheet1!L124=""),       IF(AND(MOD(NOW(),1)&lt;TIME(9,39,0),Sheet1!$C$22=TODAY()),    Sheet1!$C$21-R123,     Sheet1!$C$21-R123-1),               R124-R123-1),    0)</f>
        <v>0</v>
      </c>
      <c r="F123" s="30"/>
      <c r="G123" s="25" t="str">
        <f>IF(LEFT(Sheet1!K124,2)="0x",Sheet1!K123,IF(AND(Sheet1!L123="",Sheet1!L122=""),"",G122))</f>
        <v/>
      </c>
      <c r="H123" s="81"/>
      <c r="I123" s="43" t="str">
        <f t="shared" si="13"/>
        <v/>
      </c>
      <c r="J123" s="29" t="str">
        <f t="shared" si="12"/>
        <v/>
      </c>
      <c r="K123" s="24" t="str">
        <f>IF(Sheet1!L123="","",IF(Sheet1!L123&gt;0,ROW(),""))</f>
        <v/>
      </c>
      <c r="L123" s="24" t="str">
        <f t="shared" ca="1" si="11"/>
        <v/>
      </c>
      <c r="M123" s="47" t="str">
        <f t="shared" ca="1" si="10"/>
        <v/>
      </c>
      <c r="N123" s="48" t="str">
        <f>IF(LEFT(Sheet1!K123,2)="0x",Sheet1!K123,IF(AND(Sheet1!L123="",Sheet1!L122=""),"",N122))</f>
        <v/>
      </c>
      <c r="O123" s="46">
        <f>IF(Sheet1!L123="",0,IF(Sheet1!O123&lt;TIME(7,39,0)+Sheet1!$E$3/24,1,0))</f>
        <v>0</v>
      </c>
      <c r="P123" s="46" t="str">
        <f ca="1">IF(AND(Sheet1!L123&lt;0, Sheet1!$C$21&gt;R123,OR(Sheet1!$C$21&lt;=R124,Sheet1!L124="")),   -1*Sheet1!L123,"")</f>
        <v/>
      </c>
    </row>
    <row r="124" spans="1:16" ht="15.75" x14ac:dyDescent="0.25">
      <c r="A124" s="456" t="str">
        <f>IF(AND(R124&lt;&gt;"",R123&lt;&gt;""),(-Sheet1!L124/Sheet1!L123)^(360/(R124-R123-1))-1,"")</f>
        <v/>
      </c>
      <c r="B124" s="41" t="str">
        <f ca="1">IF(AND(Sheet1!L124&lt;0, Sheet1!$C$21&gt;R124+1,OR(Sheet1!$C$21&lt;=R125,Sheet1!L125="")),   -1*Sheet1!L124,"")</f>
        <v/>
      </c>
      <c r="C124" s="42">
        <f ca="1">IF(Sheet3!$B$5="",0,    IF(E124&lt;1,0,  IF(B124="","",     IF(OR(Sheet3!$B$6=0,INDIRECT(ADDRESS(ROW(),Sheet3!$B$3+16))="" ),D124/E124,    IF(E124&lt;0,0,    IF(OR( INDIRECT(ADDRESS(8,Sheet3!$B$3+16))="",INDIRECT(ADDRESS(ROW(),Sheet3!$B$3+17))=""),        (INDIRECT(ADDRESS(ROW(),Sheet3!$B$3+16))+B124)*Sheet3!$Q$4,         INDIRECT(ADDRESS(ROW(),Sheet3!$B$3+17))-INDIRECT(ADDRESS(ROW(),Sheet3!$B$3+16))))))))</f>
        <v>0</v>
      </c>
      <c r="D124" s="39">
        <f ca="1">IF(Sheet3!$B$5="",0,IF(B124="","",IF(E124&lt;1,0,   IF(INDIRECT(ADDRESS(ROW(), Sheet3!$B$3+17))="",        INDIRECT(ADDRESS(ROW(), Sheet3!$B$3+16))*  (1+Sheet3!$Q$4)   +B124*Sheet3!$Q$4,       INDIRECT(ADDRESS(ROW(), Sheet3!$B$3+17))))))</f>
        <v>0</v>
      </c>
      <c r="E124" s="40">
        <f ca="1">IF(AND(Sheet1!L124&lt;0,  Sheet1!$C$21&gt;R124),    IF(OR(Sheet1!$C$21&lt;=R125,  Sheet1!L125=""),       IF(AND(MOD(NOW(),1)&lt;TIME(9,39,0),Sheet1!$C$22=TODAY()),    Sheet1!$C$21-R124,     Sheet1!$C$21-R124-1),               R125-R124-1),    0)</f>
        <v>0</v>
      </c>
      <c r="F124" s="30"/>
      <c r="G124" s="25" t="str">
        <f>IF(LEFT(Sheet1!K125,2)="0x",Sheet1!K124,IF(AND(Sheet1!L124="",Sheet1!L123=""),"",G123))</f>
        <v/>
      </c>
      <c r="H124" s="81"/>
      <c r="I124" s="43" t="str">
        <f t="shared" si="13"/>
        <v/>
      </c>
      <c r="J124" s="29" t="str">
        <f t="shared" si="12"/>
        <v/>
      </c>
      <c r="K124" s="24" t="str">
        <f>IF(Sheet1!L124="","",IF(Sheet1!L124&gt;0,ROW(),""))</f>
        <v/>
      </c>
      <c r="L124" s="24" t="str">
        <f t="shared" ca="1" si="11"/>
        <v/>
      </c>
      <c r="M124" s="47" t="str">
        <f t="shared" ca="1" si="10"/>
        <v/>
      </c>
      <c r="N124" s="48" t="str">
        <f>IF(LEFT(Sheet1!K124,2)="0x",Sheet1!K124,IF(AND(Sheet1!L124="",Sheet1!L123=""),"",N123))</f>
        <v/>
      </c>
      <c r="O124" s="46">
        <f>IF(Sheet1!L124="",0,IF(Sheet1!O124&lt;TIME(7,39,0)+Sheet1!$E$3/24,1,0))</f>
        <v>0</v>
      </c>
      <c r="P124" s="46" t="str">
        <f ca="1">IF(AND(Sheet1!L124&lt;0, Sheet1!$C$21&gt;R124,OR(Sheet1!$C$21&lt;=R125,Sheet1!L125="")),   -1*Sheet1!L124,"")</f>
        <v/>
      </c>
    </row>
    <row r="125" spans="1:16" ht="15.75" x14ac:dyDescent="0.25">
      <c r="A125" s="456" t="str">
        <f>IF(AND(R125&lt;&gt;"",R124&lt;&gt;""),(-Sheet1!L125/Sheet1!L124)^(360/(R125-R124-1))-1,"")</f>
        <v/>
      </c>
      <c r="B125" s="41" t="str">
        <f ca="1">IF(AND(Sheet1!L125&lt;0, Sheet1!$C$21&gt;R125+1,OR(Sheet1!$C$21&lt;=R126,Sheet1!L126="")),   -1*Sheet1!L125,"")</f>
        <v/>
      </c>
      <c r="C125" s="42">
        <f ca="1">IF(Sheet3!$B$5="",0,    IF(E125&lt;1,0,  IF(B125="","",     IF(OR(Sheet3!$B$6=0,INDIRECT(ADDRESS(ROW(),Sheet3!$B$3+16))="" ),D125/E125,    IF(E125&lt;0,0,    IF(OR( INDIRECT(ADDRESS(8,Sheet3!$B$3+16))="",INDIRECT(ADDRESS(ROW(),Sheet3!$B$3+17))=""),        (INDIRECT(ADDRESS(ROW(),Sheet3!$B$3+16))+B125)*Sheet3!$Q$4,         INDIRECT(ADDRESS(ROW(),Sheet3!$B$3+17))-INDIRECT(ADDRESS(ROW(),Sheet3!$B$3+16))))))))</f>
        <v>0</v>
      </c>
      <c r="D125" s="39">
        <f ca="1">IF(Sheet3!$B$5="",0,IF(B125="","",IF(E125&lt;1,0,   IF(INDIRECT(ADDRESS(ROW(), Sheet3!$B$3+17))="",        INDIRECT(ADDRESS(ROW(), Sheet3!$B$3+16))*  (1+Sheet3!$Q$4)   +B125*Sheet3!$Q$4,       INDIRECT(ADDRESS(ROW(), Sheet3!$B$3+17))))))</f>
        <v>0</v>
      </c>
      <c r="E125" s="40">
        <f ca="1">IF(AND(Sheet1!L125&lt;0,  Sheet1!$C$21&gt;R125),    IF(OR(Sheet1!$C$21&lt;=R126,  Sheet1!L126=""),       IF(AND(MOD(NOW(),1)&lt;TIME(9,39,0),Sheet1!$C$22=TODAY()),    Sheet1!$C$21-R125,     Sheet1!$C$21-R125-1),               R126-R125-1),    0)</f>
        <v>0</v>
      </c>
      <c r="F125" s="30"/>
      <c r="G125" s="25" t="str">
        <f>IF(LEFT(Sheet1!K126,2)="0x",Sheet1!K125,IF(AND(Sheet1!L125="",Sheet1!L124=""),"",G124))</f>
        <v/>
      </c>
      <c r="H125" s="81"/>
      <c r="I125" s="43" t="str">
        <f t="shared" si="13"/>
        <v/>
      </c>
      <c r="J125" s="29" t="str">
        <f t="shared" si="12"/>
        <v/>
      </c>
      <c r="K125" s="24" t="str">
        <f>IF(Sheet1!L125="","",IF(Sheet1!L125&gt;0,ROW(),""))</f>
        <v/>
      </c>
      <c r="L125" s="24" t="str">
        <f t="shared" ca="1" si="11"/>
        <v/>
      </c>
      <c r="M125" s="47" t="str">
        <f t="shared" ca="1" si="10"/>
        <v/>
      </c>
      <c r="N125" s="48" t="str">
        <f>IF(LEFT(Sheet1!K125,2)="0x",Sheet1!K125,IF(AND(Sheet1!L125="",Sheet1!L124=""),"",N124))</f>
        <v/>
      </c>
      <c r="O125" s="46">
        <f>IF(Sheet1!L125="",0,IF(Sheet1!O125&lt;TIME(7,39,0)+Sheet1!$E$3/24,1,0))</f>
        <v>0</v>
      </c>
      <c r="P125" s="46" t="str">
        <f ca="1">IF(AND(Sheet1!L125&lt;0, Sheet1!$C$21&gt;R125,OR(Sheet1!$C$21&lt;=R126,Sheet1!L126="")),   -1*Sheet1!L125,"")</f>
        <v/>
      </c>
    </row>
    <row r="126" spans="1:16" ht="15.75" x14ac:dyDescent="0.25">
      <c r="A126" s="456" t="str">
        <f>IF(AND(R126&lt;&gt;"",R125&lt;&gt;""),(-Sheet1!L126/Sheet1!L125)^(360/(R126-R125-1))-1,"")</f>
        <v/>
      </c>
      <c r="B126" s="41" t="str">
        <f ca="1">IF(AND(Sheet1!L126&lt;0, Sheet1!$C$21&gt;R126+1,OR(Sheet1!$C$21&lt;=R127,Sheet1!L127="")),   -1*Sheet1!L126,"")</f>
        <v/>
      </c>
      <c r="C126" s="42">
        <f ca="1">IF(Sheet3!$B$5="",0,    IF(E126&lt;1,0,  IF(B126="","",     IF(OR(Sheet3!$B$6=0,INDIRECT(ADDRESS(ROW(),Sheet3!$B$3+16))="" ),D126/E126,    IF(E126&lt;0,0,    IF(OR( INDIRECT(ADDRESS(8,Sheet3!$B$3+16))="",INDIRECT(ADDRESS(ROW(),Sheet3!$B$3+17))=""),        (INDIRECT(ADDRESS(ROW(),Sheet3!$B$3+16))+B126)*Sheet3!$Q$4,         INDIRECT(ADDRESS(ROW(),Sheet3!$B$3+17))-INDIRECT(ADDRESS(ROW(),Sheet3!$B$3+16))))))))</f>
        <v>0</v>
      </c>
      <c r="D126" s="39">
        <f ca="1">IF(Sheet3!$B$5="",0,IF(B126="","",IF(E126&lt;1,0,   IF(INDIRECT(ADDRESS(ROW(), Sheet3!$B$3+17))="",        INDIRECT(ADDRESS(ROW(), Sheet3!$B$3+16))*  (1+Sheet3!$Q$4)   +B126*Sheet3!$Q$4,       INDIRECT(ADDRESS(ROW(), Sheet3!$B$3+17))))))</f>
        <v>0</v>
      </c>
      <c r="E126" s="40">
        <f ca="1">IF(AND(Sheet1!L126&lt;0,  Sheet1!$C$21&gt;R126),    IF(OR(Sheet1!$C$21&lt;=R127,  Sheet1!L127=""),       IF(AND(MOD(NOW(),1)&lt;TIME(9,39,0),Sheet1!$C$22=TODAY()),    Sheet1!$C$21-R126,     Sheet1!$C$21-R126-1),               R127-R126-1),    0)</f>
        <v>0</v>
      </c>
      <c r="F126" s="30"/>
      <c r="G126" s="25" t="str">
        <f>IF(LEFT(Sheet1!K127,2)="0x",Sheet1!K126,IF(AND(Sheet1!L126="",Sheet1!L125=""),"",G125))</f>
        <v/>
      </c>
      <c r="H126" s="81"/>
      <c r="I126" s="43" t="str">
        <f t="shared" si="13"/>
        <v/>
      </c>
      <c r="J126" s="29" t="str">
        <f t="shared" si="12"/>
        <v/>
      </c>
      <c r="K126" s="24" t="str">
        <f>IF(Sheet1!L126="","",IF(Sheet1!L126&gt;0,ROW(),""))</f>
        <v/>
      </c>
      <c r="L126" s="24" t="str">
        <f t="shared" ca="1" si="11"/>
        <v/>
      </c>
      <c r="M126" s="47" t="str">
        <f t="shared" ca="1" si="10"/>
        <v/>
      </c>
      <c r="N126" s="48" t="str">
        <f>IF(LEFT(Sheet1!K126,2)="0x",Sheet1!K126,IF(AND(Sheet1!L126="",Sheet1!L125=""),"",N125))</f>
        <v/>
      </c>
      <c r="O126" s="46">
        <f>IF(Sheet1!L126="",0,IF(Sheet1!O126&lt;TIME(7,39,0)+Sheet1!$E$3/24,1,0))</f>
        <v>0</v>
      </c>
      <c r="P126" s="46" t="str">
        <f ca="1">IF(AND(Sheet1!L126&lt;0, Sheet1!$C$21&gt;R126,OR(Sheet1!$C$21&lt;=R127,Sheet1!L127="")),   -1*Sheet1!L126,"")</f>
        <v/>
      </c>
    </row>
    <row r="127" spans="1:16" ht="15.75" x14ac:dyDescent="0.25">
      <c r="A127" s="456" t="str">
        <f>IF(AND(R127&lt;&gt;"",R126&lt;&gt;""),(-Sheet1!L127/Sheet1!L126)^(360/(R127-R126-1))-1,"")</f>
        <v/>
      </c>
      <c r="B127" s="41" t="str">
        <f ca="1">IF(AND(Sheet1!L127&lt;0, Sheet1!$C$21&gt;R127+1,OR(Sheet1!$C$21&lt;=R128,Sheet1!L128="")),   -1*Sheet1!L127,"")</f>
        <v/>
      </c>
      <c r="C127" s="42">
        <f ca="1">IF(Sheet3!$B$5="",0,    IF(E127&lt;1,0,  IF(B127="","",     IF(OR(Sheet3!$B$6=0,INDIRECT(ADDRESS(ROW(),Sheet3!$B$3+16))="" ),D127/E127,    IF(E127&lt;0,0,    IF(OR( INDIRECT(ADDRESS(8,Sheet3!$B$3+16))="",INDIRECT(ADDRESS(ROW(),Sheet3!$B$3+17))=""),        (INDIRECT(ADDRESS(ROW(),Sheet3!$B$3+16))+B127)*Sheet3!$Q$4,         INDIRECT(ADDRESS(ROW(),Sheet3!$B$3+17))-INDIRECT(ADDRESS(ROW(),Sheet3!$B$3+16))))))))</f>
        <v>0</v>
      </c>
      <c r="D127" s="39">
        <f ca="1">IF(Sheet3!$B$5="",0,IF(B127="","",IF(E127&lt;1,0,   IF(INDIRECT(ADDRESS(ROW(), Sheet3!$B$3+17))="",        INDIRECT(ADDRESS(ROW(), Sheet3!$B$3+16))*  (1+Sheet3!$Q$4)   +B127*Sheet3!$Q$4,       INDIRECT(ADDRESS(ROW(), Sheet3!$B$3+17))))))</f>
        <v>0</v>
      </c>
      <c r="E127" s="40">
        <f ca="1">IF(AND(Sheet1!L127&lt;0,  Sheet1!$C$21&gt;R127),    IF(OR(Sheet1!$C$21&lt;=R128,  Sheet1!L128=""),       IF(AND(MOD(NOW(),1)&lt;TIME(9,39,0),Sheet1!$C$22=TODAY()),    Sheet1!$C$21-R127,     Sheet1!$C$21-R127-1),               R128-R127-1),    0)</f>
        <v>0</v>
      </c>
      <c r="F127" s="30"/>
      <c r="G127" s="25" t="str">
        <f>IF(LEFT(Sheet1!K128,2)="0x",Sheet1!K127,IF(AND(Sheet1!L127="",Sheet1!L126=""),"",G126))</f>
        <v/>
      </c>
      <c r="H127" s="81"/>
      <c r="I127" s="43" t="str">
        <f t="shared" si="13"/>
        <v/>
      </c>
      <c r="J127" s="29" t="str">
        <f t="shared" si="12"/>
        <v/>
      </c>
      <c r="K127" s="24" t="str">
        <f>IF(Sheet1!L127="","",IF(Sheet1!L127&gt;0,ROW(),""))</f>
        <v/>
      </c>
      <c r="L127" s="24" t="str">
        <f t="shared" ca="1" si="11"/>
        <v/>
      </c>
      <c r="M127" s="47" t="str">
        <f t="shared" ca="1" si="10"/>
        <v/>
      </c>
      <c r="N127" s="48" t="str">
        <f>IF(LEFT(Sheet1!K127,2)="0x",Sheet1!K127,IF(AND(Sheet1!L127="",Sheet1!L126=""),"",N126))</f>
        <v/>
      </c>
      <c r="O127" s="46">
        <f>IF(Sheet1!L127="",0,IF(Sheet1!O127&lt;TIME(7,39,0)+Sheet1!$E$3/24,1,0))</f>
        <v>0</v>
      </c>
      <c r="P127" s="46" t="str">
        <f ca="1">IF(AND(Sheet1!L127&lt;0, Sheet1!$C$21&gt;R127,OR(Sheet1!$C$21&lt;=R128,Sheet1!L128="")),   -1*Sheet1!L127,"")</f>
        <v/>
      </c>
    </row>
    <row r="128" spans="1:16" ht="15.75" x14ac:dyDescent="0.25">
      <c r="A128" s="456" t="str">
        <f>IF(AND(R128&lt;&gt;"",R127&lt;&gt;""),(-Sheet1!L128/Sheet1!L127)^(360/(R128-R127-1))-1,"")</f>
        <v/>
      </c>
      <c r="B128" s="41" t="str">
        <f ca="1">IF(AND(Sheet1!L128&lt;0, Sheet1!$C$21&gt;R128+1,OR(Sheet1!$C$21&lt;=R129,Sheet1!L129="")),   -1*Sheet1!L128,"")</f>
        <v/>
      </c>
      <c r="C128" s="42">
        <f ca="1">IF(Sheet3!$B$5="",0,    IF(E128&lt;1,0,  IF(B128="","",     IF(OR(Sheet3!$B$6=0,INDIRECT(ADDRESS(ROW(),Sheet3!$B$3+16))="" ),D128/E128,    IF(E128&lt;0,0,    IF(OR( INDIRECT(ADDRESS(8,Sheet3!$B$3+16))="",INDIRECT(ADDRESS(ROW(),Sheet3!$B$3+17))=""),        (INDIRECT(ADDRESS(ROW(),Sheet3!$B$3+16))+B128)*Sheet3!$Q$4,         INDIRECT(ADDRESS(ROW(),Sheet3!$B$3+17))-INDIRECT(ADDRESS(ROW(),Sheet3!$B$3+16))))))))</f>
        <v>0</v>
      </c>
      <c r="D128" s="39">
        <f ca="1">IF(Sheet3!$B$5="",0,IF(B128="","",IF(E128&lt;1,0,   IF(INDIRECT(ADDRESS(ROW(), Sheet3!$B$3+17))="",        INDIRECT(ADDRESS(ROW(), Sheet3!$B$3+16))*  (1+Sheet3!$Q$4)   +B128*Sheet3!$Q$4,       INDIRECT(ADDRESS(ROW(), Sheet3!$B$3+17))))))</f>
        <v>0</v>
      </c>
      <c r="E128" s="40">
        <f ca="1">IF(AND(Sheet1!L128&lt;0,  Sheet1!$C$21&gt;R128),    IF(OR(Sheet1!$C$21&lt;=R129,  Sheet1!L129=""),       IF(AND(MOD(NOW(),1)&lt;TIME(9,39,0),Sheet1!$C$22=TODAY()),    Sheet1!$C$21-R128,     Sheet1!$C$21-R128-1),               R129-R128-1),    0)</f>
        <v>0</v>
      </c>
      <c r="F128" s="30"/>
      <c r="G128" s="25" t="str">
        <f>IF(LEFT(Sheet1!K129,2)="0x",Sheet1!K128,IF(AND(Sheet1!L128="",Sheet1!L127=""),"",G127))</f>
        <v/>
      </c>
      <c r="H128" s="81"/>
      <c r="I128" s="43" t="str">
        <f t="shared" si="13"/>
        <v/>
      </c>
      <c r="J128" s="29" t="str">
        <f t="shared" si="12"/>
        <v/>
      </c>
      <c r="K128" s="24" t="str">
        <f>IF(Sheet1!L128="","",IF(Sheet1!L128&gt;0,ROW(),""))</f>
        <v/>
      </c>
      <c r="L128" s="24" t="str">
        <f t="shared" ca="1" si="11"/>
        <v/>
      </c>
      <c r="M128" s="47" t="str">
        <f t="shared" ca="1" si="10"/>
        <v/>
      </c>
      <c r="N128" s="48" t="str">
        <f>IF(LEFT(Sheet1!K128,2)="0x",Sheet1!K128,IF(AND(Sheet1!L128="",Sheet1!L127=""),"",N127))</f>
        <v/>
      </c>
      <c r="O128" s="46">
        <f>IF(Sheet1!L128="",0,IF(Sheet1!O128&lt;TIME(7,39,0)+Sheet1!$E$3/24,1,0))</f>
        <v>0</v>
      </c>
      <c r="P128" s="46" t="str">
        <f ca="1">IF(AND(Sheet1!L128&lt;0, Sheet1!$C$21&gt;R128,OR(Sheet1!$C$21&lt;=R129,Sheet1!L129="")),   -1*Sheet1!L128,"")</f>
        <v/>
      </c>
    </row>
    <row r="129" spans="1:16" ht="15.75" x14ac:dyDescent="0.25">
      <c r="A129" s="456" t="str">
        <f>IF(AND(R129&lt;&gt;"",R128&lt;&gt;""),(-Sheet1!L129/Sheet1!L128)^(360/(R129-R128-1))-1,"")</f>
        <v/>
      </c>
      <c r="B129" s="41" t="str">
        <f ca="1">IF(AND(Sheet1!L129&lt;0, Sheet1!$C$21&gt;R129+1,OR(Sheet1!$C$21&lt;=R130,Sheet1!L130="")),   -1*Sheet1!L129,"")</f>
        <v/>
      </c>
      <c r="C129" s="42">
        <f ca="1">IF(Sheet3!$B$5="",0,    IF(E129&lt;1,0,  IF(B129="","",     IF(OR(Sheet3!$B$6=0,INDIRECT(ADDRESS(ROW(),Sheet3!$B$3+16))="" ),D129/E129,    IF(E129&lt;0,0,    IF(OR( INDIRECT(ADDRESS(8,Sheet3!$B$3+16))="",INDIRECT(ADDRESS(ROW(),Sheet3!$B$3+17))=""),        (INDIRECT(ADDRESS(ROW(),Sheet3!$B$3+16))+B129)*Sheet3!$Q$4,         INDIRECT(ADDRESS(ROW(),Sheet3!$B$3+17))-INDIRECT(ADDRESS(ROW(),Sheet3!$B$3+16))))))))</f>
        <v>0</v>
      </c>
      <c r="D129" s="39">
        <f ca="1">IF(Sheet3!$B$5="",0,IF(B129="","",IF(E129&lt;1,0,   IF(INDIRECT(ADDRESS(ROW(), Sheet3!$B$3+17))="",        INDIRECT(ADDRESS(ROW(), Sheet3!$B$3+16))*  (1+Sheet3!$Q$4)   +B129*Sheet3!$Q$4,       INDIRECT(ADDRESS(ROW(), Sheet3!$B$3+17))))))</f>
        <v>0</v>
      </c>
      <c r="E129" s="40">
        <f ca="1">IF(AND(Sheet1!L129&lt;0,  Sheet1!$C$21&gt;R129),    IF(OR(Sheet1!$C$21&lt;=R130,  Sheet1!L130=""),       IF(AND(MOD(NOW(),1)&lt;TIME(9,39,0),Sheet1!$C$22=TODAY()),    Sheet1!$C$21-R129,     Sheet1!$C$21-R129-1),               R130-R129-1),    0)</f>
        <v>0</v>
      </c>
      <c r="F129" s="30"/>
      <c r="G129" s="25" t="str">
        <f>IF(LEFT(Sheet1!K130,2)="0x",Sheet1!K129,IF(AND(Sheet1!L129="",Sheet1!L128=""),"",G128))</f>
        <v/>
      </c>
      <c r="H129" s="81"/>
      <c r="I129" s="43" t="str">
        <f t="shared" si="13"/>
        <v/>
      </c>
      <c r="J129" s="29" t="str">
        <f t="shared" si="12"/>
        <v/>
      </c>
      <c r="K129" s="24" t="str">
        <f>IF(Sheet1!L129="","",IF(Sheet1!L129&gt;0,ROW(),""))</f>
        <v/>
      </c>
      <c r="L129" s="24" t="str">
        <f t="shared" ca="1" si="11"/>
        <v/>
      </c>
      <c r="M129" s="47" t="str">
        <f t="shared" ca="1" si="10"/>
        <v/>
      </c>
      <c r="N129" s="48" t="str">
        <f>IF(LEFT(Sheet1!K129,2)="0x",Sheet1!K129,IF(AND(Sheet1!L129="",Sheet1!L128=""),"",N128))</f>
        <v/>
      </c>
      <c r="O129" s="46">
        <f>IF(Sheet1!L129="",0,IF(Sheet1!O129&lt;TIME(7,39,0)+Sheet1!$E$3/24,1,0))</f>
        <v>0</v>
      </c>
      <c r="P129" s="46" t="str">
        <f ca="1">IF(AND(Sheet1!L129&lt;0, Sheet1!$C$21&gt;R129,OR(Sheet1!$C$21&lt;=R130,Sheet1!L130="")),   -1*Sheet1!L129,"")</f>
        <v/>
      </c>
    </row>
    <row r="130" spans="1:16" ht="15.75" x14ac:dyDescent="0.25">
      <c r="A130" s="456" t="str">
        <f>IF(AND(R130&lt;&gt;"",R129&lt;&gt;""),(-Sheet1!L130/Sheet1!L129)^(360/(R130-R129-1))-1,"")</f>
        <v/>
      </c>
      <c r="B130" s="41" t="str">
        <f ca="1">IF(AND(Sheet1!L130&lt;0, Sheet1!$C$21&gt;R130+1,OR(Sheet1!$C$21&lt;=R131,Sheet1!L131="")),   -1*Sheet1!L130,"")</f>
        <v/>
      </c>
      <c r="C130" s="42">
        <f ca="1">IF(Sheet3!$B$5="",0,    IF(E130&lt;1,0,  IF(B130="","",     IF(OR(Sheet3!$B$6=0,INDIRECT(ADDRESS(ROW(),Sheet3!$B$3+16))="" ),D130/E130,    IF(E130&lt;0,0,    IF(OR( INDIRECT(ADDRESS(8,Sheet3!$B$3+16))="",INDIRECT(ADDRESS(ROW(),Sheet3!$B$3+17))=""),        (INDIRECT(ADDRESS(ROW(),Sheet3!$B$3+16))+B130)*Sheet3!$Q$4,         INDIRECT(ADDRESS(ROW(),Sheet3!$B$3+17))-INDIRECT(ADDRESS(ROW(),Sheet3!$B$3+16))))))))</f>
        <v>0</v>
      </c>
      <c r="D130" s="39">
        <f ca="1">IF(Sheet3!$B$5="",0,IF(B130="","",IF(E130&lt;1,0,   IF(INDIRECT(ADDRESS(ROW(), Sheet3!$B$3+17))="",        INDIRECT(ADDRESS(ROW(), Sheet3!$B$3+16))*  (1+Sheet3!$Q$4)   +B130*Sheet3!$Q$4,       INDIRECT(ADDRESS(ROW(), Sheet3!$B$3+17))))))</f>
        <v>0</v>
      </c>
      <c r="E130" s="40">
        <f ca="1">IF(AND(Sheet1!L130&lt;0,  Sheet1!$C$21&gt;R130),    IF(OR(Sheet1!$C$21&lt;=R131,  Sheet1!L131=""),       IF(AND(MOD(NOW(),1)&lt;TIME(9,39,0),Sheet1!$C$22=TODAY()),    Sheet1!$C$21-R130,     Sheet1!$C$21-R130-1),               R131-R130-1),    0)</f>
        <v>0</v>
      </c>
      <c r="F130" s="30"/>
      <c r="G130" s="25" t="str">
        <f>IF(LEFT(Sheet1!K131,2)="0x",Sheet1!K130,IF(AND(Sheet1!L130="",Sheet1!L129=""),"",G129))</f>
        <v/>
      </c>
      <c r="H130" s="81"/>
      <c r="I130" s="43" t="str">
        <f t="shared" si="13"/>
        <v/>
      </c>
      <c r="J130" s="29" t="str">
        <f t="shared" si="12"/>
        <v/>
      </c>
      <c r="K130" s="24" t="str">
        <f>IF(Sheet1!L130="","",IF(Sheet1!L130&gt;0,ROW(),""))</f>
        <v/>
      </c>
      <c r="L130" s="24" t="str">
        <f t="shared" ca="1" si="11"/>
        <v/>
      </c>
      <c r="M130" s="47" t="str">
        <f t="shared" ca="1" si="10"/>
        <v/>
      </c>
      <c r="N130" s="48" t="str">
        <f>IF(LEFT(Sheet1!K130,2)="0x",Sheet1!K130,IF(AND(Sheet1!L130="",Sheet1!L129=""),"",N129))</f>
        <v/>
      </c>
      <c r="O130" s="46">
        <f>IF(Sheet1!L130="",0,IF(Sheet1!O130&lt;TIME(7,39,0)+Sheet1!$E$3/24,1,0))</f>
        <v>0</v>
      </c>
      <c r="P130" s="46" t="str">
        <f ca="1">IF(AND(Sheet1!L130&lt;0, Sheet1!$C$21&gt;R130,OR(Sheet1!$C$21&lt;=R131,Sheet1!L131="")),   -1*Sheet1!L130,"")</f>
        <v/>
      </c>
    </row>
    <row r="131" spans="1:16" ht="15.75" x14ac:dyDescent="0.25">
      <c r="A131" s="456" t="str">
        <f>IF(AND(R131&lt;&gt;"",R130&lt;&gt;""),(-Sheet1!L131/Sheet1!L130)^(360/(R131-R130-1))-1,"")</f>
        <v/>
      </c>
      <c r="B131" s="41" t="str">
        <f ca="1">IF(AND(Sheet1!L131&lt;0, Sheet1!$C$21&gt;R131+1,OR(Sheet1!$C$21&lt;=R132,Sheet1!L132="")),   -1*Sheet1!L131,"")</f>
        <v/>
      </c>
      <c r="C131" s="42">
        <f ca="1">IF(Sheet3!$B$5="",0,    IF(E131&lt;1,0,  IF(B131="","",     IF(OR(Sheet3!$B$6=0,INDIRECT(ADDRESS(ROW(),Sheet3!$B$3+16))="" ),D131/E131,    IF(E131&lt;0,0,    IF(OR( INDIRECT(ADDRESS(8,Sheet3!$B$3+16))="",INDIRECT(ADDRESS(ROW(),Sheet3!$B$3+17))=""),        (INDIRECT(ADDRESS(ROW(),Sheet3!$B$3+16))+B131)*Sheet3!$Q$4,         INDIRECT(ADDRESS(ROW(),Sheet3!$B$3+17))-INDIRECT(ADDRESS(ROW(),Sheet3!$B$3+16))))))))</f>
        <v>0</v>
      </c>
      <c r="D131" s="39">
        <f ca="1">IF(Sheet3!$B$5="",0,IF(B131="","",IF(E131&lt;1,0,   IF(INDIRECT(ADDRESS(ROW(), Sheet3!$B$3+17))="",        INDIRECT(ADDRESS(ROW(), Sheet3!$B$3+16))*  (1+Sheet3!$Q$4)   +B131*Sheet3!$Q$4,       INDIRECT(ADDRESS(ROW(), Sheet3!$B$3+17))))))</f>
        <v>0</v>
      </c>
      <c r="E131" s="40">
        <f ca="1">IF(AND(Sheet1!L131&lt;0,  Sheet1!$C$21&gt;R131),    IF(OR(Sheet1!$C$21&lt;=R132,  Sheet1!L132=""),       IF(AND(MOD(NOW(),1)&lt;TIME(9,39,0),Sheet1!$C$22=TODAY()),    Sheet1!$C$21-R131,     Sheet1!$C$21-R131-1),               R132-R131-1),    0)</f>
        <v>0</v>
      </c>
      <c r="F131" s="30"/>
      <c r="G131" s="25" t="str">
        <f>IF(LEFT(Sheet1!K132,2)="0x",Sheet1!K131,IF(AND(Sheet1!L131="",Sheet1!L130=""),"",G130))</f>
        <v/>
      </c>
      <c r="H131" s="81"/>
      <c r="I131" s="43" t="str">
        <f t="shared" si="13"/>
        <v/>
      </c>
      <c r="J131" s="29" t="str">
        <f t="shared" si="12"/>
        <v/>
      </c>
      <c r="K131" s="24" t="str">
        <f>IF(Sheet1!L131="","",IF(Sheet1!L131&gt;0,ROW(),""))</f>
        <v/>
      </c>
      <c r="L131" s="24" t="str">
        <f t="shared" ca="1" si="11"/>
        <v/>
      </c>
      <c r="M131" s="47" t="str">
        <f t="shared" ca="1" si="10"/>
        <v/>
      </c>
      <c r="N131" s="48" t="str">
        <f>IF(LEFT(Sheet1!K131,2)="0x",Sheet1!K131,IF(AND(Sheet1!L131="",Sheet1!L130=""),"",N130))</f>
        <v/>
      </c>
      <c r="O131" s="46">
        <f>IF(Sheet1!L131="",0,IF(Sheet1!O131&lt;TIME(7,39,0)+Sheet1!$E$3/24,1,0))</f>
        <v>0</v>
      </c>
      <c r="P131" s="46" t="str">
        <f ca="1">IF(AND(Sheet1!L131&lt;0, Sheet1!$C$21&gt;R131,OR(Sheet1!$C$21&lt;=R132,Sheet1!L132="")),   -1*Sheet1!L131,"")</f>
        <v/>
      </c>
    </row>
    <row r="132" spans="1:16" ht="15.75" x14ac:dyDescent="0.25">
      <c r="A132" s="456" t="str">
        <f>IF(AND(R132&lt;&gt;"",R131&lt;&gt;""),(-Sheet1!L132/Sheet1!L131)^(360/(R132-R131-1))-1,"")</f>
        <v/>
      </c>
      <c r="B132" s="41" t="str">
        <f ca="1">IF(AND(Sheet1!L132&lt;0, Sheet1!$C$21&gt;R132+1,OR(Sheet1!$C$21&lt;=R133,Sheet1!L133="")),   -1*Sheet1!L132,"")</f>
        <v/>
      </c>
      <c r="C132" s="42">
        <f ca="1">IF(Sheet3!$B$5="",0,    IF(E132&lt;1,0,  IF(B132="","",     IF(OR(Sheet3!$B$6=0,INDIRECT(ADDRESS(ROW(),Sheet3!$B$3+16))="" ),D132/E132,    IF(E132&lt;0,0,    IF(OR( INDIRECT(ADDRESS(8,Sheet3!$B$3+16))="",INDIRECT(ADDRESS(ROW(),Sheet3!$B$3+17))=""),        (INDIRECT(ADDRESS(ROW(),Sheet3!$B$3+16))+B132)*Sheet3!$Q$4,         INDIRECT(ADDRESS(ROW(),Sheet3!$B$3+17))-INDIRECT(ADDRESS(ROW(),Sheet3!$B$3+16))))))))</f>
        <v>0</v>
      </c>
      <c r="D132" s="39">
        <f ca="1">IF(Sheet3!$B$5="",0,IF(B132="","",IF(E132&lt;1,0,   IF(INDIRECT(ADDRESS(ROW(), Sheet3!$B$3+17))="",        INDIRECT(ADDRESS(ROW(), Sheet3!$B$3+16))*  (1+Sheet3!$Q$4)   +B132*Sheet3!$Q$4,       INDIRECT(ADDRESS(ROW(), Sheet3!$B$3+17))))))</f>
        <v>0</v>
      </c>
      <c r="E132" s="40">
        <f ca="1">IF(AND(Sheet1!L132&lt;0,  Sheet1!$C$21&gt;R132),    IF(OR(Sheet1!$C$21&lt;=R133,  Sheet1!L133=""),       IF(AND(MOD(NOW(),1)&lt;TIME(9,39,0),Sheet1!$C$22=TODAY()),    Sheet1!$C$21-R132,     Sheet1!$C$21-R132-1),               R133-R132-1),    0)</f>
        <v>0</v>
      </c>
      <c r="F132" s="30"/>
      <c r="G132" s="25" t="str">
        <f>IF(LEFT(Sheet1!K133,2)="0x",Sheet1!K132,IF(AND(Sheet1!L132="",Sheet1!L131=""),"",G131))</f>
        <v/>
      </c>
      <c r="H132" s="81"/>
      <c r="I132" s="43" t="str">
        <f t="shared" si="13"/>
        <v/>
      </c>
      <c r="J132" s="29" t="str">
        <f t="shared" si="12"/>
        <v/>
      </c>
      <c r="K132" s="24" t="str">
        <f>IF(Sheet1!L132="","",IF(Sheet1!L132&gt;0,ROW(),""))</f>
        <v/>
      </c>
      <c r="L132" s="24" t="str">
        <f t="shared" ca="1" si="11"/>
        <v/>
      </c>
      <c r="M132" s="47" t="str">
        <f t="shared" ca="1" si="10"/>
        <v/>
      </c>
      <c r="N132" s="48" t="str">
        <f>IF(LEFT(Sheet1!K132,2)="0x",Sheet1!K132,IF(AND(Sheet1!L132="",Sheet1!L131=""),"",N131))</f>
        <v/>
      </c>
      <c r="O132" s="46">
        <f>IF(Sheet1!L132="",0,IF(Sheet1!O132&lt;TIME(7,39,0)+Sheet1!$E$3/24,1,0))</f>
        <v>0</v>
      </c>
      <c r="P132" s="46" t="str">
        <f ca="1">IF(AND(Sheet1!L132&lt;0, Sheet1!$C$21&gt;R132,OR(Sheet1!$C$21&lt;=R133,Sheet1!L133="")),   -1*Sheet1!L132,"")</f>
        <v/>
      </c>
    </row>
    <row r="133" spans="1:16" ht="15.75" x14ac:dyDescent="0.25">
      <c r="A133" s="456" t="str">
        <f>IF(AND(R133&lt;&gt;"",R132&lt;&gt;""),(-Sheet1!L133/Sheet1!L132)^(360/(R133-R132-1))-1,"")</f>
        <v/>
      </c>
      <c r="B133" s="41" t="str">
        <f ca="1">IF(AND(Sheet1!L133&lt;0, Sheet1!$C$21&gt;R133+1,OR(Sheet1!$C$21&lt;=R134,Sheet1!L134="")),   -1*Sheet1!L133,"")</f>
        <v/>
      </c>
      <c r="C133" s="42">
        <f ca="1">IF(Sheet3!$B$5="",0,    IF(E133&lt;1,0,  IF(B133="","",     IF(OR(Sheet3!$B$6=0,INDIRECT(ADDRESS(ROW(),Sheet3!$B$3+16))="" ),D133/E133,    IF(E133&lt;0,0,    IF(OR( INDIRECT(ADDRESS(8,Sheet3!$B$3+16))="",INDIRECT(ADDRESS(ROW(),Sheet3!$B$3+17))=""),        (INDIRECT(ADDRESS(ROW(),Sheet3!$B$3+16))+B133)*Sheet3!$Q$4,         INDIRECT(ADDRESS(ROW(),Sheet3!$B$3+17))-INDIRECT(ADDRESS(ROW(),Sheet3!$B$3+16))))))))</f>
        <v>0</v>
      </c>
      <c r="D133" s="39">
        <f ca="1">IF(Sheet3!$B$5="",0,IF(B133="","",IF(E133&lt;1,0,   IF(INDIRECT(ADDRESS(ROW(), Sheet3!$B$3+17))="",        INDIRECT(ADDRESS(ROW(), Sheet3!$B$3+16))*  (1+Sheet3!$Q$4)   +B133*Sheet3!$Q$4,       INDIRECT(ADDRESS(ROW(), Sheet3!$B$3+17))))))</f>
        <v>0</v>
      </c>
      <c r="E133" s="40">
        <f ca="1">IF(AND(Sheet1!L133&lt;0,  Sheet1!$C$21&gt;R133),    IF(OR(Sheet1!$C$21&lt;=R134,  Sheet1!L134=""),       IF(AND(MOD(NOW(),1)&lt;TIME(9,39,0),Sheet1!$C$22=TODAY()),    Sheet1!$C$21-R133,     Sheet1!$C$21-R133-1),               R134-R133-1),    0)</f>
        <v>0</v>
      </c>
      <c r="F133" s="30"/>
      <c r="G133" s="25" t="str">
        <f>IF(LEFT(Sheet1!K134,2)="0x",Sheet1!K133,IF(AND(Sheet1!L133="",Sheet1!L132=""),"",G132))</f>
        <v/>
      </c>
      <c r="H133" s="81"/>
      <c r="I133" s="43" t="str">
        <f t="shared" si="13"/>
        <v/>
      </c>
      <c r="J133" s="29" t="str">
        <f t="shared" si="12"/>
        <v/>
      </c>
      <c r="K133" s="24" t="str">
        <f>IF(Sheet1!L133="","",IF(Sheet1!L133&gt;0,ROW(),""))</f>
        <v/>
      </c>
      <c r="L133" s="24" t="str">
        <f t="shared" ca="1" si="11"/>
        <v/>
      </c>
      <c r="M133" s="47" t="str">
        <f t="shared" ca="1" si="10"/>
        <v/>
      </c>
      <c r="N133" s="48" t="str">
        <f>IF(LEFT(Sheet1!K133,2)="0x",Sheet1!K133,IF(AND(Sheet1!L133="",Sheet1!L132=""),"",N132))</f>
        <v/>
      </c>
      <c r="O133" s="46">
        <f>IF(Sheet1!L133="",0,IF(Sheet1!O133&lt;TIME(7,39,0)+Sheet1!$E$3/24,1,0))</f>
        <v>0</v>
      </c>
      <c r="P133" s="46" t="str">
        <f ca="1">IF(AND(Sheet1!L133&lt;0, Sheet1!$C$21&gt;R133,OR(Sheet1!$C$21&lt;=R134,Sheet1!L134="")),   -1*Sheet1!L133,"")</f>
        <v/>
      </c>
    </row>
    <row r="134" spans="1:16" ht="15.75" x14ac:dyDescent="0.25">
      <c r="A134" s="456" t="str">
        <f>IF(AND(R134&lt;&gt;"",R133&lt;&gt;""),(-Sheet1!L134/Sheet1!L133)^(360/(R134-R133-1))-1,"")</f>
        <v/>
      </c>
      <c r="B134" s="41" t="str">
        <f ca="1">IF(AND(Sheet1!L134&lt;0, Sheet1!$C$21&gt;R134+1,OR(Sheet1!$C$21&lt;=R135,Sheet1!L135="")),   -1*Sheet1!L134,"")</f>
        <v/>
      </c>
      <c r="C134" s="42">
        <f ca="1">IF(Sheet3!$B$5="",0,    IF(E134&lt;1,0,  IF(B134="","",     IF(OR(Sheet3!$B$6=0,INDIRECT(ADDRESS(ROW(),Sheet3!$B$3+16))="" ),D134/E134,    IF(E134&lt;0,0,    IF(OR( INDIRECT(ADDRESS(8,Sheet3!$B$3+16))="",INDIRECT(ADDRESS(ROW(),Sheet3!$B$3+17))=""),        (INDIRECT(ADDRESS(ROW(),Sheet3!$B$3+16))+B134)*Sheet3!$Q$4,         INDIRECT(ADDRESS(ROW(),Sheet3!$B$3+17))-INDIRECT(ADDRESS(ROW(),Sheet3!$B$3+16))))))))</f>
        <v>0</v>
      </c>
      <c r="D134" s="39">
        <f ca="1">IF(Sheet3!$B$5="",0,IF(B134="","",IF(E134&lt;1,0,   IF(INDIRECT(ADDRESS(ROW(), Sheet3!$B$3+17))="",        INDIRECT(ADDRESS(ROW(), Sheet3!$B$3+16))*  (1+Sheet3!$Q$4)   +B134*Sheet3!$Q$4,       INDIRECT(ADDRESS(ROW(), Sheet3!$B$3+17))))))</f>
        <v>0</v>
      </c>
      <c r="E134" s="40">
        <f ca="1">IF(AND(Sheet1!L134&lt;0,  Sheet1!$C$21&gt;R134),    IF(OR(Sheet1!$C$21&lt;=R135,  Sheet1!L135=""),       IF(AND(MOD(NOW(),1)&lt;TIME(9,39,0),Sheet1!$C$22=TODAY()),    Sheet1!$C$21-R134,     Sheet1!$C$21-R134-1),               R135-R134-1),    0)</f>
        <v>0</v>
      </c>
      <c r="F134" s="30"/>
      <c r="G134" s="25" t="str">
        <f>IF(LEFT(Sheet1!K135,2)="0x",Sheet1!K134,IF(AND(Sheet1!L134="",Sheet1!L133=""),"",G133))</f>
        <v/>
      </c>
      <c r="H134" s="81"/>
      <c r="I134" s="43" t="str">
        <f t="shared" si="13"/>
        <v/>
      </c>
      <c r="J134" s="29" t="str">
        <f t="shared" si="12"/>
        <v/>
      </c>
      <c r="K134" s="24" t="str">
        <f>IF(Sheet1!L134="","",IF(Sheet1!L134&gt;0,ROW(),""))</f>
        <v/>
      </c>
      <c r="L134" s="24" t="str">
        <f t="shared" ca="1" si="11"/>
        <v/>
      </c>
      <c r="M134" s="47" t="str">
        <f t="shared" ca="1" si="10"/>
        <v/>
      </c>
      <c r="N134" s="48" t="str">
        <f>IF(LEFT(Sheet1!K134,2)="0x",Sheet1!K134,IF(AND(Sheet1!L134="",Sheet1!L133=""),"",N133))</f>
        <v/>
      </c>
      <c r="O134" s="46">
        <f>IF(Sheet1!L134="",0,IF(Sheet1!O134&lt;TIME(7,39,0)+Sheet1!$E$3/24,1,0))</f>
        <v>0</v>
      </c>
      <c r="P134" s="46" t="str">
        <f ca="1">IF(AND(Sheet1!L134&lt;0, Sheet1!$C$21&gt;R134,OR(Sheet1!$C$21&lt;=R135,Sheet1!L135="")),   -1*Sheet1!L134,"")</f>
        <v/>
      </c>
    </row>
    <row r="135" spans="1:16" ht="15.75" x14ac:dyDescent="0.25">
      <c r="A135" s="456" t="str">
        <f>IF(AND(R135&lt;&gt;"",R134&lt;&gt;""),(-Sheet1!L135/Sheet1!L134)^(360/(R135-R134-1))-1,"")</f>
        <v/>
      </c>
      <c r="B135" s="41" t="str">
        <f ca="1">IF(AND(Sheet1!L135&lt;0, Sheet1!$C$21&gt;R135+1,OR(Sheet1!$C$21&lt;=R136,Sheet1!L136="")),   -1*Sheet1!L135,"")</f>
        <v/>
      </c>
      <c r="C135" s="42">
        <f ca="1">IF(Sheet3!$B$5="",0,    IF(E135&lt;1,0,  IF(B135="","",     IF(OR(Sheet3!$B$6=0,INDIRECT(ADDRESS(ROW(),Sheet3!$B$3+16))="" ),D135/E135,    IF(E135&lt;0,0,    IF(OR( INDIRECT(ADDRESS(8,Sheet3!$B$3+16))="",INDIRECT(ADDRESS(ROW(),Sheet3!$B$3+17))=""),        (INDIRECT(ADDRESS(ROW(),Sheet3!$B$3+16))+B135)*Sheet3!$Q$4,         INDIRECT(ADDRESS(ROW(),Sheet3!$B$3+17))-INDIRECT(ADDRESS(ROW(),Sheet3!$B$3+16))))))))</f>
        <v>0</v>
      </c>
      <c r="D135" s="39">
        <f ca="1">IF(Sheet3!$B$5="",0,IF(B135="","",IF(E135&lt;1,0,   IF(INDIRECT(ADDRESS(ROW(), Sheet3!$B$3+17))="",        INDIRECT(ADDRESS(ROW(), Sheet3!$B$3+16))*  (1+Sheet3!$Q$4)   +B135*Sheet3!$Q$4,       INDIRECT(ADDRESS(ROW(), Sheet3!$B$3+17))))))</f>
        <v>0</v>
      </c>
      <c r="E135" s="40">
        <f ca="1">IF(AND(Sheet1!L135&lt;0,  Sheet1!$C$21&gt;R135),    IF(OR(Sheet1!$C$21&lt;=R136,  Sheet1!L136=""),       IF(AND(MOD(NOW(),1)&lt;TIME(9,39,0),Sheet1!$C$22=TODAY()),    Sheet1!$C$21-R135,     Sheet1!$C$21-R135-1),               R136-R135-1),    0)</f>
        <v>0</v>
      </c>
      <c r="F135" s="30"/>
      <c r="G135" s="25" t="str">
        <f>IF(LEFT(Sheet1!K136,2)="0x",Sheet1!K135,IF(AND(Sheet1!L135="",Sheet1!L134=""),"",G134))</f>
        <v/>
      </c>
      <c r="H135" s="81"/>
      <c r="I135" s="43" t="str">
        <f t="shared" si="13"/>
        <v/>
      </c>
      <c r="J135" s="29" t="str">
        <f t="shared" si="12"/>
        <v/>
      </c>
      <c r="K135" s="24" t="str">
        <f>IF(Sheet1!L135="","",IF(Sheet1!L135&gt;0,ROW(),""))</f>
        <v/>
      </c>
      <c r="L135" s="24" t="str">
        <f t="shared" ca="1" si="11"/>
        <v/>
      </c>
      <c r="M135" s="47" t="str">
        <f t="shared" ca="1" si="10"/>
        <v/>
      </c>
      <c r="N135" s="48" t="str">
        <f>IF(LEFT(Sheet1!K135,2)="0x",Sheet1!K135,IF(AND(Sheet1!L135="",Sheet1!L134=""),"",N134))</f>
        <v/>
      </c>
      <c r="O135" s="46">
        <f>IF(Sheet1!L135="",0,IF(Sheet1!O135&lt;TIME(7,39,0)+Sheet1!$E$3/24,1,0))</f>
        <v>0</v>
      </c>
      <c r="P135" s="46" t="str">
        <f ca="1">IF(AND(Sheet1!L135&lt;0, Sheet1!$C$21&gt;R135,OR(Sheet1!$C$21&lt;=R136,Sheet1!L136="")),   -1*Sheet1!L135,"")</f>
        <v/>
      </c>
    </row>
    <row r="136" spans="1:16" ht="15.75" x14ac:dyDescent="0.25">
      <c r="A136" s="456" t="str">
        <f>IF(AND(R136&lt;&gt;"",R135&lt;&gt;""),(-Sheet1!L136/Sheet1!L135)^(360/(R136-R135-1))-1,"")</f>
        <v/>
      </c>
      <c r="B136" s="41" t="str">
        <f ca="1">IF(AND(Sheet1!L136&lt;0, Sheet1!$C$21&gt;R136+1,OR(Sheet1!$C$21&lt;=R137,Sheet1!L137="")),   -1*Sheet1!L136,"")</f>
        <v/>
      </c>
      <c r="C136" s="42">
        <f ca="1">IF(Sheet3!$B$5="",0,    IF(E136&lt;1,0,  IF(B136="","",     IF(OR(Sheet3!$B$6=0,INDIRECT(ADDRESS(ROW(),Sheet3!$B$3+16))="" ),D136/E136,    IF(E136&lt;0,0,    IF(OR( INDIRECT(ADDRESS(8,Sheet3!$B$3+16))="",INDIRECT(ADDRESS(ROW(),Sheet3!$B$3+17))=""),        (INDIRECT(ADDRESS(ROW(),Sheet3!$B$3+16))+B136)*Sheet3!$Q$4,         INDIRECT(ADDRESS(ROW(),Sheet3!$B$3+17))-INDIRECT(ADDRESS(ROW(),Sheet3!$B$3+16))))))))</f>
        <v>0</v>
      </c>
      <c r="D136" s="39">
        <f ca="1">IF(Sheet3!$B$5="",0,IF(B136="","",IF(E136&lt;1,0,   IF(INDIRECT(ADDRESS(ROW(), Sheet3!$B$3+17))="",        INDIRECT(ADDRESS(ROW(), Sheet3!$B$3+16))*  (1+Sheet3!$Q$4)   +B136*Sheet3!$Q$4,       INDIRECT(ADDRESS(ROW(), Sheet3!$B$3+17))))))</f>
        <v>0</v>
      </c>
      <c r="E136" s="40">
        <f ca="1">IF(AND(Sheet1!L136&lt;0,  Sheet1!$C$21&gt;R136),    IF(OR(Sheet1!$C$21&lt;=R137,  Sheet1!L137=""),       IF(AND(MOD(NOW(),1)&lt;TIME(9,39,0),Sheet1!$C$22=TODAY()),    Sheet1!$C$21-R136,     Sheet1!$C$21-R136-1),               R137-R136-1),    0)</f>
        <v>0</v>
      </c>
      <c r="F136" s="30"/>
      <c r="G136" s="25" t="str">
        <f>IF(LEFT(Sheet1!K137,2)="0x",Sheet1!K136,IF(AND(Sheet1!L136="",Sheet1!L135=""),"",G135))</f>
        <v/>
      </c>
      <c r="H136" s="81"/>
      <c r="I136" s="43" t="str">
        <f t="shared" si="13"/>
        <v/>
      </c>
      <c r="J136" s="29" t="str">
        <f t="shared" si="12"/>
        <v/>
      </c>
      <c r="K136" s="24" t="str">
        <f>IF(Sheet1!L136="","",IF(Sheet1!L136&gt;0,ROW(),""))</f>
        <v/>
      </c>
      <c r="L136" s="24" t="str">
        <f t="shared" ca="1" si="11"/>
        <v/>
      </c>
      <c r="M136" s="47" t="str">
        <f t="shared" ca="1" si="10"/>
        <v/>
      </c>
      <c r="N136" s="48" t="str">
        <f>IF(LEFT(Sheet1!K136,2)="0x",Sheet1!K136,IF(AND(Sheet1!L136="",Sheet1!L135=""),"",N135))</f>
        <v/>
      </c>
      <c r="O136" s="46">
        <f>IF(Sheet1!L136="",0,IF(Sheet1!O136&lt;TIME(7,39,0)+Sheet1!$E$3/24,1,0))</f>
        <v>0</v>
      </c>
      <c r="P136" s="46" t="str">
        <f ca="1">IF(AND(Sheet1!L136&lt;0, Sheet1!$C$21&gt;R136,OR(Sheet1!$C$21&lt;=R137,Sheet1!L137="")),   -1*Sheet1!L136,"")</f>
        <v/>
      </c>
    </row>
    <row r="137" spans="1:16" ht="15.75" x14ac:dyDescent="0.25">
      <c r="A137" s="456" t="str">
        <f>IF(AND(R137&lt;&gt;"",R136&lt;&gt;""),(-Sheet1!L137/Sheet1!L136)^(360/(R137-R136-1))-1,"")</f>
        <v/>
      </c>
      <c r="B137" s="41" t="str">
        <f ca="1">IF(AND(Sheet1!L137&lt;0, Sheet1!$C$21&gt;R137+1,OR(Sheet1!$C$21&lt;=R138,Sheet1!L138="")),   -1*Sheet1!L137,"")</f>
        <v/>
      </c>
      <c r="C137" s="42">
        <f ca="1">IF(Sheet3!$B$5="",0,    IF(E137&lt;1,0,  IF(B137="","",     IF(OR(Sheet3!$B$6=0,INDIRECT(ADDRESS(ROW(),Sheet3!$B$3+16))="" ),D137/E137,    IF(E137&lt;0,0,    IF(OR( INDIRECT(ADDRESS(8,Sheet3!$B$3+16))="",INDIRECT(ADDRESS(ROW(),Sheet3!$B$3+17))=""),        (INDIRECT(ADDRESS(ROW(),Sheet3!$B$3+16))+B137)*Sheet3!$Q$4,         INDIRECT(ADDRESS(ROW(),Sheet3!$B$3+17))-INDIRECT(ADDRESS(ROW(),Sheet3!$B$3+16))))))))</f>
        <v>0</v>
      </c>
      <c r="D137" s="39">
        <f ca="1">IF(Sheet3!$B$5="",0,IF(B137="","",IF(E137&lt;1,0,   IF(INDIRECT(ADDRESS(ROW(), Sheet3!$B$3+17))="",        INDIRECT(ADDRESS(ROW(), Sheet3!$B$3+16))*  (1+Sheet3!$Q$4)   +B137*Sheet3!$Q$4,       INDIRECT(ADDRESS(ROW(), Sheet3!$B$3+17))))))</f>
        <v>0</v>
      </c>
      <c r="E137" s="40">
        <f ca="1">IF(AND(Sheet1!L137&lt;0,  Sheet1!$C$21&gt;R137),    IF(OR(Sheet1!$C$21&lt;=R138,  Sheet1!L138=""),       IF(AND(MOD(NOW(),1)&lt;TIME(9,39,0),Sheet1!$C$22=TODAY()),    Sheet1!$C$21-R137,     Sheet1!$C$21-R137-1),               R138-R137-1),    0)</f>
        <v>0</v>
      </c>
      <c r="F137" s="30"/>
      <c r="G137" s="25" t="str">
        <f>IF(LEFT(Sheet1!K138,2)="0x",Sheet1!K137,IF(AND(Sheet1!L137="",Sheet1!L136=""),"",G136))</f>
        <v/>
      </c>
      <c r="H137" s="81"/>
      <c r="I137" s="43" t="str">
        <f t="shared" si="13"/>
        <v/>
      </c>
      <c r="J137" s="29" t="str">
        <f t="shared" si="12"/>
        <v/>
      </c>
      <c r="K137" s="24" t="str">
        <f>IF(Sheet1!L137="","",IF(Sheet1!L137&gt;0,ROW(),""))</f>
        <v/>
      </c>
      <c r="L137" s="24" t="str">
        <f t="shared" ca="1" si="11"/>
        <v/>
      </c>
      <c r="M137" s="47" t="str">
        <f t="shared" ca="1" si="10"/>
        <v/>
      </c>
      <c r="N137" s="48" t="str">
        <f>IF(LEFT(Sheet1!K137,2)="0x",Sheet1!K137,IF(AND(Sheet1!L137="",Sheet1!L136=""),"",N136))</f>
        <v/>
      </c>
      <c r="O137" s="46">
        <f>IF(Sheet1!L137="",0,IF(Sheet1!O137&lt;TIME(7,39,0)+Sheet1!$E$3/24,1,0))</f>
        <v>0</v>
      </c>
      <c r="P137" s="46" t="str">
        <f ca="1">IF(AND(Sheet1!L137&lt;0, Sheet1!$C$21&gt;R137,OR(Sheet1!$C$21&lt;=R138,Sheet1!L138="")),   -1*Sheet1!L137,"")</f>
        <v/>
      </c>
    </row>
    <row r="138" spans="1:16" ht="15.75" x14ac:dyDescent="0.25">
      <c r="A138" s="456" t="str">
        <f>IF(AND(R138&lt;&gt;"",R137&lt;&gt;""),(-Sheet1!L138/Sheet1!L137)^(360/(R138-R137-1))-1,"")</f>
        <v/>
      </c>
      <c r="B138" s="41" t="str">
        <f ca="1">IF(AND(Sheet1!L138&lt;0, Sheet1!$C$21&gt;R138+1,OR(Sheet1!$C$21&lt;=R139,Sheet1!L139="")),   -1*Sheet1!L138,"")</f>
        <v/>
      </c>
      <c r="C138" s="42">
        <f ca="1">IF(Sheet3!$B$5="",0,    IF(E138&lt;1,0,  IF(B138="","",     IF(OR(Sheet3!$B$6=0,INDIRECT(ADDRESS(ROW(),Sheet3!$B$3+16))="" ),D138/E138,    IF(E138&lt;0,0,    IF(OR( INDIRECT(ADDRESS(8,Sheet3!$B$3+16))="",INDIRECT(ADDRESS(ROW(),Sheet3!$B$3+17))=""),        (INDIRECT(ADDRESS(ROW(),Sheet3!$B$3+16))+B138)*Sheet3!$Q$4,         INDIRECT(ADDRESS(ROW(),Sheet3!$B$3+17))-INDIRECT(ADDRESS(ROW(),Sheet3!$B$3+16))))))))</f>
        <v>0</v>
      </c>
      <c r="D138" s="39">
        <f ca="1">IF(Sheet3!$B$5="",0,IF(B138="","",IF(E138&lt;1,0,   IF(INDIRECT(ADDRESS(ROW(), Sheet3!$B$3+17))="",        INDIRECT(ADDRESS(ROW(), Sheet3!$B$3+16))*  (1+Sheet3!$Q$4)   +B138*Sheet3!$Q$4,       INDIRECT(ADDRESS(ROW(), Sheet3!$B$3+17))))))</f>
        <v>0</v>
      </c>
      <c r="E138" s="40">
        <f ca="1">IF(AND(Sheet1!L138&lt;0,  Sheet1!$C$21&gt;R138),    IF(OR(Sheet1!$C$21&lt;=R139,  Sheet1!L139=""),       IF(AND(MOD(NOW(),1)&lt;TIME(9,39,0),Sheet1!$C$22=TODAY()),    Sheet1!$C$21-R138,     Sheet1!$C$21-R138-1),               R139-R138-1),    0)</f>
        <v>0</v>
      </c>
      <c r="F138" s="30"/>
      <c r="G138" s="25" t="str">
        <f>IF(LEFT(Sheet1!K139,2)="0x",Sheet1!K138,IF(AND(Sheet1!L138="",Sheet1!L137=""),"",G137))</f>
        <v/>
      </c>
      <c r="H138" s="81"/>
      <c r="I138" s="43" t="str">
        <f t="shared" si="13"/>
        <v/>
      </c>
      <c r="J138" s="29" t="str">
        <f t="shared" si="12"/>
        <v/>
      </c>
      <c r="K138" s="24" t="str">
        <f>IF(Sheet1!L138="","",IF(Sheet1!L138&gt;0,ROW(),""))</f>
        <v/>
      </c>
      <c r="L138" s="24" t="str">
        <f t="shared" ca="1" si="11"/>
        <v/>
      </c>
      <c r="M138" s="47" t="str">
        <f t="shared" ca="1" si="10"/>
        <v/>
      </c>
      <c r="N138" s="48" t="str">
        <f>IF(LEFT(Sheet1!K138,2)="0x",Sheet1!K138,IF(AND(Sheet1!L138="",Sheet1!L137=""),"",N137))</f>
        <v/>
      </c>
      <c r="O138" s="46">
        <f>IF(Sheet1!L138="",0,IF(Sheet1!O138&lt;TIME(7,39,0)+Sheet1!$E$3/24,1,0))</f>
        <v>0</v>
      </c>
      <c r="P138" s="46" t="str">
        <f ca="1">IF(AND(Sheet1!L138&lt;0, Sheet1!$C$21&gt;R138,OR(Sheet1!$C$21&lt;=R139,Sheet1!L139="")),   -1*Sheet1!L138,"")</f>
        <v/>
      </c>
    </row>
    <row r="139" spans="1:16" ht="15.75" x14ac:dyDescent="0.25">
      <c r="A139" s="456" t="str">
        <f>IF(AND(R139&lt;&gt;"",R138&lt;&gt;""),(-Sheet1!L139/Sheet1!L138)^(360/(R139-R138-1))-1,"")</f>
        <v/>
      </c>
      <c r="B139" s="41" t="str">
        <f ca="1">IF(AND(Sheet1!L139&lt;0, Sheet1!$C$21&gt;R139+1,OR(Sheet1!$C$21&lt;=R140,Sheet1!L140="")),   -1*Sheet1!L139,"")</f>
        <v/>
      </c>
      <c r="C139" s="42">
        <f ca="1">IF(Sheet3!$B$5="",0,    IF(E139&lt;1,0,  IF(B139="","",     IF(OR(Sheet3!$B$6=0,INDIRECT(ADDRESS(ROW(),Sheet3!$B$3+16))="" ),D139/E139,    IF(E139&lt;0,0,    IF(OR( INDIRECT(ADDRESS(8,Sheet3!$B$3+16))="",INDIRECT(ADDRESS(ROW(),Sheet3!$B$3+17))=""),        (INDIRECT(ADDRESS(ROW(),Sheet3!$B$3+16))+B139)*Sheet3!$Q$4,         INDIRECT(ADDRESS(ROW(),Sheet3!$B$3+17))-INDIRECT(ADDRESS(ROW(),Sheet3!$B$3+16))))))))</f>
        <v>0</v>
      </c>
      <c r="D139" s="39">
        <f ca="1">IF(Sheet3!$B$5="",0,IF(B139="","",IF(E139&lt;1,0,   IF(INDIRECT(ADDRESS(ROW(), Sheet3!$B$3+17))="",        INDIRECT(ADDRESS(ROW(), Sheet3!$B$3+16))*  (1+Sheet3!$Q$4)   +B139*Sheet3!$Q$4,       INDIRECT(ADDRESS(ROW(), Sheet3!$B$3+17))))))</f>
        <v>0</v>
      </c>
      <c r="E139" s="40">
        <f ca="1">IF(AND(Sheet1!L139&lt;0,  Sheet1!$C$21&gt;R139),    IF(OR(Sheet1!$C$21&lt;=R140,  Sheet1!L140=""),       IF(AND(MOD(NOW(),1)&lt;TIME(9,39,0),Sheet1!$C$22=TODAY()),    Sheet1!$C$21-R139,     Sheet1!$C$21-R139-1),               R140-R139-1),    0)</f>
        <v>0</v>
      </c>
      <c r="F139" s="30"/>
      <c r="G139" s="25" t="str">
        <f>IF(LEFT(Sheet1!K140,2)="0x",Sheet1!K139,IF(AND(Sheet1!L139="",Sheet1!L138=""),"",G138))</f>
        <v/>
      </c>
      <c r="H139" s="81"/>
      <c r="I139" s="43" t="str">
        <f t="shared" si="13"/>
        <v/>
      </c>
      <c r="J139" s="29" t="str">
        <f t="shared" si="12"/>
        <v/>
      </c>
      <c r="K139" s="24" t="str">
        <f>IF(Sheet1!L139="","",IF(Sheet1!L139&gt;0,ROW(),""))</f>
        <v/>
      </c>
      <c r="L139" s="24" t="str">
        <f t="shared" ca="1" si="11"/>
        <v/>
      </c>
      <c r="M139" s="47" t="str">
        <f t="shared" ca="1" si="10"/>
        <v/>
      </c>
      <c r="N139" s="48" t="str">
        <f>IF(LEFT(Sheet1!K139,2)="0x",Sheet1!K139,IF(AND(Sheet1!L139="",Sheet1!L138=""),"",N138))</f>
        <v/>
      </c>
      <c r="O139" s="46">
        <f>IF(Sheet1!L139="",0,IF(Sheet1!O139&lt;TIME(7,39,0)+Sheet1!$E$3/24,1,0))</f>
        <v>0</v>
      </c>
      <c r="P139" s="46" t="str">
        <f ca="1">IF(AND(Sheet1!L139&lt;0, Sheet1!$C$21&gt;R139,OR(Sheet1!$C$21&lt;=R140,Sheet1!L140="")),   -1*Sheet1!L139,"")</f>
        <v/>
      </c>
    </row>
    <row r="140" spans="1:16" ht="15.75" x14ac:dyDescent="0.25">
      <c r="A140" s="456" t="str">
        <f>IF(AND(R140&lt;&gt;"",R139&lt;&gt;""),(-Sheet1!L140/Sheet1!L139)^(360/(R140-R139-1))-1,"")</f>
        <v/>
      </c>
      <c r="B140" s="41" t="str">
        <f ca="1">IF(AND(Sheet1!L140&lt;0, Sheet1!$C$21&gt;R140+1,OR(Sheet1!$C$21&lt;=R141,Sheet1!L141="")),   -1*Sheet1!L140,"")</f>
        <v/>
      </c>
      <c r="C140" s="42">
        <f ca="1">IF(Sheet3!$B$5="",0,    IF(E140&lt;1,0,  IF(B140="","",     IF(OR(Sheet3!$B$6=0,INDIRECT(ADDRESS(ROW(),Sheet3!$B$3+16))="" ),D140/E140,    IF(E140&lt;0,0,    IF(OR( INDIRECT(ADDRESS(8,Sheet3!$B$3+16))="",INDIRECT(ADDRESS(ROW(),Sheet3!$B$3+17))=""),        (INDIRECT(ADDRESS(ROW(),Sheet3!$B$3+16))+B140)*Sheet3!$Q$4,         INDIRECT(ADDRESS(ROW(),Sheet3!$B$3+17))-INDIRECT(ADDRESS(ROW(),Sheet3!$B$3+16))))))))</f>
        <v>0</v>
      </c>
      <c r="D140" s="39">
        <f ca="1">IF(Sheet3!$B$5="",0,IF(B140="","",IF(E140&lt;1,0,   IF(INDIRECT(ADDRESS(ROW(), Sheet3!$B$3+17))="",        INDIRECT(ADDRESS(ROW(), Sheet3!$B$3+16))*  (1+Sheet3!$Q$4)   +B140*Sheet3!$Q$4,       INDIRECT(ADDRESS(ROW(), Sheet3!$B$3+17))))))</f>
        <v>0</v>
      </c>
      <c r="E140" s="40">
        <f ca="1">IF(AND(Sheet1!L140&lt;0,  Sheet1!$C$21&gt;R140),    IF(OR(Sheet1!$C$21&lt;=R141,  Sheet1!L141=""),       IF(AND(MOD(NOW(),1)&lt;TIME(9,39,0),Sheet1!$C$22=TODAY()),    Sheet1!$C$21-R140,     Sheet1!$C$21-R140-1),               R141-R140-1),    0)</f>
        <v>0</v>
      </c>
      <c r="F140" s="30"/>
      <c r="G140" s="25" t="str">
        <f>IF(LEFT(Sheet1!K141,2)="0x",Sheet1!K140,IF(AND(Sheet1!L140="",Sheet1!L139=""),"",G139))</f>
        <v/>
      </c>
      <c r="H140" s="81"/>
      <c r="I140" s="43" t="str">
        <f t="shared" si="13"/>
        <v/>
      </c>
      <c r="J140" s="29" t="str">
        <f t="shared" si="12"/>
        <v/>
      </c>
      <c r="K140" s="24" t="str">
        <f>IF(Sheet1!L140="","",IF(Sheet1!L140&gt;0,ROW(),""))</f>
        <v/>
      </c>
      <c r="L140" s="24" t="str">
        <f t="shared" ca="1" si="11"/>
        <v/>
      </c>
      <c r="M140" s="47" t="str">
        <f t="shared" ca="1" si="10"/>
        <v/>
      </c>
      <c r="N140" s="48" t="str">
        <f>IF(LEFT(Sheet1!K140,2)="0x",Sheet1!K140,IF(AND(Sheet1!L140="",Sheet1!L139=""),"",N139))</f>
        <v/>
      </c>
      <c r="O140" s="46">
        <f>IF(Sheet1!L140="",0,IF(Sheet1!O140&lt;TIME(7,39,0)+Sheet1!$E$3/24,1,0))</f>
        <v>0</v>
      </c>
      <c r="P140" s="46" t="str">
        <f ca="1">IF(AND(Sheet1!L140&lt;0, Sheet1!$C$21&gt;R140,OR(Sheet1!$C$21&lt;=R141,Sheet1!L141="")),   -1*Sheet1!L140,"")</f>
        <v/>
      </c>
    </row>
    <row r="141" spans="1:16" ht="15.75" x14ac:dyDescent="0.25">
      <c r="A141" s="456" t="str">
        <f>IF(AND(R141&lt;&gt;"",R140&lt;&gt;""),(-Sheet1!L141/Sheet1!L140)^(360/(R141-R140-1))-1,"")</f>
        <v/>
      </c>
      <c r="B141" s="41" t="str">
        <f ca="1">IF(AND(Sheet1!L141&lt;0, Sheet1!$C$21&gt;R141+1,OR(Sheet1!$C$21&lt;=R142,Sheet1!L142="")),   -1*Sheet1!L141,"")</f>
        <v/>
      </c>
      <c r="C141" s="42">
        <f ca="1">IF(Sheet3!$B$5="",0,    IF(E141&lt;1,0,  IF(B141="","",     IF(OR(Sheet3!$B$6=0,INDIRECT(ADDRESS(ROW(),Sheet3!$B$3+16))="" ),D141/E141,    IF(E141&lt;0,0,    IF(OR( INDIRECT(ADDRESS(8,Sheet3!$B$3+16))="",INDIRECT(ADDRESS(ROW(),Sheet3!$B$3+17))=""),        (INDIRECT(ADDRESS(ROW(),Sheet3!$B$3+16))+B141)*Sheet3!$Q$4,         INDIRECT(ADDRESS(ROW(),Sheet3!$B$3+17))-INDIRECT(ADDRESS(ROW(),Sheet3!$B$3+16))))))))</f>
        <v>0</v>
      </c>
      <c r="D141" s="39">
        <f ca="1">IF(Sheet3!$B$5="",0,IF(B141="","",IF(E141&lt;1,0,   IF(INDIRECT(ADDRESS(ROW(), Sheet3!$B$3+17))="",        INDIRECT(ADDRESS(ROW(), Sheet3!$B$3+16))*  (1+Sheet3!$Q$4)   +B141*Sheet3!$Q$4,       INDIRECT(ADDRESS(ROW(), Sheet3!$B$3+17))))))</f>
        <v>0</v>
      </c>
      <c r="E141" s="40">
        <f ca="1">IF(AND(Sheet1!L141&lt;0,  Sheet1!$C$21&gt;R141),    IF(OR(Sheet1!$C$21&lt;=R142,  Sheet1!L142=""),       IF(AND(MOD(NOW(),1)&lt;TIME(9,39,0),Sheet1!$C$22=TODAY()),    Sheet1!$C$21-R141,     Sheet1!$C$21-R141-1),               R142-R141-1),    0)</f>
        <v>0</v>
      </c>
      <c r="F141" s="30"/>
      <c r="G141" s="25" t="str">
        <f>IF(LEFT(Sheet1!K142,2)="0x",Sheet1!K141,IF(AND(Sheet1!L141="",Sheet1!L140=""),"",G140))</f>
        <v/>
      </c>
      <c r="H141" s="81"/>
      <c r="I141" s="43" t="str">
        <f t="shared" si="13"/>
        <v/>
      </c>
      <c r="J141" s="29" t="str">
        <f t="shared" si="12"/>
        <v/>
      </c>
      <c r="K141" s="24" t="str">
        <f>IF(Sheet1!L141="","",IF(Sheet1!L141&gt;0,ROW(),""))</f>
        <v/>
      </c>
      <c r="L141" s="24" t="str">
        <f t="shared" ca="1" si="11"/>
        <v/>
      </c>
      <c r="M141" s="47" t="str">
        <f t="shared" ca="1" si="10"/>
        <v/>
      </c>
      <c r="N141" s="48" t="str">
        <f>IF(LEFT(Sheet1!K141,2)="0x",Sheet1!K141,IF(AND(Sheet1!L141="",Sheet1!L140=""),"",N140))</f>
        <v/>
      </c>
      <c r="O141" s="46">
        <f>IF(Sheet1!L141="",0,IF(Sheet1!O141&lt;TIME(7,39,0)+Sheet1!$E$3/24,1,0))</f>
        <v>0</v>
      </c>
      <c r="P141" s="46" t="str">
        <f ca="1">IF(AND(Sheet1!L141&lt;0, Sheet1!$C$21&gt;R141,OR(Sheet1!$C$21&lt;=R142,Sheet1!L142="")),   -1*Sheet1!L141,"")</f>
        <v/>
      </c>
    </row>
    <row r="142" spans="1:16" ht="15.75" x14ac:dyDescent="0.25">
      <c r="A142" s="456" t="str">
        <f>IF(AND(R142&lt;&gt;"",R141&lt;&gt;""),(-Sheet1!L142/Sheet1!L141)^(360/(R142-R141-1))-1,"")</f>
        <v/>
      </c>
      <c r="B142" s="41" t="str">
        <f ca="1">IF(AND(Sheet1!L142&lt;0, Sheet1!$C$21&gt;R142+1,OR(Sheet1!$C$21&lt;=R143,Sheet1!L143="")),   -1*Sheet1!L142,"")</f>
        <v/>
      </c>
      <c r="C142" s="42">
        <f ca="1">IF(Sheet3!$B$5="",0,    IF(E142&lt;1,0,  IF(B142="","",     IF(OR(Sheet3!$B$6=0,INDIRECT(ADDRESS(ROW(),Sheet3!$B$3+16))="" ),D142/E142,    IF(E142&lt;0,0,    IF(OR( INDIRECT(ADDRESS(8,Sheet3!$B$3+16))="",INDIRECT(ADDRESS(ROW(),Sheet3!$B$3+17))=""),        (INDIRECT(ADDRESS(ROW(),Sheet3!$B$3+16))+B142)*Sheet3!$Q$4,         INDIRECT(ADDRESS(ROW(),Sheet3!$B$3+17))-INDIRECT(ADDRESS(ROW(),Sheet3!$B$3+16))))))))</f>
        <v>0</v>
      </c>
      <c r="D142" s="39">
        <f ca="1">IF(Sheet3!$B$5="",0,IF(B142="","",IF(E142&lt;1,0,   IF(INDIRECT(ADDRESS(ROW(), Sheet3!$B$3+17))="",        INDIRECT(ADDRESS(ROW(), Sheet3!$B$3+16))*  (1+Sheet3!$Q$4)   +B142*Sheet3!$Q$4,       INDIRECT(ADDRESS(ROW(), Sheet3!$B$3+17))))))</f>
        <v>0</v>
      </c>
      <c r="E142" s="40">
        <f ca="1">IF(AND(Sheet1!L142&lt;0,  Sheet1!$C$21&gt;R142),    IF(OR(Sheet1!$C$21&lt;=R143,  Sheet1!L143=""),       IF(AND(MOD(NOW(),1)&lt;TIME(9,39,0),Sheet1!$C$22=TODAY()),    Sheet1!$C$21-R142,     Sheet1!$C$21-R142-1),               R143-R142-1),    0)</f>
        <v>0</v>
      </c>
      <c r="F142" s="30"/>
      <c r="G142" s="25" t="str">
        <f>IF(LEFT(Sheet1!K143,2)="0x",Sheet1!K142,IF(AND(Sheet1!L142="",Sheet1!L141=""),"",G141))</f>
        <v/>
      </c>
      <c r="H142" s="81"/>
      <c r="I142" s="43" t="str">
        <f t="shared" si="13"/>
        <v/>
      </c>
      <c r="J142" s="29" t="str">
        <f t="shared" si="12"/>
        <v/>
      </c>
      <c r="K142" s="24" t="str">
        <f>IF(Sheet1!L142="","",IF(Sheet1!L142&gt;0,ROW(),""))</f>
        <v/>
      </c>
      <c r="L142" s="24" t="str">
        <f t="shared" ref="L142:L205" ca="1" si="14">IF(B142&lt;&gt;"",ROW(),"")</f>
        <v/>
      </c>
      <c r="M142" s="47" t="str">
        <f t="shared" ref="M142:M205" ca="1" si="15">IF(P142&lt;&gt;"",ROW(),"")</f>
        <v/>
      </c>
      <c r="N142" s="48" t="str">
        <f>IF(LEFT(Sheet1!K142,2)="0x",Sheet1!K142,IF(AND(Sheet1!L142="",Sheet1!L141=""),"",N141))</f>
        <v/>
      </c>
      <c r="O142" s="46">
        <f>IF(Sheet1!L142="",0,IF(Sheet1!O142&lt;TIME(7,39,0)+Sheet1!$E$3/24,1,0))</f>
        <v>0</v>
      </c>
      <c r="P142" s="46" t="str">
        <f ca="1">IF(AND(Sheet1!L142&lt;0, Sheet1!$C$21&gt;R142,OR(Sheet1!$C$21&lt;=R143,Sheet1!L143="")),   -1*Sheet1!L142,"")</f>
        <v/>
      </c>
    </row>
    <row r="143" spans="1:16" ht="15.75" x14ac:dyDescent="0.25">
      <c r="A143" s="456" t="str">
        <f>IF(AND(R143&lt;&gt;"",R142&lt;&gt;""),(-Sheet1!L143/Sheet1!L142)^(360/(R143-R142-1))-1,"")</f>
        <v/>
      </c>
      <c r="B143" s="41" t="str">
        <f ca="1">IF(AND(Sheet1!L143&lt;0, Sheet1!$C$21&gt;R143+1,OR(Sheet1!$C$21&lt;=R144,Sheet1!L144="")),   -1*Sheet1!L143,"")</f>
        <v/>
      </c>
      <c r="C143" s="42">
        <f ca="1">IF(Sheet3!$B$5="",0,    IF(E143&lt;1,0,  IF(B143="","",     IF(OR(Sheet3!$B$6=0,INDIRECT(ADDRESS(ROW(),Sheet3!$B$3+16))="" ),D143/E143,    IF(E143&lt;0,0,    IF(OR( INDIRECT(ADDRESS(8,Sheet3!$B$3+16))="",INDIRECT(ADDRESS(ROW(),Sheet3!$B$3+17))=""),        (INDIRECT(ADDRESS(ROW(),Sheet3!$B$3+16))+B143)*Sheet3!$Q$4,         INDIRECT(ADDRESS(ROW(),Sheet3!$B$3+17))-INDIRECT(ADDRESS(ROW(),Sheet3!$B$3+16))))))))</f>
        <v>0</v>
      </c>
      <c r="D143" s="39">
        <f ca="1">IF(Sheet3!$B$5="",0,IF(B143="","",IF(E143&lt;1,0,   IF(INDIRECT(ADDRESS(ROW(), Sheet3!$B$3+17))="",        INDIRECT(ADDRESS(ROW(), Sheet3!$B$3+16))*  (1+Sheet3!$Q$4)   +B143*Sheet3!$Q$4,       INDIRECT(ADDRESS(ROW(), Sheet3!$B$3+17))))))</f>
        <v>0</v>
      </c>
      <c r="E143" s="40">
        <f ca="1">IF(AND(Sheet1!L143&lt;0,  Sheet1!$C$21&gt;R143),    IF(OR(Sheet1!$C$21&lt;=R144,  Sheet1!L144=""),       IF(AND(MOD(NOW(),1)&lt;TIME(9,39,0),Sheet1!$C$22=TODAY()),    Sheet1!$C$21-R143,     Sheet1!$C$21-R143-1),               R144-R143-1),    0)</f>
        <v>0</v>
      </c>
      <c r="F143" s="30"/>
      <c r="G143" s="25" t="str">
        <f>IF(LEFT(Sheet1!K144,2)="0x",Sheet1!K143,IF(AND(Sheet1!L143="",Sheet1!L142=""),"",G142))</f>
        <v/>
      </c>
      <c r="H143" s="81"/>
      <c r="I143" s="43" t="str">
        <f t="shared" si="13"/>
        <v/>
      </c>
      <c r="J143" s="29" t="str">
        <f t="shared" si="12"/>
        <v/>
      </c>
      <c r="K143" s="24" t="str">
        <f>IF(Sheet1!L143="","",IF(Sheet1!L143&gt;0,ROW(),""))</f>
        <v/>
      </c>
      <c r="L143" s="24" t="str">
        <f t="shared" ca="1" si="14"/>
        <v/>
      </c>
      <c r="M143" s="47" t="str">
        <f t="shared" ca="1" si="15"/>
        <v/>
      </c>
      <c r="N143" s="48" t="str">
        <f>IF(LEFT(Sheet1!K143,2)="0x",Sheet1!K143,IF(AND(Sheet1!L143="",Sheet1!L142=""),"",N142))</f>
        <v/>
      </c>
      <c r="O143" s="46">
        <f>IF(Sheet1!L143="",0,IF(Sheet1!O143&lt;TIME(7,39,0)+Sheet1!$E$3/24,1,0))</f>
        <v>0</v>
      </c>
      <c r="P143" s="46" t="str">
        <f ca="1">IF(AND(Sheet1!L143&lt;0, Sheet1!$C$21&gt;R143,OR(Sheet1!$C$21&lt;=R144,Sheet1!L144="")),   -1*Sheet1!L143,"")</f>
        <v/>
      </c>
    </row>
    <row r="144" spans="1:16" ht="15.75" x14ac:dyDescent="0.25">
      <c r="A144" s="456" t="str">
        <f>IF(AND(R144&lt;&gt;"",R143&lt;&gt;""),(-Sheet1!L144/Sheet1!L143)^(360/(R144-R143-1))-1,"")</f>
        <v/>
      </c>
      <c r="B144" s="41" t="str">
        <f ca="1">IF(AND(Sheet1!L144&lt;0, Sheet1!$C$21&gt;R144+1,OR(Sheet1!$C$21&lt;=R145,Sheet1!L145="")),   -1*Sheet1!L144,"")</f>
        <v/>
      </c>
      <c r="C144" s="42">
        <f ca="1">IF(Sheet3!$B$5="",0,    IF(E144&lt;1,0,  IF(B144="","",     IF(OR(Sheet3!$B$6=0,INDIRECT(ADDRESS(ROW(),Sheet3!$B$3+16))="" ),D144/E144,    IF(E144&lt;0,0,    IF(OR( INDIRECT(ADDRESS(8,Sheet3!$B$3+16))="",INDIRECT(ADDRESS(ROW(),Sheet3!$B$3+17))=""),        (INDIRECT(ADDRESS(ROW(),Sheet3!$B$3+16))+B144)*Sheet3!$Q$4,         INDIRECT(ADDRESS(ROW(),Sheet3!$B$3+17))-INDIRECT(ADDRESS(ROW(),Sheet3!$B$3+16))))))))</f>
        <v>0</v>
      </c>
      <c r="D144" s="39">
        <f ca="1">IF(Sheet3!$B$5="",0,IF(B144="","",IF(E144&lt;1,0,   IF(INDIRECT(ADDRESS(ROW(), Sheet3!$B$3+17))="",        INDIRECT(ADDRESS(ROW(), Sheet3!$B$3+16))*  (1+Sheet3!$Q$4)   +B144*Sheet3!$Q$4,       INDIRECT(ADDRESS(ROW(), Sheet3!$B$3+17))))))</f>
        <v>0</v>
      </c>
      <c r="E144" s="40">
        <f ca="1">IF(AND(Sheet1!L144&lt;0,  Sheet1!$C$21&gt;R144),    IF(OR(Sheet1!$C$21&lt;=R145,  Sheet1!L145=""),       IF(AND(MOD(NOW(),1)&lt;TIME(9,39,0),Sheet1!$C$22=TODAY()),    Sheet1!$C$21-R144,     Sheet1!$C$21-R144-1),               R145-R144-1),    0)</f>
        <v>0</v>
      </c>
      <c r="F144" s="30"/>
      <c r="G144" s="25" t="str">
        <f>IF(LEFT(Sheet1!K145,2)="0x",Sheet1!K144,IF(AND(Sheet1!L144="",Sheet1!L143=""),"",G143))</f>
        <v/>
      </c>
      <c r="H144" s="81"/>
      <c r="I144" s="43" t="str">
        <f t="shared" si="13"/>
        <v/>
      </c>
      <c r="J144" s="29" t="str">
        <f t="shared" si="12"/>
        <v/>
      </c>
      <c r="K144" s="24" t="str">
        <f>IF(Sheet1!L144="","",IF(Sheet1!L144&gt;0,ROW(),""))</f>
        <v/>
      </c>
      <c r="L144" s="24" t="str">
        <f t="shared" ca="1" si="14"/>
        <v/>
      </c>
      <c r="M144" s="47" t="str">
        <f t="shared" ca="1" si="15"/>
        <v/>
      </c>
      <c r="N144" s="48" t="str">
        <f>IF(LEFT(Sheet1!K144,2)="0x",Sheet1!K144,IF(AND(Sheet1!L144="",Sheet1!L143=""),"",N143))</f>
        <v/>
      </c>
      <c r="O144" s="46">
        <f>IF(Sheet1!L144="",0,IF(Sheet1!O144&lt;TIME(7,39,0)+Sheet1!$E$3/24,1,0))</f>
        <v>0</v>
      </c>
      <c r="P144" s="46" t="str">
        <f ca="1">IF(AND(Sheet1!L144&lt;0, Sheet1!$C$21&gt;R144,OR(Sheet1!$C$21&lt;=R145,Sheet1!L145="")),   -1*Sheet1!L144,"")</f>
        <v/>
      </c>
    </row>
    <row r="145" spans="1:16" ht="15.75" x14ac:dyDescent="0.25">
      <c r="A145" s="456" t="str">
        <f>IF(AND(R145&lt;&gt;"",R144&lt;&gt;""),(-Sheet1!L145/Sheet1!L144)^(360/(R145-R144-1))-1,"")</f>
        <v/>
      </c>
      <c r="B145" s="41" t="str">
        <f ca="1">IF(AND(Sheet1!L145&lt;0, Sheet1!$C$21&gt;R145+1,OR(Sheet1!$C$21&lt;=R146,Sheet1!L146="")),   -1*Sheet1!L145,"")</f>
        <v/>
      </c>
      <c r="C145" s="42">
        <f ca="1">IF(Sheet3!$B$5="",0,    IF(E145&lt;1,0,  IF(B145="","",     IF(OR(Sheet3!$B$6=0,INDIRECT(ADDRESS(ROW(),Sheet3!$B$3+16))="" ),D145/E145,    IF(E145&lt;0,0,    IF(OR( INDIRECT(ADDRESS(8,Sheet3!$B$3+16))="",INDIRECT(ADDRESS(ROW(),Sheet3!$B$3+17))=""),        (INDIRECT(ADDRESS(ROW(),Sheet3!$B$3+16))+B145)*Sheet3!$Q$4,         INDIRECT(ADDRESS(ROW(),Sheet3!$B$3+17))-INDIRECT(ADDRESS(ROW(),Sheet3!$B$3+16))))))))</f>
        <v>0</v>
      </c>
      <c r="D145" s="39">
        <f ca="1">IF(Sheet3!$B$5="",0,IF(B145="","",IF(E145&lt;1,0,   IF(INDIRECT(ADDRESS(ROW(), Sheet3!$B$3+17))="",        INDIRECT(ADDRESS(ROW(), Sheet3!$B$3+16))*  (1+Sheet3!$Q$4)   +B145*Sheet3!$Q$4,       INDIRECT(ADDRESS(ROW(), Sheet3!$B$3+17))))))</f>
        <v>0</v>
      </c>
      <c r="E145" s="40">
        <f ca="1">IF(AND(Sheet1!L145&lt;0,  Sheet1!$C$21&gt;R145),    IF(OR(Sheet1!$C$21&lt;=R146,  Sheet1!L146=""),       IF(AND(MOD(NOW(),1)&lt;TIME(9,39,0),Sheet1!$C$22=TODAY()),    Sheet1!$C$21-R145,     Sheet1!$C$21-R145-1),               R146-R145-1),    0)</f>
        <v>0</v>
      </c>
      <c r="F145" s="30"/>
      <c r="G145" s="25" t="str">
        <f>IF(LEFT(Sheet1!K146,2)="0x",Sheet1!K145,IF(AND(Sheet1!L145="",Sheet1!L144=""),"",G144))</f>
        <v/>
      </c>
      <c r="H145" s="81"/>
      <c r="I145" s="43" t="str">
        <f t="shared" si="13"/>
        <v/>
      </c>
      <c r="J145" s="29" t="str">
        <f t="shared" si="12"/>
        <v/>
      </c>
      <c r="K145" s="24" t="str">
        <f>IF(Sheet1!L145="","",IF(Sheet1!L145&gt;0,ROW(),""))</f>
        <v/>
      </c>
      <c r="L145" s="24" t="str">
        <f t="shared" ca="1" si="14"/>
        <v/>
      </c>
      <c r="M145" s="47" t="str">
        <f t="shared" ca="1" si="15"/>
        <v/>
      </c>
      <c r="N145" s="48" t="str">
        <f>IF(LEFT(Sheet1!K145,2)="0x",Sheet1!K145,IF(AND(Sheet1!L145="",Sheet1!L144=""),"",N144))</f>
        <v/>
      </c>
      <c r="O145" s="46">
        <f>IF(Sheet1!L145="",0,IF(Sheet1!O145&lt;TIME(7,39,0)+Sheet1!$E$3/24,1,0))</f>
        <v>0</v>
      </c>
      <c r="P145" s="46" t="str">
        <f ca="1">IF(AND(Sheet1!L145&lt;0, Sheet1!$C$21&gt;R145,OR(Sheet1!$C$21&lt;=R146,Sheet1!L146="")),   -1*Sheet1!L145,"")</f>
        <v/>
      </c>
    </row>
    <row r="146" spans="1:16" ht="15.75" x14ac:dyDescent="0.25">
      <c r="A146" s="456" t="str">
        <f>IF(AND(R146&lt;&gt;"",R145&lt;&gt;""),(-Sheet1!L146/Sheet1!L145)^(360/(R146-R145-1))-1,"")</f>
        <v/>
      </c>
      <c r="B146" s="41" t="str">
        <f ca="1">IF(AND(Sheet1!L146&lt;0, Sheet1!$C$21&gt;R146+1,OR(Sheet1!$C$21&lt;=R147,Sheet1!L147="")),   -1*Sheet1!L146,"")</f>
        <v/>
      </c>
      <c r="C146" s="42">
        <f ca="1">IF(Sheet3!$B$5="",0,    IF(E146&lt;1,0,  IF(B146="","",     IF(OR(Sheet3!$B$6=0,INDIRECT(ADDRESS(ROW(),Sheet3!$B$3+16))="" ),D146/E146,    IF(E146&lt;0,0,    IF(OR( INDIRECT(ADDRESS(8,Sheet3!$B$3+16))="",INDIRECT(ADDRESS(ROW(),Sheet3!$B$3+17))=""),        (INDIRECT(ADDRESS(ROW(),Sheet3!$B$3+16))+B146)*Sheet3!$Q$4,         INDIRECT(ADDRESS(ROW(),Sheet3!$B$3+17))-INDIRECT(ADDRESS(ROW(),Sheet3!$B$3+16))))))))</f>
        <v>0</v>
      </c>
      <c r="D146" s="39">
        <f ca="1">IF(Sheet3!$B$5="",0,IF(B146="","",IF(E146&lt;1,0,   IF(INDIRECT(ADDRESS(ROW(), Sheet3!$B$3+17))="",        INDIRECT(ADDRESS(ROW(), Sheet3!$B$3+16))*  (1+Sheet3!$Q$4)   +B146*Sheet3!$Q$4,       INDIRECT(ADDRESS(ROW(), Sheet3!$B$3+17))))))</f>
        <v>0</v>
      </c>
      <c r="E146" s="40">
        <f ca="1">IF(AND(Sheet1!L146&lt;0,  Sheet1!$C$21&gt;R146),    IF(OR(Sheet1!$C$21&lt;=R147,  Sheet1!L147=""),       IF(AND(MOD(NOW(),1)&lt;TIME(9,39,0),Sheet1!$C$22=TODAY()),    Sheet1!$C$21-R146,     Sheet1!$C$21-R146-1),               R147-R146-1),    0)</f>
        <v>0</v>
      </c>
      <c r="F146" s="30"/>
      <c r="G146" s="25" t="str">
        <f>IF(LEFT(Sheet1!K147,2)="0x",Sheet1!K146,IF(AND(Sheet1!L146="",Sheet1!L145=""),"",G145))</f>
        <v/>
      </c>
      <c r="H146" s="81"/>
      <c r="I146" s="43" t="str">
        <f t="shared" si="13"/>
        <v/>
      </c>
      <c r="J146" s="29" t="str">
        <f t="shared" si="12"/>
        <v/>
      </c>
      <c r="K146" s="24" t="str">
        <f>IF(Sheet1!L146="","",IF(Sheet1!L146&gt;0,ROW(),""))</f>
        <v/>
      </c>
      <c r="L146" s="24" t="str">
        <f t="shared" ca="1" si="14"/>
        <v/>
      </c>
      <c r="M146" s="47" t="str">
        <f t="shared" ca="1" si="15"/>
        <v/>
      </c>
      <c r="N146" s="48" t="str">
        <f>IF(LEFT(Sheet1!K146,2)="0x",Sheet1!K146,IF(AND(Sheet1!L146="",Sheet1!L145=""),"",N145))</f>
        <v/>
      </c>
      <c r="O146" s="46">
        <f>IF(Sheet1!L146="",0,IF(Sheet1!O146&lt;TIME(7,39,0)+Sheet1!$E$3/24,1,0))</f>
        <v>0</v>
      </c>
      <c r="P146" s="46" t="str">
        <f ca="1">IF(AND(Sheet1!L146&lt;0, Sheet1!$C$21&gt;R146,OR(Sheet1!$C$21&lt;=R147,Sheet1!L147="")),   -1*Sheet1!L146,"")</f>
        <v/>
      </c>
    </row>
    <row r="147" spans="1:16" ht="15.75" x14ac:dyDescent="0.25">
      <c r="A147" s="456" t="str">
        <f>IF(AND(R147&lt;&gt;"",R146&lt;&gt;""),(-Sheet1!L147/Sheet1!L146)^(360/(R147-R146-1))-1,"")</f>
        <v/>
      </c>
      <c r="B147" s="41" t="str">
        <f ca="1">IF(AND(Sheet1!L147&lt;0, Sheet1!$C$21&gt;R147+1,OR(Sheet1!$C$21&lt;=R148,Sheet1!L148="")),   -1*Sheet1!L147,"")</f>
        <v/>
      </c>
      <c r="C147" s="42">
        <f ca="1">IF(Sheet3!$B$5="",0,    IF(E147&lt;1,0,  IF(B147="","",     IF(OR(Sheet3!$B$6=0,INDIRECT(ADDRESS(ROW(),Sheet3!$B$3+16))="" ),D147/E147,    IF(E147&lt;0,0,    IF(OR( INDIRECT(ADDRESS(8,Sheet3!$B$3+16))="",INDIRECT(ADDRESS(ROW(),Sheet3!$B$3+17))=""),        (INDIRECT(ADDRESS(ROW(),Sheet3!$B$3+16))+B147)*Sheet3!$Q$4,         INDIRECT(ADDRESS(ROW(),Sheet3!$B$3+17))-INDIRECT(ADDRESS(ROW(),Sheet3!$B$3+16))))))))</f>
        <v>0</v>
      </c>
      <c r="D147" s="39">
        <f ca="1">IF(Sheet3!$B$5="",0,IF(B147="","",IF(E147&lt;1,0,   IF(INDIRECT(ADDRESS(ROW(), Sheet3!$B$3+17))="",        INDIRECT(ADDRESS(ROW(), Sheet3!$B$3+16))*  (1+Sheet3!$Q$4)   +B147*Sheet3!$Q$4,       INDIRECT(ADDRESS(ROW(), Sheet3!$B$3+17))))))</f>
        <v>0</v>
      </c>
      <c r="E147" s="40">
        <f ca="1">IF(AND(Sheet1!L147&lt;0,  Sheet1!$C$21&gt;R147),    IF(OR(Sheet1!$C$21&lt;=R148,  Sheet1!L148=""),       IF(AND(MOD(NOW(),1)&lt;TIME(9,39,0),Sheet1!$C$22=TODAY()),    Sheet1!$C$21-R147,     Sheet1!$C$21-R147-1),               R148-R147-1),    0)</f>
        <v>0</v>
      </c>
      <c r="F147" s="30"/>
      <c r="G147" s="25" t="str">
        <f>IF(LEFT(Sheet1!K148,2)="0x",Sheet1!K147,IF(AND(Sheet1!L147="",Sheet1!L146=""),"",G146))</f>
        <v/>
      </c>
      <c r="H147" s="81"/>
      <c r="I147" s="43" t="str">
        <f t="shared" si="13"/>
        <v/>
      </c>
      <c r="J147" s="29" t="str">
        <f t="shared" si="12"/>
        <v/>
      </c>
      <c r="K147" s="24" t="str">
        <f>IF(Sheet1!L147="","",IF(Sheet1!L147&gt;0,ROW(),""))</f>
        <v/>
      </c>
      <c r="L147" s="24" t="str">
        <f t="shared" ca="1" si="14"/>
        <v/>
      </c>
      <c r="M147" s="47" t="str">
        <f t="shared" ca="1" si="15"/>
        <v/>
      </c>
      <c r="N147" s="48" t="str">
        <f>IF(LEFT(Sheet1!K147,2)="0x",Sheet1!K147,IF(AND(Sheet1!L147="",Sheet1!L146=""),"",N146))</f>
        <v/>
      </c>
      <c r="O147" s="46">
        <f>IF(Sheet1!L147="",0,IF(Sheet1!O147&lt;TIME(7,39,0)+Sheet1!$E$3/24,1,0))</f>
        <v>0</v>
      </c>
      <c r="P147" s="46" t="str">
        <f ca="1">IF(AND(Sheet1!L147&lt;0, Sheet1!$C$21&gt;R147,OR(Sheet1!$C$21&lt;=R148,Sheet1!L148="")),   -1*Sheet1!L147,"")</f>
        <v/>
      </c>
    </row>
    <row r="148" spans="1:16" ht="15.75" x14ac:dyDescent="0.25">
      <c r="A148" s="456" t="str">
        <f>IF(AND(R148&lt;&gt;"",R147&lt;&gt;""),(-Sheet1!L148/Sheet1!L147)^(360/(R148-R147-1))-1,"")</f>
        <v/>
      </c>
      <c r="B148" s="41" t="str">
        <f ca="1">IF(AND(Sheet1!L148&lt;0, Sheet1!$C$21&gt;R148+1,OR(Sheet1!$C$21&lt;=R149,Sheet1!L149="")),   -1*Sheet1!L148,"")</f>
        <v/>
      </c>
      <c r="C148" s="42">
        <f ca="1">IF(Sheet3!$B$5="",0,    IF(E148&lt;1,0,  IF(B148="","",     IF(OR(Sheet3!$B$6=0,INDIRECT(ADDRESS(ROW(),Sheet3!$B$3+16))="" ),D148/E148,    IF(E148&lt;0,0,    IF(OR( INDIRECT(ADDRESS(8,Sheet3!$B$3+16))="",INDIRECT(ADDRESS(ROW(),Sheet3!$B$3+17))=""),        (INDIRECT(ADDRESS(ROW(),Sheet3!$B$3+16))+B148)*Sheet3!$Q$4,         INDIRECT(ADDRESS(ROW(),Sheet3!$B$3+17))-INDIRECT(ADDRESS(ROW(),Sheet3!$B$3+16))))))))</f>
        <v>0</v>
      </c>
      <c r="D148" s="39">
        <f ca="1">IF(Sheet3!$B$5="",0,IF(B148="","",IF(E148&lt;1,0,   IF(INDIRECT(ADDRESS(ROW(), Sheet3!$B$3+17))="",        INDIRECT(ADDRESS(ROW(), Sheet3!$B$3+16))*  (1+Sheet3!$Q$4)   +B148*Sheet3!$Q$4,       INDIRECT(ADDRESS(ROW(), Sheet3!$B$3+17))))))</f>
        <v>0</v>
      </c>
      <c r="E148" s="40">
        <f ca="1">IF(AND(Sheet1!L148&lt;0,  Sheet1!$C$21&gt;R148),    IF(OR(Sheet1!$C$21&lt;=R149,  Sheet1!L149=""),       IF(AND(MOD(NOW(),1)&lt;TIME(9,39,0),Sheet1!$C$22=TODAY()),    Sheet1!$C$21-R148,     Sheet1!$C$21-R148-1),               R149-R148-1),    0)</f>
        <v>0</v>
      </c>
      <c r="F148" s="30"/>
      <c r="G148" s="25" t="str">
        <f>IF(LEFT(Sheet1!K149,2)="0x",Sheet1!K148,IF(AND(Sheet1!L148="",Sheet1!L147=""),"",G147))</f>
        <v/>
      </c>
      <c r="H148" s="81"/>
      <c r="I148" s="43" t="str">
        <f t="shared" si="13"/>
        <v/>
      </c>
      <c r="J148" s="29" t="str">
        <f t="shared" si="12"/>
        <v/>
      </c>
      <c r="K148" s="24" t="str">
        <f>IF(Sheet1!L148="","",IF(Sheet1!L148&gt;0,ROW(),""))</f>
        <v/>
      </c>
      <c r="L148" s="24" t="str">
        <f t="shared" ca="1" si="14"/>
        <v/>
      </c>
      <c r="M148" s="47" t="str">
        <f t="shared" ca="1" si="15"/>
        <v/>
      </c>
      <c r="N148" s="48" t="str">
        <f>IF(LEFT(Sheet1!K148,2)="0x",Sheet1!K148,IF(AND(Sheet1!L148="",Sheet1!L147=""),"",N147))</f>
        <v/>
      </c>
      <c r="O148" s="46">
        <f>IF(Sheet1!L148="",0,IF(Sheet1!O148&lt;TIME(7,39,0)+Sheet1!$E$3/24,1,0))</f>
        <v>0</v>
      </c>
      <c r="P148" s="46" t="str">
        <f ca="1">IF(AND(Sheet1!L148&lt;0, Sheet1!$C$21&gt;R148,OR(Sheet1!$C$21&lt;=R149,Sheet1!L149="")),   -1*Sheet1!L148,"")</f>
        <v/>
      </c>
    </row>
    <row r="149" spans="1:16" ht="15.75" x14ac:dyDescent="0.25">
      <c r="A149" s="456" t="str">
        <f>IF(AND(R149&lt;&gt;"",R148&lt;&gt;""),(-Sheet1!L149/Sheet1!L148)^(360/(R149-R148-1))-1,"")</f>
        <v/>
      </c>
      <c r="B149" s="41" t="str">
        <f ca="1">IF(AND(Sheet1!L149&lt;0, Sheet1!$C$21&gt;R149+1,OR(Sheet1!$C$21&lt;=R150,Sheet1!L150="")),   -1*Sheet1!L149,"")</f>
        <v/>
      </c>
      <c r="C149" s="42">
        <f ca="1">IF(Sheet3!$B$5="",0,    IF(E149&lt;1,0,  IF(B149="","",     IF(OR(Sheet3!$B$6=0,INDIRECT(ADDRESS(ROW(),Sheet3!$B$3+16))="" ),D149/E149,    IF(E149&lt;0,0,    IF(OR( INDIRECT(ADDRESS(8,Sheet3!$B$3+16))="",INDIRECT(ADDRESS(ROW(),Sheet3!$B$3+17))=""),        (INDIRECT(ADDRESS(ROW(),Sheet3!$B$3+16))+B149)*Sheet3!$Q$4,         INDIRECT(ADDRESS(ROW(),Sheet3!$B$3+17))-INDIRECT(ADDRESS(ROW(),Sheet3!$B$3+16))))))))</f>
        <v>0</v>
      </c>
      <c r="D149" s="39">
        <f ca="1">IF(Sheet3!$B$5="",0,IF(B149="","",IF(E149&lt;1,0,   IF(INDIRECT(ADDRESS(ROW(), Sheet3!$B$3+17))="",        INDIRECT(ADDRESS(ROW(), Sheet3!$B$3+16))*  (1+Sheet3!$Q$4)   +B149*Sheet3!$Q$4,       INDIRECT(ADDRESS(ROW(), Sheet3!$B$3+17))))))</f>
        <v>0</v>
      </c>
      <c r="E149" s="40">
        <f ca="1">IF(AND(Sheet1!L149&lt;0,  Sheet1!$C$21&gt;R149),    IF(OR(Sheet1!$C$21&lt;=R150,  Sheet1!L150=""),       IF(AND(MOD(NOW(),1)&lt;TIME(9,39,0),Sheet1!$C$22=TODAY()),    Sheet1!$C$21-R149,     Sheet1!$C$21-R149-1),               R150-R149-1),    0)</f>
        <v>0</v>
      </c>
      <c r="F149" s="30"/>
      <c r="G149" s="25" t="str">
        <f>IF(LEFT(Sheet1!K150,2)="0x",Sheet1!K149,IF(AND(Sheet1!L149="",Sheet1!L148=""),"",G148))</f>
        <v/>
      </c>
      <c r="H149" s="81"/>
      <c r="I149" s="43" t="str">
        <f t="shared" si="13"/>
        <v/>
      </c>
      <c r="J149" s="29" t="str">
        <f t="shared" si="12"/>
        <v/>
      </c>
      <c r="K149" s="24" t="str">
        <f>IF(Sheet1!L149="","",IF(Sheet1!L149&gt;0,ROW(),""))</f>
        <v/>
      </c>
      <c r="L149" s="24" t="str">
        <f t="shared" ca="1" si="14"/>
        <v/>
      </c>
      <c r="M149" s="47" t="str">
        <f t="shared" ca="1" si="15"/>
        <v/>
      </c>
      <c r="N149" s="48" t="str">
        <f>IF(LEFT(Sheet1!K149,2)="0x",Sheet1!K149,IF(AND(Sheet1!L149="",Sheet1!L148=""),"",N148))</f>
        <v/>
      </c>
      <c r="O149" s="46">
        <f>IF(Sheet1!L149="",0,IF(Sheet1!O149&lt;TIME(7,39,0)+Sheet1!$E$3/24,1,0))</f>
        <v>0</v>
      </c>
      <c r="P149" s="46" t="str">
        <f ca="1">IF(AND(Sheet1!L149&lt;0, Sheet1!$C$21&gt;R149,OR(Sheet1!$C$21&lt;=R150,Sheet1!L150="")),   -1*Sheet1!L149,"")</f>
        <v/>
      </c>
    </row>
    <row r="150" spans="1:16" ht="15.75" x14ac:dyDescent="0.25">
      <c r="A150" s="456" t="str">
        <f>IF(AND(R150&lt;&gt;"",R149&lt;&gt;""),(-Sheet1!L150/Sheet1!L149)^(360/(R150-R149-1))-1,"")</f>
        <v/>
      </c>
      <c r="B150" s="41" t="str">
        <f ca="1">IF(AND(Sheet1!L150&lt;0, Sheet1!$C$21&gt;R150+1,OR(Sheet1!$C$21&lt;=R151,Sheet1!L151="")),   -1*Sheet1!L150,"")</f>
        <v/>
      </c>
      <c r="C150" s="42">
        <f ca="1">IF(Sheet3!$B$5="",0,    IF(E150&lt;1,0,  IF(B150="","",     IF(OR(Sheet3!$B$6=0,INDIRECT(ADDRESS(ROW(),Sheet3!$B$3+16))="" ),D150/E150,    IF(E150&lt;0,0,    IF(OR( INDIRECT(ADDRESS(8,Sheet3!$B$3+16))="",INDIRECT(ADDRESS(ROW(),Sheet3!$B$3+17))=""),        (INDIRECT(ADDRESS(ROW(),Sheet3!$B$3+16))+B150)*Sheet3!$Q$4,         INDIRECT(ADDRESS(ROW(),Sheet3!$B$3+17))-INDIRECT(ADDRESS(ROW(),Sheet3!$B$3+16))))))))</f>
        <v>0</v>
      </c>
      <c r="D150" s="39">
        <f ca="1">IF(Sheet3!$B$5="",0,IF(B150="","",IF(E150&lt;1,0,   IF(INDIRECT(ADDRESS(ROW(), Sheet3!$B$3+17))="",        INDIRECT(ADDRESS(ROW(), Sheet3!$B$3+16))*  (1+Sheet3!$Q$4)   +B150*Sheet3!$Q$4,       INDIRECT(ADDRESS(ROW(), Sheet3!$B$3+17))))))</f>
        <v>0</v>
      </c>
      <c r="E150" s="40">
        <f ca="1">IF(AND(Sheet1!L150&lt;0,  Sheet1!$C$21&gt;R150),    IF(OR(Sheet1!$C$21&lt;=R151,  Sheet1!L151=""),       IF(AND(MOD(NOW(),1)&lt;TIME(9,39,0),Sheet1!$C$22=TODAY()),    Sheet1!$C$21-R150,     Sheet1!$C$21-R150-1),               R151-R150-1),    0)</f>
        <v>0</v>
      </c>
      <c r="F150" s="30"/>
      <c r="G150" s="25" t="str">
        <f>IF(LEFT(Sheet1!K151,2)="0x",Sheet1!K150,IF(AND(Sheet1!L150="",Sheet1!L149=""),"",G149))</f>
        <v/>
      </c>
      <c r="H150" s="81"/>
      <c r="I150" s="43" t="str">
        <f t="shared" si="13"/>
        <v/>
      </c>
      <c r="J150" s="29" t="str">
        <f t="shared" si="12"/>
        <v/>
      </c>
      <c r="K150" s="24" t="str">
        <f>IF(Sheet1!L150="","",IF(Sheet1!L150&gt;0,ROW(),""))</f>
        <v/>
      </c>
      <c r="L150" s="24" t="str">
        <f t="shared" ca="1" si="14"/>
        <v/>
      </c>
      <c r="M150" s="47" t="str">
        <f t="shared" ca="1" si="15"/>
        <v/>
      </c>
      <c r="N150" s="48" t="str">
        <f>IF(LEFT(Sheet1!K150,2)="0x",Sheet1!K150,IF(AND(Sheet1!L150="",Sheet1!L149=""),"",N149))</f>
        <v/>
      </c>
      <c r="O150" s="46">
        <f>IF(Sheet1!L150="",0,IF(Sheet1!O150&lt;TIME(7,39,0)+Sheet1!$E$3/24,1,0))</f>
        <v>0</v>
      </c>
      <c r="P150" s="46" t="str">
        <f ca="1">IF(AND(Sheet1!L150&lt;0, Sheet1!$C$21&gt;R150,OR(Sheet1!$C$21&lt;=R151,Sheet1!L151="")),   -1*Sheet1!L150,"")</f>
        <v/>
      </c>
    </row>
    <row r="151" spans="1:16" ht="15.75" x14ac:dyDescent="0.25">
      <c r="A151" s="456" t="str">
        <f>IF(AND(R151&lt;&gt;"",R150&lt;&gt;""),(-Sheet1!L151/Sheet1!L150)^(360/(R151-R150-1))-1,"")</f>
        <v/>
      </c>
      <c r="B151" s="41" t="str">
        <f ca="1">IF(AND(Sheet1!L151&lt;0, Sheet1!$C$21&gt;R151+1,OR(Sheet1!$C$21&lt;=R152,Sheet1!L152="")),   -1*Sheet1!L151,"")</f>
        <v/>
      </c>
      <c r="C151" s="42">
        <f ca="1">IF(Sheet3!$B$5="",0,    IF(E151&lt;1,0,  IF(B151="","",     IF(OR(Sheet3!$B$6=0,INDIRECT(ADDRESS(ROW(),Sheet3!$B$3+16))="" ),D151/E151,    IF(E151&lt;0,0,    IF(OR( INDIRECT(ADDRESS(8,Sheet3!$B$3+16))="",INDIRECT(ADDRESS(ROW(),Sheet3!$B$3+17))=""),        (INDIRECT(ADDRESS(ROW(),Sheet3!$B$3+16))+B151)*Sheet3!$Q$4,         INDIRECT(ADDRESS(ROW(),Sheet3!$B$3+17))-INDIRECT(ADDRESS(ROW(),Sheet3!$B$3+16))))))))</f>
        <v>0</v>
      </c>
      <c r="D151" s="39">
        <f ca="1">IF(Sheet3!$B$5="",0,IF(B151="","",IF(E151&lt;1,0,   IF(INDIRECT(ADDRESS(ROW(), Sheet3!$B$3+17))="",        INDIRECT(ADDRESS(ROW(), Sheet3!$B$3+16))*  (1+Sheet3!$Q$4)   +B151*Sheet3!$Q$4,       INDIRECT(ADDRESS(ROW(), Sheet3!$B$3+17))))))</f>
        <v>0</v>
      </c>
      <c r="E151" s="40">
        <f ca="1">IF(AND(Sheet1!L151&lt;0,  Sheet1!$C$21&gt;R151),    IF(OR(Sheet1!$C$21&lt;=R152,  Sheet1!L152=""),       IF(AND(MOD(NOW(),1)&lt;TIME(9,39,0),Sheet1!$C$22=TODAY()),    Sheet1!$C$21-R151,     Sheet1!$C$21-R151-1),               R152-R151-1),    0)</f>
        <v>0</v>
      </c>
      <c r="F151" s="30"/>
      <c r="G151" s="25" t="str">
        <f>IF(LEFT(Sheet1!K152,2)="0x",Sheet1!K151,IF(AND(Sheet1!L151="",Sheet1!L150=""),"",G150))</f>
        <v/>
      </c>
      <c r="H151" s="81"/>
      <c r="I151" s="43" t="str">
        <f t="shared" si="13"/>
        <v/>
      </c>
      <c r="J151" s="29" t="str">
        <f t="shared" si="12"/>
        <v/>
      </c>
      <c r="K151" s="24" t="str">
        <f>IF(Sheet1!L151="","",IF(Sheet1!L151&gt;0,ROW(),""))</f>
        <v/>
      </c>
      <c r="L151" s="24" t="str">
        <f t="shared" ca="1" si="14"/>
        <v/>
      </c>
      <c r="M151" s="47" t="str">
        <f t="shared" ca="1" si="15"/>
        <v/>
      </c>
      <c r="N151" s="48" t="str">
        <f>IF(LEFT(Sheet1!K151,2)="0x",Sheet1!K151,IF(AND(Sheet1!L151="",Sheet1!L150=""),"",N150))</f>
        <v/>
      </c>
      <c r="O151" s="46">
        <f>IF(Sheet1!L151="",0,IF(Sheet1!O151&lt;TIME(7,39,0)+Sheet1!$E$3/24,1,0))</f>
        <v>0</v>
      </c>
      <c r="P151" s="46" t="str">
        <f ca="1">IF(AND(Sheet1!L151&lt;0, Sheet1!$C$21&gt;R151,OR(Sheet1!$C$21&lt;=R152,Sheet1!L152="")),   -1*Sheet1!L151,"")</f>
        <v/>
      </c>
    </row>
    <row r="152" spans="1:16" ht="15.75" x14ac:dyDescent="0.25">
      <c r="A152" s="456" t="str">
        <f>IF(AND(R152&lt;&gt;"",R151&lt;&gt;""),(-Sheet1!L152/Sheet1!L151)^(360/(R152-R151-1))-1,"")</f>
        <v/>
      </c>
      <c r="B152" s="41" t="str">
        <f ca="1">IF(AND(Sheet1!L152&lt;0, Sheet1!$C$21&gt;R152+1,OR(Sheet1!$C$21&lt;=R153,Sheet1!L153="")),   -1*Sheet1!L152,"")</f>
        <v/>
      </c>
      <c r="C152" s="42">
        <f ca="1">IF(Sheet3!$B$5="",0,    IF(E152&lt;1,0,  IF(B152="","",     IF(OR(Sheet3!$B$6=0,INDIRECT(ADDRESS(ROW(),Sheet3!$B$3+16))="" ),D152/E152,    IF(E152&lt;0,0,    IF(OR( INDIRECT(ADDRESS(8,Sheet3!$B$3+16))="",INDIRECT(ADDRESS(ROW(),Sheet3!$B$3+17))=""),        (INDIRECT(ADDRESS(ROW(),Sheet3!$B$3+16))+B152)*Sheet3!$Q$4,         INDIRECT(ADDRESS(ROW(),Sheet3!$B$3+17))-INDIRECT(ADDRESS(ROW(),Sheet3!$B$3+16))))))))</f>
        <v>0</v>
      </c>
      <c r="D152" s="39">
        <f ca="1">IF(Sheet3!$B$5="",0,IF(B152="","",IF(E152&lt;1,0,   IF(INDIRECT(ADDRESS(ROW(), Sheet3!$B$3+17))="",        INDIRECT(ADDRESS(ROW(), Sheet3!$B$3+16))*  (1+Sheet3!$Q$4)   +B152*Sheet3!$Q$4,       INDIRECT(ADDRESS(ROW(), Sheet3!$B$3+17))))))</f>
        <v>0</v>
      </c>
      <c r="E152" s="40">
        <f ca="1">IF(AND(Sheet1!L152&lt;0,  Sheet1!$C$21&gt;R152),    IF(OR(Sheet1!$C$21&lt;=R153,  Sheet1!L153=""),       IF(AND(MOD(NOW(),1)&lt;TIME(9,39,0),Sheet1!$C$22=TODAY()),    Sheet1!$C$21-R152,     Sheet1!$C$21-R152-1),               R153-R152-1),    0)</f>
        <v>0</v>
      </c>
      <c r="F152" s="30"/>
      <c r="G152" s="25" t="str">
        <f>IF(LEFT(Sheet1!K153,2)="0x",Sheet1!K152,IF(AND(Sheet1!L152="",Sheet1!L151=""),"",G151))</f>
        <v/>
      </c>
      <c r="H152" s="81"/>
      <c r="I152" s="43" t="str">
        <f t="shared" si="13"/>
        <v/>
      </c>
      <c r="J152" s="29" t="str">
        <f t="shared" si="12"/>
        <v/>
      </c>
      <c r="K152" s="24" t="str">
        <f>IF(Sheet1!L152="","",IF(Sheet1!L152&gt;0,ROW(),""))</f>
        <v/>
      </c>
      <c r="L152" s="24" t="str">
        <f t="shared" ca="1" si="14"/>
        <v/>
      </c>
      <c r="M152" s="47" t="str">
        <f t="shared" ca="1" si="15"/>
        <v/>
      </c>
      <c r="N152" s="48" t="str">
        <f>IF(LEFT(Sheet1!K152,2)="0x",Sheet1!K152,IF(AND(Sheet1!L152="",Sheet1!L151=""),"",N151))</f>
        <v/>
      </c>
      <c r="O152" s="46">
        <f>IF(Sheet1!L152="",0,IF(Sheet1!O152&lt;TIME(7,39,0)+Sheet1!$E$3/24,1,0))</f>
        <v>0</v>
      </c>
      <c r="P152" s="46" t="str">
        <f ca="1">IF(AND(Sheet1!L152&lt;0, Sheet1!$C$21&gt;R152,OR(Sheet1!$C$21&lt;=R153,Sheet1!L153="")),   -1*Sheet1!L152,"")</f>
        <v/>
      </c>
    </row>
    <row r="153" spans="1:16" ht="15.75" x14ac:dyDescent="0.25">
      <c r="A153" s="456" t="str">
        <f>IF(AND(R153&lt;&gt;"",R152&lt;&gt;""),(-Sheet1!L153/Sheet1!L152)^(360/(R153-R152-1))-1,"")</f>
        <v/>
      </c>
      <c r="B153" s="41" t="str">
        <f ca="1">IF(AND(Sheet1!L153&lt;0, Sheet1!$C$21&gt;R153+1,OR(Sheet1!$C$21&lt;=R154,Sheet1!L154="")),   -1*Sheet1!L153,"")</f>
        <v/>
      </c>
      <c r="C153" s="42">
        <f ca="1">IF(Sheet3!$B$5="",0,    IF(E153&lt;1,0,  IF(B153="","",     IF(OR(Sheet3!$B$6=0,INDIRECT(ADDRESS(ROW(),Sheet3!$B$3+16))="" ),D153/E153,    IF(E153&lt;0,0,    IF(OR( INDIRECT(ADDRESS(8,Sheet3!$B$3+16))="",INDIRECT(ADDRESS(ROW(),Sheet3!$B$3+17))=""),        (INDIRECT(ADDRESS(ROW(),Sheet3!$B$3+16))+B153)*Sheet3!$Q$4,         INDIRECT(ADDRESS(ROW(),Sheet3!$B$3+17))-INDIRECT(ADDRESS(ROW(),Sheet3!$B$3+16))))))))</f>
        <v>0</v>
      </c>
      <c r="D153" s="39">
        <f ca="1">IF(Sheet3!$B$5="",0,IF(B153="","",IF(E153&lt;1,0,   IF(INDIRECT(ADDRESS(ROW(), Sheet3!$B$3+17))="",        INDIRECT(ADDRESS(ROW(), Sheet3!$B$3+16))*  (1+Sheet3!$Q$4)   +B153*Sheet3!$Q$4,       INDIRECT(ADDRESS(ROW(), Sheet3!$B$3+17))))))</f>
        <v>0</v>
      </c>
      <c r="E153" s="40">
        <f ca="1">IF(AND(Sheet1!L153&lt;0,  Sheet1!$C$21&gt;R153),    IF(OR(Sheet1!$C$21&lt;=R154,  Sheet1!L154=""),       IF(AND(MOD(NOW(),1)&lt;TIME(9,39,0),Sheet1!$C$22=TODAY()),    Sheet1!$C$21-R153,     Sheet1!$C$21-R153-1),               R154-R153-1),    0)</f>
        <v>0</v>
      </c>
      <c r="F153" s="30"/>
      <c r="G153" s="25" t="str">
        <f>IF(LEFT(Sheet1!K154,2)="0x",Sheet1!K153,IF(AND(Sheet1!L153="",Sheet1!L152=""),"",G152))</f>
        <v/>
      </c>
      <c r="H153" s="81"/>
      <c r="I153" s="43" t="str">
        <f t="shared" si="13"/>
        <v/>
      </c>
      <c r="J153" s="29" t="str">
        <f t="shared" ref="J153:J216" si="16">IF(I153="","",INDEX(G:G,I153))</f>
        <v/>
      </c>
      <c r="K153" s="24" t="str">
        <f>IF(Sheet1!L153="","",IF(Sheet1!L153&gt;0,ROW(),""))</f>
        <v/>
      </c>
      <c r="L153" s="24" t="str">
        <f t="shared" ca="1" si="14"/>
        <v/>
      </c>
      <c r="M153" s="47" t="str">
        <f t="shared" ca="1" si="15"/>
        <v/>
      </c>
      <c r="N153" s="48" t="str">
        <f>IF(LEFT(Sheet1!K153,2)="0x",Sheet1!K153,IF(AND(Sheet1!L153="",Sheet1!L152=""),"",N152))</f>
        <v/>
      </c>
      <c r="O153" s="46">
        <f>IF(Sheet1!L153="",0,IF(Sheet1!O153&lt;TIME(7,39,0)+Sheet1!$E$3/24,1,0))</f>
        <v>0</v>
      </c>
      <c r="P153" s="46" t="str">
        <f ca="1">IF(AND(Sheet1!L153&lt;0, Sheet1!$C$21&gt;R153,OR(Sheet1!$C$21&lt;=R154,Sheet1!L154="")),   -1*Sheet1!L153,"")</f>
        <v/>
      </c>
    </row>
    <row r="154" spans="1:16" ht="15.75" x14ac:dyDescent="0.25">
      <c r="A154" s="456" t="str">
        <f>IF(AND(R154&lt;&gt;"",R153&lt;&gt;""),(-Sheet1!L154/Sheet1!L153)^(360/(R154-R153-1))-1,"")</f>
        <v/>
      </c>
      <c r="B154" s="41" t="str">
        <f ca="1">IF(AND(Sheet1!L154&lt;0, Sheet1!$C$21&gt;R154+1,OR(Sheet1!$C$21&lt;=R155,Sheet1!L155="")),   -1*Sheet1!L154,"")</f>
        <v/>
      </c>
      <c r="C154" s="42">
        <f ca="1">IF(Sheet3!$B$5="",0,    IF(E154&lt;1,0,  IF(B154="","",     IF(OR(Sheet3!$B$6=0,INDIRECT(ADDRESS(ROW(),Sheet3!$B$3+16))="" ),D154/E154,    IF(E154&lt;0,0,    IF(OR( INDIRECT(ADDRESS(8,Sheet3!$B$3+16))="",INDIRECT(ADDRESS(ROW(),Sheet3!$B$3+17))=""),        (INDIRECT(ADDRESS(ROW(),Sheet3!$B$3+16))+B154)*Sheet3!$Q$4,         INDIRECT(ADDRESS(ROW(),Sheet3!$B$3+17))-INDIRECT(ADDRESS(ROW(),Sheet3!$B$3+16))))))))</f>
        <v>0</v>
      </c>
      <c r="D154" s="39">
        <f ca="1">IF(Sheet3!$B$5="",0,IF(B154="","",IF(E154&lt;1,0,   IF(INDIRECT(ADDRESS(ROW(), Sheet3!$B$3+17))="",        INDIRECT(ADDRESS(ROW(), Sheet3!$B$3+16))*  (1+Sheet3!$Q$4)   +B154*Sheet3!$Q$4,       INDIRECT(ADDRESS(ROW(), Sheet3!$B$3+17))))))</f>
        <v>0</v>
      </c>
      <c r="E154" s="40">
        <f ca="1">IF(AND(Sheet1!L154&lt;0,  Sheet1!$C$21&gt;R154),    IF(OR(Sheet1!$C$21&lt;=R155,  Sheet1!L155=""),       IF(AND(MOD(NOW(),1)&lt;TIME(9,39,0),Sheet1!$C$22=TODAY()),    Sheet1!$C$21-R154,     Sheet1!$C$21-R154-1),               R155-R154-1),    0)</f>
        <v>0</v>
      </c>
      <c r="F154" s="30"/>
      <c r="G154" s="25" t="str">
        <f>IF(LEFT(Sheet1!K155,2)="0x",Sheet1!K154,IF(AND(Sheet1!L154="",Sheet1!L153=""),"",G153))</f>
        <v/>
      </c>
      <c r="H154" s="81"/>
      <c r="I154" s="43" t="str">
        <f t="shared" si="13"/>
        <v/>
      </c>
      <c r="J154" s="29" t="str">
        <f t="shared" si="16"/>
        <v/>
      </c>
      <c r="K154" s="24" t="str">
        <f>IF(Sheet1!L154="","",IF(Sheet1!L154&gt;0,ROW(),""))</f>
        <v/>
      </c>
      <c r="L154" s="24" t="str">
        <f t="shared" ca="1" si="14"/>
        <v/>
      </c>
      <c r="M154" s="47" t="str">
        <f t="shared" ca="1" si="15"/>
        <v/>
      </c>
      <c r="N154" s="48" t="str">
        <f>IF(LEFT(Sheet1!K154,2)="0x",Sheet1!K154,IF(AND(Sheet1!L154="",Sheet1!L153=""),"",N153))</f>
        <v/>
      </c>
      <c r="O154" s="46">
        <f>IF(Sheet1!L154="",0,IF(Sheet1!O154&lt;TIME(7,39,0)+Sheet1!$E$3/24,1,0))</f>
        <v>0</v>
      </c>
      <c r="P154" s="46" t="str">
        <f ca="1">IF(AND(Sheet1!L154&lt;0, Sheet1!$C$21&gt;R154,OR(Sheet1!$C$21&lt;=R155,Sheet1!L155="")),   -1*Sheet1!L154,"")</f>
        <v/>
      </c>
    </row>
    <row r="155" spans="1:16" ht="15.75" x14ac:dyDescent="0.25">
      <c r="A155" s="456" t="str">
        <f>IF(AND(R155&lt;&gt;"",R154&lt;&gt;""),(-Sheet1!L155/Sheet1!L154)^(360/(R155-R154-1))-1,"")</f>
        <v/>
      </c>
      <c r="B155" s="41" t="str">
        <f ca="1">IF(AND(Sheet1!L155&lt;0, Sheet1!$C$21&gt;R155+1,OR(Sheet1!$C$21&lt;=R156,Sheet1!L156="")),   -1*Sheet1!L155,"")</f>
        <v/>
      </c>
      <c r="C155" s="42">
        <f ca="1">IF(Sheet3!$B$5="",0,    IF(E155&lt;1,0,  IF(B155="","",     IF(OR(Sheet3!$B$6=0,INDIRECT(ADDRESS(ROW(),Sheet3!$B$3+16))="" ),D155/E155,    IF(E155&lt;0,0,    IF(OR( INDIRECT(ADDRESS(8,Sheet3!$B$3+16))="",INDIRECT(ADDRESS(ROW(),Sheet3!$B$3+17))=""),        (INDIRECT(ADDRESS(ROW(),Sheet3!$B$3+16))+B155)*Sheet3!$Q$4,         INDIRECT(ADDRESS(ROW(),Sheet3!$B$3+17))-INDIRECT(ADDRESS(ROW(),Sheet3!$B$3+16))))))))</f>
        <v>0</v>
      </c>
      <c r="D155" s="39">
        <f ca="1">IF(Sheet3!$B$5="",0,IF(B155="","",IF(E155&lt;1,0,   IF(INDIRECT(ADDRESS(ROW(), Sheet3!$B$3+17))="",        INDIRECT(ADDRESS(ROW(), Sheet3!$B$3+16))*  (1+Sheet3!$Q$4)   +B155*Sheet3!$Q$4,       INDIRECT(ADDRESS(ROW(), Sheet3!$B$3+17))))))</f>
        <v>0</v>
      </c>
      <c r="E155" s="40">
        <f ca="1">IF(AND(Sheet1!L155&lt;0,  Sheet1!$C$21&gt;R155),    IF(OR(Sheet1!$C$21&lt;=R156,  Sheet1!L156=""),       IF(AND(MOD(NOW(),1)&lt;TIME(9,39,0),Sheet1!$C$22=TODAY()),    Sheet1!$C$21-R155,     Sheet1!$C$21-R155-1),               R156-R155-1),    0)</f>
        <v>0</v>
      </c>
      <c r="F155" s="30"/>
      <c r="G155" s="25" t="str">
        <f>IF(LEFT(Sheet1!K156,2)="0x",Sheet1!K155,IF(AND(Sheet1!L155="",Sheet1!L154=""),"",G154))</f>
        <v/>
      </c>
      <c r="H155" s="81"/>
      <c r="I155" s="43" t="str">
        <f t="shared" si="13"/>
        <v/>
      </c>
      <c r="J155" s="29" t="str">
        <f t="shared" si="16"/>
        <v/>
      </c>
      <c r="K155" s="24" t="str">
        <f>IF(Sheet1!L155="","",IF(Sheet1!L155&gt;0,ROW(),""))</f>
        <v/>
      </c>
      <c r="L155" s="24" t="str">
        <f t="shared" ca="1" si="14"/>
        <v/>
      </c>
      <c r="M155" s="47" t="str">
        <f t="shared" ca="1" si="15"/>
        <v/>
      </c>
      <c r="N155" s="48" t="str">
        <f>IF(LEFT(Sheet1!K155,2)="0x",Sheet1!K155,IF(AND(Sheet1!L155="",Sheet1!L154=""),"",N154))</f>
        <v/>
      </c>
      <c r="O155" s="46">
        <f>IF(Sheet1!L155="",0,IF(Sheet1!O155&lt;TIME(7,39,0)+Sheet1!$E$3/24,1,0))</f>
        <v>0</v>
      </c>
      <c r="P155" s="46" t="str">
        <f ca="1">IF(AND(Sheet1!L155&lt;0, Sheet1!$C$21&gt;R155,OR(Sheet1!$C$21&lt;=R156,Sheet1!L156="")),   -1*Sheet1!L155,"")</f>
        <v/>
      </c>
    </row>
    <row r="156" spans="1:16" ht="15.75" x14ac:dyDescent="0.25">
      <c r="A156" s="456" t="str">
        <f>IF(AND(R156&lt;&gt;"",R155&lt;&gt;""),(-Sheet1!L156/Sheet1!L155)^(360/(R156-R155-1))-1,"")</f>
        <v/>
      </c>
      <c r="B156" s="41" t="str">
        <f ca="1">IF(AND(Sheet1!L156&lt;0, Sheet1!$C$21&gt;R156+1,OR(Sheet1!$C$21&lt;=R157,Sheet1!L157="")),   -1*Sheet1!L156,"")</f>
        <v/>
      </c>
      <c r="C156" s="42">
        <f ca="1">IF(Sheet3!$B$5="",0,    IF(E156&lt;1,0,  IF(B156="","",     IF(OR(Sheet3!$B$6=0,INDIRECT(ADDRESS(ROW(),Sheet3!$B$3+16))="" ),D156/E156,    IF(E156&lt;0,0,    IF(OR( INDIRECT(ADDRESS(8,Sheet3!$B$3+16))="",INDIRECT(ADDRESS(ROW(),Sheet3!$B$3+17))=""),        (INDIRECT(ADDRESS(ROW(),Sheet3!$B$3+16))+B156)*Sheet3!$Q$4,         INDIRECT(ADDRESS(ROW(),Sheet3!$B$3+17))-INDIRECT(ADDRESS(ROW(),Sheet3!$B$3+16))))))))</f>
        <v>0</v>
      </c>
      <c r="D156" s="39">
        <f ca="1">IF(Sheet3!$B$5="",0,IF(B156="","",IF(E156&lt;1,0,   IF(INDIRECT(ADDRESS(ROW(), Sheet3!$B$3+17))="",        INDIRECT(ADDRESS(ROW(), Sheet3!$B$3+16))*  (1+Sheet3!$Q$4)   +B156*Sheet3!$Q$4,       INDIRECT(ADDRESS(ROW(), Sheet3!$B$3+17))))))</f>
        <v>0</v>
      </c>
      <c r="E156" s="40">
        <f ca="1">IF(AND(Sheet1!L156&lt;0,  Sheet1!$C$21&gt;R156),    IF(OR(Sheet1!$C$21&lt;=R157,  Sheet1!L157=""),       IF(AND(MOD(NOW(),1)&lt;TIME(9,39,0),Sheet1!$C$22=TODAY()),    Sheet1!$C$21-R156,     Sheet1!$C$21-R156-1),               R157-R156-1),    0)</f>
        <v>0</v>
      </c>
      <c r="F156" s="30"/>
      <c r="G156" s="25" t="str">
        <f>IF(LEFT(Sheet1!K157,2)="0x",Sheet1!K156,IF(AND(Sheet1!L156="",Sheet1!L155=""),"",G155))</f>
        <v/>
      </c>
      <c r="H156" s="81"/>
      <c r="I156" s="43" t="str">
        <f t="shared" si="13"/>
        <v/>
      </c>
      <c r="J156" s="29" t="str">
        <f t="shared" si="16"/>
        <v/>
      </c>
      <c r="K156" s="24" t="str">
        <f>IF(Sheet1!L156="","",IF(Sheet1!L156&gt;0,ROW(),""))</f>
        <v/>
      </c>
      <c r="L156" s="24" t="str">
        <f t="shared" ca="1" si="14"/>
        <v/>
      </c>
      <c r="M156" s="47" t="str">
        <f t="shared" ca="1" si="15"/>
        <v/>
      </c>
      <c r="N156" s="48" t="str">
        <f>IF(LEFT(Sheet1!K156,2)="0x",Sheet1!K156,IF(AND(Sheet1!L156="",Sheet1!L155=""),"",N155))</f>
        <v/>
      </c>
      <c r="O156" s="46">
        <f>IF(Sheet1!L156="",0,IF(Sheet1!O156&lt;TIME(7,39,0)+Sheet1!$E$3/24,1,0))</f>
        <v>0</v>
      </c>
      <c r="P156" s="46" t="str">
        <f ca="1">IF(AND(Sheet1!L156&lt;0, Sheet1!$C$21&gt;R156,OR(Sheet1!$C$21&lt;=R157,Sheet1!L157="")),   -1*Sheet1!L156,"")</f>
        <v/>
      </c>
    </row>
    <row r="157" spans="1:16" ht="15.75" x14ac:dyDescent="0.25">
      <c r="A157" s="456" t="str">
        <f>IF(AND(R157&lt;&gt;"",R156&lt;&gt;""),(-Sheet1!L157/Sheet1!L156)^(360/(R157-R156-1))-1,"")</f>
        <v/>
      </c>
      <c r="B157" s="41" t="str">
        <f ca="1">IF(AND(Sheet1!L157&lt;0, Sheet1!$C$21&gt;R157+1,OR(Sheet1!$C$21&lt;=R158,Sheet1!L158="")),   -1*Sheet1!L157,"")</f>
        <v/>
      </c>
      <c r="C157" s="42">
        <f ca="1">IF(Sheet3!$B$5="",0,    IF(E157&lt;1,0,  IF(B157="","",     IF(OR(Sheet3!$B$6=0,INDIRECT(ADDRESS(ROW(),Sheet3!$B$3+16))="" ),D157/E157,    IF(E157&lt;0,0,    IF(OR( INDIRECT(ADDRESS(8,Sheet3!$B$3+16))="",INDIRECT(ADDRESS(ROW(),Sheet3!$B$3+17))=""),        (INDIRECT(ADDRESS(ROW(),Sheet3!$B$3+16))+B157)*Sheet3!$Q$4,         INDIRECT(ADDRESS(ROW(),Sheet3!$B$3+17))-INDIRECT(ADDRESS(ROW(),Sheet3!$B$3+16))))))))</f>
        <v>0</v>
      </c>
      <c r="D157" s="39">
        <f ca="1">IF(Sheet3!$B$5="",0,IF(B157="","",IF(E157&lt;1,0,   IF(INDIRECT(ADDRESS(ROW(), Sheet3!$B$3+17))="",        INDIRECT(ADDRESS(ROW(), Sheet3!$B$3+16))*  (1+Sheet3!$Q$4)   +B157*Sheet3!$Q$4,       INDIRECT(ADDRESS(ROW(), Sheet3!$B$3+17))))))</f>
        <v>0</v>
      </c>
      <c r="E157" s="40">
        <f ca="1">IF(AND(Sheet1!L157&lt;0,  Sheet1!$C$21&gt;R157),    IF(OR(Sheet1!$C$21&lt;=R158,  Sheet1!L158=""),       IF(AND(MOD(NOW(),1)&lt;TIME(9,39,0),Sheet1!$C$22=TODAY()),    Sheet1!$C$21-R157,     Sheet1!$C$21-R157-1),               R158-R157-1),    0)</f>
        <v>0</v>
      </c>
      <c r="F157" s="30"/>
      <c r="G157" s="25" t="str">
        <f>IF(LEFT(Sheet1!K158,2)="0x",Sheet1!K157,IF(AND(Sheet1!L157="",Sheet1!L156=""),"",G156))</f>
        <v/>
      </c>
      <c r="H157" s="81"/>
      <c r="I157" s="43" t="str">
        <f t="shared" si="13"/>
        <v/>
      </c>
      <c r="J157" s="29" t="str">
        <f t="shared" si="16"/>
        <v/>
      </c>
      <c r="K157" s="24" t="str">
        <f>IF(Sheet1!L157="","",IF(Sheet1!L157&gt;0,ROW(),""))</f>
        <v/>
      </c>
      <c r="L157" s="24" t="str">
        <f t="shared" ca="1" si="14"/>
        <v/>
      </c>
      <c r="M157" s="47" t="str">
        <f t="shared" ca="1" si="15"/>
        <v/>
      </c>
      <c r="N157" s="48" t="str">
        <f>IF(LEFT(Sheet1!K157,2)="0x",Sheet1!K157,IF(AND(Sheet1!L157="",Sheet1!L156=""),"",N156))</f>
        <v/>
      </c>
      <c r="O157" s="46">
        <f>IF(Sheet1!L157="",0,IF(Sheet1!O157&lt;TIME(7,39,0)+Sheet1!$E$3/24,1,0))</f>
        <v>0</v>
      </c>
      <c r="P157" s="46" t="str">
        <f ca="1">IF(AND(Sheet1!L157&lt;0, Sheet1!$C$21&gt;R157,OR(Sheet1!$C$21&lt;=R158,Sheet1!L158="")),   -1*Sheet1!L157,"")</f>
        <v/>
      </c>
    </row>
    <row r="158" spans="1:16" ht="15.75" x14ac:dyDescent="0.25">
      <c r="A158" s="456" t="str">
        <f>IF(AND(R158&lt;&gt;"",R157&lt;&gt;""),(-Sheet1!L158/Sheet1!L157)^(360/(R158-R157-1))-1,"")</f>
        <v/>
      </c>
      <c r="B158" s="41" t="str">
        <f ca="1">IF(AND(Sheet1!L158&lt;0, Sheet1!$C$21&gt;R158+1,OR(Sheet1!$C$21&lt;=R159,Sheet1!L159="")),   -1*Sheet1!L158,"")</f>
        <v/>
      </c>
      <c r="C158" s="42">
        <f ca="1">IF(Sheet3!$B$5="",0,    IF(E158&lt;1,0,  IF(B158="","",     IF(OR(Sheet3!$B$6=0,INDIRECT(ADDRESS(ROW(),Sheet3!$B$3+16))="" ),D158/E158,    IF(E158&lt;0,0,    IF(OR( INDIRECT(ADDRESS(8,Sheet3!$B$3+16))="",INDIRECT(ADDRESS(ROW(),Sheet3!$B$3+17))=""),        (INDIRECT(ADDRESS(ROW(),Sheet3!$B$3+16))+B158)*Sheet3!$Q$4,         INDIRECT(ADDRESS(ROW(),Sheet3!$B$3+17))-INDIRECT(ADDRESS(ROW(),Sheet3!$B$3+16))))))))</f>
        <v>0</v>
      </c>
      <c r="D158" s="39">
        <f ca="1">IF(Sheet3!$B$5="",0,IF(B158="","",IF(E158&lt;1,0,   IF(INDIRECT(ADDRESS(ROW(), Sheet3!$B$3+17))="",        INDIRECT(ADDRESS(ROW(), Sheet3!$B$3+16))*  (1+Sheet3!$Q$4)   +B158*Sheet3!$Q$4,       INDIRECT(ADDRESS(ROW(), Sheet3!$B$3+17))))))</f>
        <v>0</v>
      </c>
      <c r="E158" s="40">
        <f ca="1">IF(AND(Sheet1!L158&lt;0,  Sheet1!$C$21&gt;R158),    IF(OR(Sheet1!$C$21&lt;=R159,  Sheet1!L159=""),       IF(AND(MOD(NOW(),1)&lt;TIME(9,39,0),Sheet1!$C$22=TODAY()),    Sheet1!$C$21-R158,     Sheet1!$C$21-R158-1),               R159-R158-1),    0)</f>
        <v>0</v>
      </c>
      <c r="F158" s="30"/>
      <c r="G158" s="25" t="str">
        <f>IF(LEFT(Sheet1!K159,2)="0x",Sheet1!K158,IF(AND(Sheet1!L158="",Sheet1!L157=""),"",G157))</f>
        <v/>
      </c>
      <c r="H158" s="81"/>
      <c r="I158" s="43" t="str">
        <f t="shared" si="13"/>
        <v/>
      </c>
      <c r="J158" s="29" t="str">
        <f t="shared" si="16"/>
        <v/>
      </c>
      <c r="K158" s="24" t="str">
        <f>IF(Sheet1!L158="","",IF(Sheet1!L158&gt;0,ROW(),""))</f>
        <v/>
      </c>
      <c r="L158" s="24" t="str">
        <f t="shared" ca="1" si="14"/>
        <v/>
      </c>
      <c r="M158" s="47" t="str">
        <f t="shared" ca="1" si="15"/>
        <v/>
      </c>
      <c r="N158" s="48" t="str">
        <f>IF(LEFT(Sheet1!K158,2)="0x",Sheet1!K158,IF(AND(Sheet1!L158="",Sheet1!L157=""),"",N157))</f>
        <v/>
      </c>
      <c r="O158" s="46">
        <f>IF(Sheet1!L158="",0,IF(Sheet1!O158&lt;TIME(7,39,0)+Sheet1!$E$3/24,1,0))</f>
        <v>0</v>
      </c>
      <c r="P158" s="46" t="str">
        <f ca="1">IF(AND(Sheet1!L158&lt;0, Sheet1!$C$21&gt;R158,OR(Sheet1!$C$21&lt;=R159,Sheet1!L159="")),   -1*Sheet1!L158,"")</f>
        <v/>
      </c>
    </row>
    <row r="159" spans="1:16" ht="15.75" x14ac:dyDescent="0.25">
      <c r="A159" s="456" t="str">
        <f>IF(AND(R159&lt;&gt;"",R158&lt;&gt;""),(-Sheet1!L159/Sheet1!L158)^(360/(R159-R158-1))-1,"")</f>
        <v/>
      </c>
      <c r="B159" s="41" t="str">
        <f ca="1">IF(AND(Sheet1!L159&lt;0, Sheet1!$C$21&gt;R159+1,OR(Sheet1!$C$21&lt;=R160,Sheet1!L160="")),   -1*Sheet1!L159,"")</f>
        <v/>
      </c>
      <c r="C159" s="42">
        <f ca="1">IF(Sheet3!$B$5="",0,    IF(E159&lt;1,0,  IF(B159="","",     IF(OR(Sheet3!$B$6=0,INDIRECT(ADDRESS(ROW(),Sheet3!$B$3+16))="" ),D159/E159,    IF(E159&lt;0,0,    IF(OR( INDIRECT(ADDRESS(8,Sheet3!$B$3+16))="",INDIRECT(ADDRESS(ROW(),Sheet3!$B$3+17))=""),        (INDIRECT(ADDRESS(ROW(),Sheet3!$B$3+16))+B159)*Sheet3!$Q$4,         INDIRECT(ADDRESS(ROW(),Sheet3!$B$3+17))-INDIRECT(ADDRESS(ROW(),Sheet3!$B$3+16))))))))</f>
        <v>0</v>
      </c>
      <c r="D159" s="39">
        <f ca="1">IF(Sheet3!$B$5="",0,IF(B159="","",IF(E159&lt;1,0,   IF(INDIRECT(ADDRESS(ROW(), Sheet3!$B$3+17))="",        INDIRECT(ADDRESS(ROW(), Sheet3!$B$3+16))*  (1+Sheet3!$Q$4)   +B159*Sheet3!$Q$4,       INDIRECT(ADDRESS(ROW(), Sheet3!$B$3+17))))))</f>
        <v>0</v>
      </c>
      <c r="E159" s="40">
        <f ca="1">IF(AND(Sheet1!L159&lt;0,  Sheet1!$C$21&gt;R159),    IF(OR(Sheet1!$C$21&lt;=R160,  Sheet1!L160=""),       IF(AND(MOD(NOW(),1)&lt;TIME(9,39,0),Sheet1!$C$22=TODAY()),    Sheet1!$C$21-R159,     Sheet1!$C$21-R159-1),               R160-R159-1),    0)</f>
        <v>0</v>
      </c>
      <c r="F159" s="30"/>
      <c r="G159" s="25" t="str">
        <f>IF(LEFT(Sheet1!K160,2)="0x",Sheet1!K159,IF(AND(Sheet1!L159="",Sheet1!L158=""),"",G158))</f>
        <v/>
      </c>
      <c r="H159" s="81"/>
      <c r="I159" s="43" t="str">
        <f t="shared" si="13"/>
        <v/>
      </c>
      <c r="J159" s="29" t="str">
        <f t="shared" si="16"/>
        <v/>
      </c>
      <c r="K159" s="24" t="str">
        <f>IF(Sheet1!L159="","",IF(Sheet1!L159&gt;0,ROW(),""))</f>
        <v/>
      </c>
      <c r="L159" s="24" t="str">
        <f t="shared" ca="1" si="14"/>
        <v/>
      </c>
      <c r="M159" s="47" t="str">
        <f t="shared" ca="1" si="15"/>
        <v/>
      </c>
      <c r="N159" s="48" t="str">
        <f>IF(LEFT(Sheet1!K159,2)="0x",Sheet1!K159,IF(AND(Sheet1!L159="",Sheet1!L158=""),"",N158))</f>
        <v/>
      </c>
      <c r="O159" s="46">
        <f>IF(Sheet1!L159="",0,IF(Sheet1!O159&lt;TIME(7,39,0)+Sheet1!$E$3/24,1,0))</f>
        <v>0</v>
      </c>
      <c r="P159" s="46" t="str">
        <f ca="1">IF(AND(Sheet1!L159&lt;0, Sheet1!$C$21&gt;R159,OR(Sheet1!$C$21&lt;=R160,Sheet1!L160="")),   -1*Sheet1!L159,"")</f>
        <v/>
      </c>
    </row>
    <row r="160" spans="1:16" ht="15.75" x14ac:dyDescent="0.25">
      <c r="A160" s="456" t="str">
        <f>IF(AND(R160&lt;&gt;"",R159&lt;&gt;""),(-Sheet1!L160/Sheet1!L159)^(360/(R160-R159-1))-1,"")</f>
        <v/>
      </c>
      <c r="B160" s="41" t="str">
        <f ca="1">IF(AND(Sheet1!L160&lt;0, Sheet1!$C$21&gt;R160+1,OR(Sheet1!$C$21&lt;=R161,Sheet1!L161="")),   -1*Sheet1!L160,"")</f>
        <v/>
      </c>
      <c r="C160" s="42">
        <f ca="1">IF(Sheet3!$B$5="",0,    IF(E160&lt;1,0,  IF(B160="","",     IF(OR(Sheet3!$B$6=0,INDIRECT(ADDRESS(ROW(),Sheet3!$B$3+16))="" ),D160/E160,    IF(E160&lt;0,0,    IF(OR( INDIRECT(ADDRESS(8,Sheet3!$B$3+16))="",INDIRECT(ADDRESS(ROW(),Sheet3!$B$3+17))=""),        (INDIRECT(ADDRESS(ROW(),Sheet3!$B$3+16))+B160)*Sheet3!$Q$4,         INDIRECT(ADDRESS(ROW(),Sheet3!$B$3+17))-INDIRECT(ADDRESS(ROW(),Sheet3!$B$3+16))))))))</f>
        <v>0</v>
      </c>
      <c r="D160" s="39">
        <f ca="1">IF(Sheet3!$B$5="",0,IF(B160="","",IF(E160&lt;1,0,   IF(INDIRECT(ADDRESS(ROW(), Sheet3!$B$3+17))="",        INDIRECT(ADDRESS(ROW(), Sheet3!$B$3+16))*  (1+Sheet3!$Q$4)   +B160*Sheet3!$Q$4,       INDIRECT(ADDRESS(ROW(), Sheet3!$B$3+17))))))</f>
        <v>0</v>
      </c>
      <c r="E160" s="40">
        <f ca="1">IF(AND(Sheet1!L160&lt;0,  Sheet1!$C$21&gt;R160),    IF(OR(Sheet1!$C$21&lt;=R161,  Sheet1!L161=""),       IF(AND(MOD(NOW(),1)&lt;TIME(9,39,0),Sheet1!$C$22=TODAY()),    Sheet1!$C$21-R160,     Sheet1!$C$21-R160-1),               R161-R160-1),    0)</f>
        <v>0</v>
      </c>
      <c r="F160" s="30"/>
      <c r="G160" s="25" t="str">
        <f>IF(LEFT(Sheet1!K161,2)="0x",Sheet1!K160,IF(AND(Sheet1!L160="",Sheet1!L159=""),"",G159))</f>
        <v/>
      </c>
      <c r="H160" s="81"/>
      <c r="I160" s="43" t="str">
        <f t="shared" si="13"/>
        <v/>
      </c>
      <c r="J160" s="29" t="str">
        <f t="shared" si="16"/>
        <v/>
      </c>
      <c r="K160" s="24" t="str">
        <f>IF(Sheet1!L160="","",IF(Sheet1!L160&gt;0,ROW(),""))</f>
        <v/>
      </c>
      <c r="L160" s="24" t="str">
        <f t="shared" ca="1" si="14"/>
        <v/>
      </c>
      <c r="M160" s="47" t="str">
        <f t="shared" ca="1" si="15"/>
        <v/>
      </c>
      <c r="N160" s="48" t="str">
        <f>IF(LEFT(Sheet1!K160,2)="0x",Sheet1!K160,IF(AND(Sheet1!L160="",Sheet1!L159=""),"",N159))</f>
        <v/>
      </c>
      <c r="O160" s="46">
        <f>IF(Sheet1!L160="",0,IF(Sheet1!O160&lt;TIME(7,39,0)+Sheet1!$E$3/24,1,0))</f>
        <v>0</v>
      </c>
      <c r="P160" s="46" t="str">
        <f ca="1">IF(AND(Sheet1!L160&lt;0, Sheet1!$C$21&gt;R160,OR(Sheet1!$C$21&lt;=R161,Sheet1!L161="")),   -1*Sheet1!L160,"")</f>
        <v/>
      </c>
    </row>
    <row r="161" spans="1:16" ht="15.75" x14ac:dyDescent="0.25">
      <c r="A161" s="456" t="str">
        <f>IF(AND(R161&lt;&gt;"",R160&lt;&gt;""),(-Sheet1!L161/Sheet1!L160)^(360/(R161-R160-1))-1,"")</f>
        <v/>
      </c>
      <c r="B161" s="41" t="str">
        <f ca="1">IF(AND(Sheet1!L161&lt;0, Sheet1!$C$21&gt;R161+1,OR(Sheet1!$C$21&lt;=R162,Sheet1!L162="")),   -1*Sheet1!L161,"")</f>
        <v/>
      </c>
      <c r="C161" s="42">
        <f ca="1">IF(Sheet3!$B$5="",0,    IF(E161&lt;1,0,  IF(B161="","",     IF(OR(Sheet3!$B$6=0,INDIRECT(ADDRESS(ROW(),Sheet3!$B$3+16))="" ),D161/E161,    IF(E161&lt;0,0,    IF(OR( INDIRECT(ADDRESS(8,Sheet3!$B$3+16))="",INDIRECT(ADDRESS(ROW(),Sheet3!$B$3+17))=""),        (INDIRECT(ADDRESS(ROW(),Sheet3!$B$3+16))+B161)*Sheet3!$Q$4,         INDIRECT(ADDRESS(ROW(),Sheet3!$B$3+17))-INDIRECT(ADDRESS(ROW(),Sheet3!$B$3+16))))))))</f>
        <v>0</v>
      </c>
      <c r="D161" s="39">
        <f ca="1">IF(Sheet3!$B$5="",0,IF(B161="","",IF(E161&lt;1,0,   IF(INDIRECT(ADDRESS(ROW(), Sheet3!$B$3+17))="",        INDIRECT(ADDRESS(ROW(), Sheet3!$B$3+16))*  (1+Sheet3!$Q$4)   +B161*Sheet3!$Q$4,       INDIRECT(ADDRESS(ROW(), Sheet3!$B$3+17))))))</f>
        <v>0</v>
      </c>
      <c r="E161" s="40">
        <f ca="1">IF(AND(Sheet1!L161&lt;0,  Sheet1!$C$21&gt;R161),    IF(OR(Sheet1!$C$21&lt;=R162,  Sheet1!L162=""),       IF(AND(MOD(NOW(),1)&lt;TIME(9,39,0),Sheet1!$C$22=TODAY()),    Sheet1!$C$21-R161,     Sheet1!$C$21-R161-1),               R162-R161-1),    0)</f>
        <v>0</v>
      </c>
      <c r="F161" s="30"/>
      <c r="G161" s="25" t="str">
        <f>IF(LEFT(Sheet1!K162,2)="0x",Sheet1!K161,IF(AND(Sheet1!L161="",Sheet1!L160=""),"",G160))</f>
        <v/>
      </c>
      <c r="H161" s="81"/>
      <c r="I161" s="43" t="str">
        <f t="shared" si="13"/>
        <v/>
      </c>
      <c r="J161" s="29" t="str">
        <f t="shared" si="16"/>
        <v/>
      </c>
      <c r="K161" s="24" t="str">
        <f>IF(Sheet1!L161="","",IF(Sheet1!L161&gt;0,ROW(),""))</f>
        <v/>
      </c>
      <c r="L161" s="24" t="str">
        <f t="shared" ca="1" si="14"/>
        <v/>
      </c>
      <c r="M161" s="47" t="str">
        <f t="shared" ca="1" si="15"/>
        <v/>
      </c>
      <c r="N161" s="48" t="str">
        <f>IF(LEFT(Sheet1!K161,2)="0x",Sheet1!K161,IF(AND(Sheet1!L161="",Sheet1!L160=""),"",N160))</f>
        <v/>
      </c>
      <c r="O161" s="46">
        <f>IF(Sheet1!L161="",0,IF(Sheet1!O161&lt;TIME(7,39,0)+Sheet1!$E$3/24,1,0))</f>
        <v>0</v>
      </c>
      <c r="P161" s="46" t="str">
        <f ca="1">IF(AND(Sheet1!L161&lt;0, Sheet1!$C$21&gt;R161,OR(Sheet1!$C$21&lt;=R162,Sheet1!L162="")),   -1*Sheet1!L161,"")</f>
        <v/>
      </c>
    </row>
    <row r="162" spans="1:16" ht="15.75" x14ac:dyDescent="0.25">
      <c r="A162" s="456" t="str">
        <f>IF(AND(R162&lt;&gt;"",R161&lt;&gt;""),(-Sheet1!L162/Sheet1!L161)^(360/(R162-R161-1))-1,"")</f>
        <v/>
      </c>
      <c r="B162" s="41" t="str">
        <f ca="1">IF(AND(Sheet1!L162&lt;0, Sheet1!$C$21&gt;R162+1,OR(Sheet1!$C$21&lt;=R163,Sheet1!L163="")),   -1*Sheet1!L162,"")</f>
        <v/>
      </c>
      <c r="C162" s="42">
        <f ca="1">IF(Sheet3!$B$5="",0,    IF(E162&lt;1,0,  IF(B162="","",     IF(OR(Sheet3!$B$6=0,INDIRECT(ADDRESS(ROW(),Sheet3!$B$3+16))="" ),D162/E162,    IF(E162&lt;0,0,    IF(OR( INDIRECT(ADDRESS(8,Sheet3!$B$3+16))="",INDIRECT(ADDRESS(ROW(),Sheet3!$B$3+17))=""),        (INDIRECT(ADDRESS(ROW(),Sheet3!$B$3+16))+B162)*Sheet3!$Q$4,         INDIRECT(ADDRESS(ROW(),Sheet3!$B$3+17))-INDIRECT(ADDRESS(ROW(),Sheet3!$B$3+16))))))))</f>
        <v>0</v>
      </c>
      <c r="D162" s="39">
        <f ca="1">IF(Sheet3!$B$5="",0,IF(B162="","",IF(E162&lt;1,0,   IF(INDIRECT(ADDRESS(ROW(), Sheet3!$B$3+17))="",        INDIRECT(ADDRESS(ROW(), Sheet3!$B$3+16))*  (1+Sheet3!$Q$4)   +B162*Sheet3!$Q$4,       INDIRECT(ADDRESS(ROW(), Sheet3!$B$3+17))))))</f>
        <v>0</v>
      </c>
      <c r="E162" s="40">
        <f ca="1">IF(AND(Sheet1!L162&lt;0,  Sheet1!$C$21&gt;R162),    IF(OR(Sheet1!$C$21&lt;=R163,  Sheet1!L163=""),       IF(AND(MOD(NOW(),1)&lt;TIME(9,39,0),Sheet1!$C$22=TODAY()),    Sheet1!$C$21-R162,     Sheet1!$C$21-R162-1),               R163-R162-1),    0)</f>
        <v>0</v>
      </c>
      <c r="F162" s="30"/>
      <c r="G162" s="25" t="str">
        <f>IF(LEFT(Sheet1!K163,2)="0x",Sheet1!K162,IF(AND(Sheet1!L162="",Sheet1!L161=""),"",G161))</f>
        <v/>
      </c>
      <c r="H162" s="81"/>
      <c r="I162" s="43" t="str">
        <f t="shared" si="13"/>
        <v/>
      </c>
      <c r="J162" s="29" t="str">
        <f t="shared" si="16"/>
        <v/>
      </c>
      <c r="K162" s="24" t="str">
        <f>IF(Sheet1!L162="","",IF(Sheet1!L162&gt;0,ROW(),""))</f>
        <v/>
      </c>
      <c r="L162" s="24" t="str">
        <f t="shared" ca="1" si="14"/>
        <v/>
      </c>
      <c r="M162" s="47" t="str">
        <f t="shared" ca="1" si="15"/>
        <v/>
      </c>
      <c r="N162" s="48" t="str">
        <f>IF(LEFT(Sheet1!K162,2)="0x",Sheet1!K162,IF(AND(Sheet1!L162="",Sheet1!L161=""),"",N161))</f>
        <v/>
      </c>
      <c r="O162" s="46">
        <f>IF(Sheet1!L162="",0,IF(Sheet1!O162&lt;TIME(7,39,0)+Sheet1!$E$3/24,1,0))</f>
        <v>0</v>
      </c>
      <c r="P162" s="46" t="str">
        <f ca="1">IF(AND(Sheet1!L162&lt;0, Sheet1!$C$21&gt;R162,OR(Sheet1!$C$21&lt;=R163,Sheet1!L163="")),   -1*Sheet1!L162,"")</f>
        <v/>
      </c>
    </row>
    <row r="163" spans="1:16" ht="15.75" x14ac:dyDescent="0.25">
      <c r="A163" s="456" t="str">
        <f>IF(AND(R163&lt;&gt;"",R162&lt;&gt;""),(-Sheet1!L163/Sheet1!L162)^(360/(R163-R162-1))-1,"")</f>
        <v/>
      </c>
      <c r="B163" s="41" t="str">
        <f ca="1">IF(AND(Sheet1!L163&lt;0, Sheet1!$C$21&gt;R163+1,OR(Sheet1!$C$21&lt;=R164,Sheet1!L164="")),   -1*Sheet1!L163,"")</f>
        <v/>
      </c>
      <c r="C163" s="42">
        <f ca="1">IF(Sheet3!$B$5="",0,    IF(E163&lt;1,0,  IF(B163="","",     IF(OR(Sheet3!$B$6=0,INDIRECT(ADDRESS(ROW(),Sheet3!$B$3+16))="" ),D163/E163,    IF(E163&lt;0,0,    IF(OR( INDIRECT(ADDRESS(8,Sheet3!$B$3+16))="",INDIRECT(ADDRESS(ROW(),Sheet3!$B$3+17))=""),        (INDIRECT(ADDRESS(ROW(),Sheet3!$B$3+16))+B163)*Sheet3!$Q$4,         INDIRECT(ADDRESS(ROW(),Sheet3!$B$3+17))-INDIRECT(ADDRESS(ROW(),Sheet3!$B$3+16))))))))</f>
        <v>0</v>
      </c>
      <c r="D163" s="39">
        <f ca="1">IF(Sheet3!$B$5="",0,IF(B163="","",IF(E163&lt;1,0,   IF(INDIRECT(ADDRESS(ROW(), Sheet3!$B$3+17))="",        INDIRECT(ADDRESS(ROW(), Sheet3!$B$3+16))*  (1+Sheet3!$Q$4)   +B163*Sheet3!$Q$4,       INDIRECT(ADDRESS(ROW(), Sheet3!$B$3+17))))))</f>
        <v>0</v>
      </c>
      <c r="E163" s="40">
        <f ca="1">IF(AND(Sheet1!L163&lt;0,  Sheet1!$C$21&gt;R163),    IF(OR(Sheet1!$C$21&lt;=R164,  Sheet1!L164=""),       IF(AND(MOD(NOW(),1)&lt;TIME(9,39,0),Sheet1!$C$22=TODAY()),    Sheet1!$C$21-R163,     Sheet1!$C$21-R163-1),               R164-R163-1),    0)</f>
        <v>0</v>
      </c>
      <c r="F163" s="30"/>
      <c r="G163" s="25" t="str">
        <f>IF(LEFT(Sheet1!K164,2)="0x",Sheet1!K163,IF(AND(Sheet1!L163="",Sheet1!L162=""),"",G162))</f>
        <v/>
      </c>
      <c r="H163" s="81"/>
      <c r="I163" s="43" t="str">
        <f t="shared" si="13"/>
        <v/>
      </c>
      <c r="J163" s="29" t="str">
        <f t="shared" si="16"/>
        <v/>
      </c>
      <c r="K163" s="24" t="str">
        <f>IF(Sheet1!L163="","",IF(Sheet1!L163&gt;0,ROW(),""))</f>
        <v/>
      </c>
      <c r="L163" s="24" t="str">
        <f t="shared" ca="1" si="14"/>
        <v/>
      </c>
      <c r="M163" s="47" t="str">
        <f t="shared" ca="1" si="15"/>
        <v/>
      </c>
      <c r="N163" s="48" t="str">
        <f>IF(LEFT(Sheet1!K163,2)="0x",Sheet1!K163,IF(AND(Sheet1!L163="",Sheet1!L162=""),"",N162))</f>
        <v/>
      </c>
      <c r="O163" s="46">
        <f>IF(Sheet1!L163="",0,IF(Sheet1!O163&lt;TIME(7,39,0)+Sheet1!$E$3/24,1,0))</f>
        <v>0</v>
      </c>
      <c r="P163" s="46" t="str">
        <f ca="1">IF(AND(Sheet1!L163&lt;0, Sheet1!$C$21&gt;R163,OR(Sheet1!$C$21&lt;=R164,Sheet1!L164="")),   -1*Sheet1!L163,"")</f>
        <v/>
      </c>
    </row>
    <row r="164" spans="1:16" ht="15.75" x14ac:dyDescent="0.25">
      <c r="A164" s="456" t="str">
        <f>IF(AND(R164&lt;&gt;"",R163&lt;&gt;""),(-Sheet1!L164/Sheet1!L163)^(360/(R164-R163-1))-1,"")</f>
        <v/>
      </c>
      <c r="B164" s="41" t="str">
        <f ca="1">IF(AND(Sheet1!L164&lt;0, Sheet1!$C$21&gt;R164+1,OR(Sheet1!$C$21&lt;=R165,Sheet1!L165="")),   -1*Sheet1!L164,"")</f>
        <v/>
      </c>
      <c r="C164" s="42">
        <f ca="1">IF(Sheet3!$B$5="",0,    IF(E164&lt;1,0,  IF(B164="","",     IF(OR(Sheet3!$B$6=0,INDIRECT(ADDRESS(ROW(),Sheet3!$B$3+16))="" ),D164/E164,    IF(E164&lt;0,0,    IF(OR( INDIRECT(ADDRESS(8,Sheet3!$B$3+16))="",INDIRECT(ADDRESS(ROW(),Sheet3!$B$3+17))=""),        (INDIRECT(ADDRESS(ROW(),Sheet3!$B$3+16))+B164)*Sheet3!$Q$4,         INDIRECT(ADDRESS(ROW(),Sheet3!$B$3+17))-INDIRECT(ADDRESS(ROW(),Sheet3!$B$3+16))))))))</f>
        <v>0</v>
      </c>
      <c r="D164" s="39">
        <f ca="1">IF(Sheet3!$B$5="",0,IF(B164="","",IF(E164&lt;1,0,   IF(INDIRECT(ADDRESS(ROW(), Sheet3!$B$3+17))="",        INDIRECT(ADDRESS(ROW(), Sheet3!$B$3+16))*  (1+Sheet3!$Q$4)   +B164*Sheet3!$Q$4,       INDIRECT(ADDRESS(ROW(), Sheet3!$B$3+17))))))</f>
        <v>0</v>
      </c>
      <c r="E164" s="40">
        <f ca="1">IF(AND(Sheet1!L164&lt;0,  Sheet1!$C$21&gt;R164),    IF(OR(Sheet1!$C$21&lt;=R165,  Sheet1!L165=""),       IF(AND(MOD(NOW(),1)&lt;TIME(9,39,0),Sheet1!$C$22=TODAY()),    Sheet1!$C$21-R164,     Sheet1!$C$21-R164-1),               R165-R164-1),    0)</f>
        <v>0</v>
      </c>
      <c r="F164" s="30"/>
      <c r="G164" s="25" t="str">
        <f>IF(LEFT(Sheet1!K165,2)="0x",Sheet1!K164,IF(AND(Sheet1!L164="",Sheet1!L163=""),"",G163))</f>
        <v/>
      </c>
      <c r="H164" s="81"/>
      <c r="I164" s="43" t="str">
        <f t="shared" si="13"/>
        <v/>
      </c>
      <c r="J164" s="29" t="str">
        <f t="shared" si="16"/>
        <v/>
      </c>
      <c r="K164" s="24" t="str">
        <f>IF(Sheet1!L164="","",IF(Sheet1!L164&gt;0,ROW(),""))</f>
        <v/>
      </c>
      <c r="L164" s="24" t="str">
        <f t="shared" ca="1" si="14"/>
        <v/>
      </c>
      <c r="M164" s="47" t="str">
        <f t="shared" ca="1" si="15"/>
        <v/>
      </c>
      <c r="N164" s="48" t="str">
        <f>IF(LEFT(Sheet1!K164,2)="0x",Sheet1!K164,IF(AND(Sheet1!L164="",Sheet1!L163=""),"",N163))</f>
        <v/>
      </c>
      <c r="O164" s="46">
        <f>IF(Sheet1!L164="",0,IF(Sheet1!O164&lt;TIME(7,39,0)+Sheet1!$E$3/24,1,0))</f>
        <v>0</v>
      </c>
      <c r="P164" s="46" t="str">
        <f ca="1">IF(AND(Sheet1!L164&lt;0, Sheet1!$C$21&gt;R164,OR(Sheet1!$C$21&lt;=R165,Sheet1!L165="")),   -1*Sheet1!L164,"")</f>
        <v/>
      </c>
    </row>
    <row r="165" spans="1:16" ht="15.75" x14ac:dyDescent="0.25">
      <c r="A165" s="456" t="str">
        <f>IF(AND(R165&lt;&gt;"",R164&lt;&gt;""),(-Sheet1!L165/Sheet1!L164)^(360/(R165-R164-1))-1,"")</f>
        <v/>
      </c>
      <c r="B165" s="41" t="str">
        <f ca="1">IF(AND(Sheet1!L165&lt;0, Sheet1!$C$21&gt;R165+1,OR(Sheet1!$C$21&lt;=R166,Sheet1!L166="")),   -1*Sheet1!L165,"")</f>
        <v/>
      </c>
      <c r="C165" s="42">
        <f ca="1">IF(Sheet3!$B$5="",0,    IF(E165&lt;1,0,  IF(B165="","",     IF(OR(Sheet3!$B$6=0,INDIRECT(ADDRESS(ROW(),Sheet3!$B$3+16))="" ),D165/E165,    IF(E165&lt;0,0,    IF(OR( INDIRECT(ADDRESS(8,Sheet3!$B$3+16))="",INDIRECT(ADDRESS(ROW(),Sheet3!$B$3+17))=""),        (INDIRECT(ADDRESS(ROW(),Sheet3!$B$3+16))+B165)*Sheet3!$Q$4,         INDIRECT(ADDRESS(ROW(),Sheet3!$B$3+17))-INDIRECT(ADDRESS(ROW(),Sheet3!$B$3+16))))))))</f>
        <v>0</v>
      </c>
      <c r="D165" s="39">
        <f ca="1">IF(Sheet3!$B$5="",0,IF(B165="","",IF(E165&lt;1,0,   IF(INDIRECT(ADDRESS(ROW(), Sheet3!$B$3+17))="",        INDIRECT(ADDRESS(ROW(), Sheet3!$B$3+16))*  (1+Sheet3!$Q$4)   +B165*Sheet3!$Q$4,       INDIRECT(ADDRESS(ROW(), Sheet3!$B$3+17))))))</f>
        <v>0</v>
      </c>
      <c r="E165" s="40">
        <f ca="1">IF(AND(Sheet1!L165&lt;0,  Sheet1!$C$21&gt;R165),    IF(OR(Sheet1!$C$21&lt;=R166,  Sheet1!L166=""),       IF(AND(MOD(NOW(),1)&lt;TIME(9,39,0),Sheet1!$C$22=TODAY()),    Sheet1!$C$21-R165,     Sheet1!$C$21-R165-1),               R166-R165-1),    0)</f>
        <v>0</v>
      </c>
      <c r="F165" s="30"/>
      <c r="G165" s="25" t="str">
        <f>IF(LEFT(Sheet1!K166,2)="0x",Sheet1!K165,IF(AND(Sheet1!L165="",Sheet1!L164=""),"",G164))</f>
        <v/>
      </c>
      <c r="H165" s="81"/>
      <c r="I165" s="43" t="str">
        <f t="shared" si="13"/>
        <v/>
      </c>
      <c r="J165" s="29" t="str">
        <f t="shared" si="16"/>
        <v/>
      </c>
      <c r="K165" s="24" t="str">
        <f>IF(Sheet1!L165="","",IF(Sheet1!L165&gt;0,ROW(),""))</f>
        <v/>
      </c>
      <c r="L165" s="24" t="str">
        <f t="shared" ca="1" si="14"/>
        <v/>
      </c>
      <c r="M165" s="47" t="str">
        <f t="shared" ca="1" si="15"/>
        <v/>
      </c>
      <c r="N165" s="48" t="str">
        <f>IF(LEFT(Sheet1!K165,2)="0x",Sheet1!K165,IF(AND(Sheet1!L165="",Sheet1!L164=""),"",N164))</f>
        <v/>
      </c>
      <c r="O165" s="46">
        <f>IF(Sheet1!L165="",0,IF(Sheet1!O165&lt;TIME(7,39,0)+Sheet1!$E$3/24,1,0))</f>
        <v>0</v>
      </c>
      <c r="P165" s="46" t="str">
        <f ca="1">IF(AND(Sheet1!L165&lt;0, Sheet1!$C$21&gt;R165,OR(Sheet1!$C$21&lt;=R166,Sheet1!L166="")),   -1*Sheet1!L165,"")</f>
        <v/>
      </c>
    </row>
    <row r="166" spans="1:16" ht="15.75" x14ac:dyDescent="0.25">
      <c r="A166" s="456" t="str">
        <f>IF(AND(R166&lt;&gt;"",R165&lt;&gt;""),(-Sheet1!L166/Sheet1!L165)^(360/(R166-R165-1))-1,"")</f>
        <v/>
      </c>
      <c r="B166" s="41" t="str">
        <f ca="1">IF(AND(Sheet1!L166&lt;0, Sheet1!$C$21&gt;R166+1,OR(Sheet1!$C$21&lt;=R167,Sheet1!L167="")),   -1*Sheet1!L166,"")</f>
        <v/>
      </c>
      <c r="C166" s="42">
        <f ca="1">IF(Sheet3!$B$5="",0,    IF(E166&lt;1,0,  IF(B166="","",     IF(OR(Sheet3!$B$6=0,INDIRECT(ADDRESS(ROW(),Sheet3!$B$3+16))="" ),D166/E166,    IF(E166&lt;0,0,    IF(OR( INDIRECT(ADDRESS(8,Sheet3!$B$3+16))="",INDIRECT(ADDRESS(ROW(),Sheet3!$B$3+17))=""),        (INDIRECT(ADDRESS(ROW(),Sheet3!$B$3+16))+B166)*Sheet3!$Q$4,         INDIRECT(ADDRESS(ROW(),Sheet3!$B$3+17))-INDIRECT(ADDRESS(ROW(),Sheet3!$B$3+16))))))))</f>
        <v>0</v>
      </c>
      <c r="D166" s="39">
        <f ca="1">IF(Sheet3!$B$5="",0,IF(B166="","",IF(E166&lt;1,0,   IF(INDIRECT(ADDRESS(ROW(), Sheet3!$B$3+17))="",        INDIRECT(ADDRESS(ROW(), Sheet3!$B$3+16))*  (1+Sheet3!$Q$4)   +B166*Sheet3!$Q$4,       INDIRECT(ADDRESS(ROW(), Sheet3!$B$3+17))))))</f>
        <v>0</v>
      </c>
      <c r="E166" s="40">
        <f ca="1">IF(AND(Sheet1!L166&lt;0,  Sheet1!$C$21&gt;R166),    IF(OR(Sheet1!$C$21&lt;=R167,  Sheet1!L167=""),       IF(AND(MOD(NOW(),1)&lt;TIME(9,39,0),Sheet1!$C$22=TODAY()),    Sheet1!$C$21-R166,     Sheet1!$C$21-R166-1),               R167-R166-1),    0)</f>
        <v>0</v>
      </c>
      <c r="F166" s="30"/>
      <c r="G166" s="25" t="str">
        <f>IF(LEFT(Sheet1!K167,2)="0x",Sheet1!K166,IF(AND(Sheet1!L166="",Sheet1!L165=""),"",G165))</f>
        <v/>
      </c>
      <c r="H166" s="81"/>
      <c r="I166" s="43" t="str">
        <f t="shared" ref="I166:I229" si="17">IFERROR(SMALL(K$6:K$117,ROW(Q129)),"")</f>
        <v/>
      </c>
      <c r="J166" s="29" t="str">
        <f t="shared" si="16"/>
        <v/>
      </c>
      <c r="K166" s="24" t="str">
        <f>IF(Sheet1!L166="","",IF(Sheet1!L166&gt;0,ROW(),""))</f>
        <v/>
      </c>
      <c r="L166" s="24" t="str">
        <f t="shared" ca="1" si="14"/>
        <v/>
      </c>
      <c r="M166" s="47" t="str">
        <f t="shared" ca="1" si="15"/>
        <v/>
      </c>
      <c r="N166" s="48" t="str">
        <f>IF(LEFT(Sheet1!K166,2)="0x",Sheet1!K166,IF(AND(Sheet1!L166="",Sheet1!L165=""),"",N165))</f>
        <v/>
      </c>
      <c r="O166" s="46">
        <f>IF(Sheet1!L166="",0,IF(Sheet1!O166&lt;TIME(7,39,0)+Sheet1!$E$3/24,1,0))</f>
        <v>0</v>
      </c>
      <c r="P166" s="46" t="str">
        <f ca="1">IF(AND(Sheet1!L166&lt;0, Sheet1!$C$21&gt;R166,OR(Sheet1!$C$21&lt;=R167,Sheet1!L167="")),   -1*Sheet1!L166,"")</f>
        <v/>
      </c>
    </row>
    <row r="167" spans="1:16" ht="15.75" x14ac:dyDescent="0.25">
      <c r="A167" s="456" t="str">
        <f>IF(AND(R167&lt;&gt;"",R166&lt;&gt;""),(-Sheet1!L167/Sheet1!L166)^(360/(R167-R166-1))-1,"")</f>
        <v/>
      </c>
      <c r="B167" s="41" t="str">
        <f ca="1">IF(AND(Sheet1!L167&lt;0, Sheet1!$C$21&gt;R167+1,OR(Sheet1!$C$21&lt;=R168,Sheet1!L168="")),   -1*Sheet1!L167,"")</f>
        <v/>
      </c>
      <c r="C167" s="42">
        <f ca="1">IF(Sheet3!$B$5="",0,    IF(E167&lt;1,0,  IF(B167="","",     IF(OR(Sheet3!$B$6=0,INDIRECT(ADDRESS(ROW(),Sheet3!$B$3+16))="" ),D167/E167,    IF(E167&lt;0,0,    IF(OR( INDIRECT(ADDRESS(8,Sheet3!$B$3+16))="",INDIRECT(ADDRESS(ROW(),Sheet3!$B$3+17))=""),        (INDIRECT(ADDRESS(ROW(),Sheet3!$B$3+16))+B167)*Sheet3!$Q$4,         INDIRECT(ADDRESS(ROW(),Sheet3!$B$3+17))-INDIRECT(ADDRESS(ROW(),Sheet3!$B$3+16))))))))</f>
        <v>0</v>
      </c>
      <c r="D167" s="39">
        <f ca="1">IF(Sheet3!$B$5="",0,IF(B167="","",IF(E167&lt;1,0,   IF(INDIRECT(ADDRESS(ROW(), Sheet3!$B$3+17))="",        INDIRECT(ADDRESS(ROW(), Sheet3!$B$3+16))*  (1+Sheet3!$Q$4)   +B167*Sheet3!$Q$4,       INDIRECT(ADDRESS(ROW(), Sheet3!$B$3+17))))))</f>
        <v>0</v>
      </c>
      <c r="E167" s="40">
        <f ca="1">IF(AND(Sheet1!L167&lt;0,  Sheet1!$C$21&gt;R167),    IF(OR(Sheet1!$C$21&lt;=R168,  Sheet1!L168=""),       IF(AND(MOD(NOW(),1)&lt;TIME(9,39,0),Sheet1!$C$22=TODAY()),    Sheet1!$C$21-R167,     Sheet1!$C$21-R167-1),               R168-R167-1),    0)</f>
        <v>0</v>
      </c>
      <c r="F167" s="30"/>
      <c r="G167" s="25" t="str">
        <f>IF(LEFT(Sheet1!K168,2)="0x",Sheet1!K167,IF(AND(Sheet1!L167="",Sheet1!L166=""),"",G166))</f>
        <v/>
      </c>
      <c r="H167" s="81"/>
      <c r="I167" s="43" t="str">
        <f t="shared" si="17"/>
        <v/>
      </c>
      <c r="J167" s="29" t="str">
        <f t="shared" si="16"/>
        <v/>
      </c>
      <c r="K167" s="24" t="str">
        <f>IF(Sheet1!L167="","",IF(Sheet1!L167&gt;0,ROW(),""))</f>
        <v/>
      </c>
      <c r="L167" s="24" t="str">
        <f t="shared" ca="1" si="14"/>
        <v/>
      </c>
      <c r="M167" s="47" t="str">
        <f t="shared" ca="1" si="15"/>
        <v/>
      </c>
      <c r="N167" s="48" t="str">
        <f>IF(LEFT(Sheet1!K167,2)="0x",Sheet1!K167,IF(AND(Sheet1!L167="",Sheet1!L166=""),"",N166))</f>
        <v/>
      </c>
      <c r="O167" s="46">
        <f>IF(Sheet1!L167="",0,IF(Sheet1!O167&lt;TIME(7,39,0)+Sheet1!$E$3/24,1,0))</f>
        <v>0</v>
      </c>
      <c r="P167" s="46" t="str">
        <f ca="1">IF(AND(Sheet1!L167&lt;0, Sheet1!$C$21&gt;R167,OR(Sheet1!$C$21&lt;=R168,Sheet1!L168="")),   -1*Sheet1!L167,"")</f>
        <v/>
      </c>
    </row>
    <row r="168" spans="1:16" ht="15.75" x14ac:dyDescent="0.25">
      <c r="A168" s="456" t="str">
        <f>IF(AND(R168&lt;&gt;"",R167&lt;&gt;""),(-Sheet1!L168/Sheet1!L167)^(360/(R168-R167-1))-1,"")</f>
        <v/>
      </c>
      <c r="B168" s="41" t="str">
        <f ca="1">IF(AND(Sheet1!L168&lt;0, Sheet1!$C$21&gt;R168+1,OR(Sheet1!$C$21&lt;=R169,Sheet1!L169="")),   -1*Sheet1!L168,"")</f>
        <v/>
      </c>
      <c r="C168" s="42">
        <f ca="1">IF(Sheet3!$B$5="",0,    IF(E168&lt;1,0,  IF(B168="","",     IF(OR(Sheet3!$B$6=0,INDIRECT(ADDRESS(ROW(),Sheet3!$B$3+16))="" ),D168/E168,    IF(E168&lt;0,0,    IF(OR( INDIRECT(ADDRESS(8,Sheet3!$B$3+16))="",INDIRECT(ADDRESS(ROW(),Sheet3!$B$3+17))=""),        (INDIRECT(ADDRESS(ROW(),Sheet3!$B$3+16))+B168)*Sheet3!$Q$4,         INDIRECT(ADDRESS(ROW(),Sheet3!$B$3+17))-INDIRECT(ADDRESS(ROW(),Sheet3!$B$3+16))))))))</f>
        <v>0</v>
      </c>
      <c r="D168" s="39">
        <f ca="1">IF(Sheet3!$B$5="",0,IF(B168="","",IF(E168&lt;1,0,   IF(INDIRECT(ADDRESS(ROW(), Sheet3!$B$3+17))="",        INDIRECT(ADDRESS(ROW(), Sheet3!$B$3+16))*  (1+Sheet3!$Q$4)   +B168*Sheet3!$Q$4,       INDIRECT(ADDRESS(ROW(), Sheet3!$B$3+17))))))</f>
        <v>0</v>
      </c>
      <c r="E168" s="40">
        <f ca="1">IF(AND(Sheet1!L168&lt;0,  Sheet1!$C$21&gt;R168),    IF(OR(Sheet1!$C$21&lt;=R169,  Sheet1!L169=""),       IF(AND(MOD(NOW(),1)&lt;TIME(9,39,0),Sheet1!$C$22=TODAY()),    Sheet1!$C$21-R168,     Sheet1!$C$21-R168-1),               R169-R168-1),    0)</f>
        <v>0</v>
      </c>
      <c r="F168" s="30"/>
      <c r="G168" s="25" t="str">
        <f>IF(LEFT(Sheet1!K169,2)="0x",Sheet1!K168,IF(AND(Sheet1!L168="",Sheet1!L167=""),"",G167))</f>
        <v/>
      </c>
      <c r="H168" s="81"/>
      <c r="I168" s="43" t="str">
        <f t="shared" si="17"/>
        <v/>
      </c>
      <c r="J168" s="29" t="str">
        <f t="shared" si="16"/>
        <v/>
      </c>
      <c r="K168" s="24" t="str">
        <f>IF(Sheet1!L168="","",IF(Sheet1!L168&gt;0,ROW(),""))</f>
        <v/>
      </c>
      <c r="L168" s="24" t="str">
        <f t="shared" ca="1" si="14"/>
        <v/>
      </c>
      <c r="M168" s="47" t="str">
        <f t="shared" ca="1" si="15"/>
        <v/>
      </c>
      <c r="N168" s="48" t="str">
        <f>IF(LEFT(Sheet1!K168,2)="0x",Sheet1!K168,IF(AND(Sheet1!L168="",Sheet1!L167=""),"",N167))</f>
        <v/>
      </c>
      <c r="O168" s="46">
        <f>IF(Sheet1!L168="",0,IF(Sheet1!O168&lt;TIME(7,39,0)+Sheet1!$E$3/24,1,0))</f>
        <v>0</v>
      </c>
      <c r="P168" s="46" t="str">
        <f ca="1">IF(AND(Sheet1!L168&lt;0, Sheet1!$C$21&gt;R168,OR(Sheet1!$C$21&lt;=R169,Sheet1!L169="")),   -1*Sheet1!L168,"")</f>
        <v/>
      </c>
    </row>
    <row r="169" spans="1:16" ht="15.75" x14ac:dyDescent="0.25">
      <c r="A169" s="456" t="str">
        <f>IF(AND(R169&lt;&gt;"",R168&lt;&gt;""),(-Sheet1!L169/Sheet1!L168)^(360/(R169-R168-1))-1,"")</f>
        <v/>
      </c>
      <c r="B169" s="41" t="str">
        <f ca="1">IF(AND(Sheet1!L169&lt;0, Sheet1!$C$21&gt;R169+1,OR(Sheet1!$C$21&lt;=R170,Sheet1!L170="")),   -1*Sheet1!L169,"")</f>
        <v/>
      </c>
      <c r="C169" s="42">
        <f ca="1">IF(Sheet3!$B$5="",0,    IF(E169&lt;1,0,  IF(B169="","",     IF(OR(Sheet3!$B$6=0,INDIRECT(ADDRESS(ROW(),Sheet3!$B$3+16))="" ),D169/E169,    IF(E169&lt;0,0,    IF(OR( INDIRECT(ADDRESS(8,Sheet3!$B$3+16))="",INDIRECT(ADDRESS(ROW(),Sheet3!$B$3+17))=""),        (INDIRECT(ADDRESS(ROW(),Sheet3!$B$3+16))+B169)*Sheet3!$Q$4,         INDIRECT(ADDRESS(ROW(),Sheet3!$B$3+17))-INDIRECT(ADDRESS(ROW(),Sheet3!$B$3+16))))))))</f>
        <v>0</v>
      </c>
      <c r="D169" s="39">
        <f ca="1">IF(Sheet3!$B$5="",0,IF(B169="","",IF(E169&lt;1,0,   IF(INDIRECT(ADDRESS(ROW(), Sheet3!$B$3+17))="",        INDIRECT(ADDRESS(ROW(), Sheet3!$B$3+16))*  (1+Sheet3!$Q$4)   +B169*Sheet3!$Q$4,       INDIRECT(ADDRESS(ROW(), Sheet3!$B$3+17))))))</f>
        <v>0</v>
      </c>
      <c r="E169" s="40">
        <f ca="1">IF(AND(Sheet1!L169&lt;0,  Sheet1!$C$21&gt;R169),    IF(OR(Sheet1!$C$21&lt;=R170,  Sheet1!L170=""),       IF(AND(MOD(NOW(),1)&lt;TIME(9,39,0),Sheet1!$C$22=TODAY()),    Sheet1!$C$21-R169,     Sheet1!$C$21-R169-1),               R170-R169-1),    0)</f>
        <v>0</v>
      </c>
      <c r="F169" s="30"/>
      <c r="G169" s="25" t="str">
        <f>IF(LEFT(Sheet1!K170,2)="0x",Sheet1!K169,IF(AND(Sheet1!L169="",Sheet1!L168=""),"",G168))</f>
        <v/>
      </c>
      <c r="H169" s="81"/>
      <c r="I169" s="43" t="str">
        <f t="shared" si="17"/>
        <v/>
      </c>
      <c r="J169" s="29" t="str">
        <f t="shared" si="16"/>
        <v/>
      </c>
      <c r="K169" s="24" t="str">
        <f>IF(Sheet1!L169="","",IF(Sheet1!L169&gt;0,ROW(),""))</f>
        <v/>
      </c>
      <c r="L169" s="24" t="str">
        <f t="shared" ca="1" si="14"/>
        <v/>
      </c>
      <c r="M169" s="47" t="str">
        <f t="shared" ca="1" si="15"/>
        <v/>
      </c>
      <c r="N169" s="48" t="str">
        <f>IF(LEFT(Sheet1!K169,2)="0x",Sheet1!K169,IF(AND(Sheet1!L169="",Sheet1!L168=""),"",N168))</f>
        <v/>
      </c>
      <c r="O169" s="46">
        <f>IF(Sheet1!L169="",0,IF(Sheet1!O169&lt;TIME(7,39,0)+Sheet1!$E$3/24,1,0))</f>
        <v>0</v>
      </c>
      <c r="P169" s="46" t="str">
        <f ca="1">IF(AND(Sheet1!L169&lt;0, Sheet1!$C$21&gt;R169,OR(Sheet1!$C$21&lt;=R170,Sheet1!L170="")),   -1*Sheet1!L169,"")</f>
        <v/>
      </c>
    </row>
    <row r="170" spans="1:16" ht="15.75" x14ac:dyDescent="0.25">
      <c r="A170" s="456" t="str">
        <f>IF(AND(R170&lt;&gt;"",R169&lt;&gt;""),(-Sheet1!L170/Sheet1!L169)^(360/(R170-R169-1))-1,"")</f>
        <v/>
      </c>
      <c r="B170" s="41" t="str">
        <f ca="1">IF(AND(Sheet1!L170&lt;0, Sheet1!$C$21&gt;R170+1,OR(Sheet1!$C$21&lt;=R171,Sheet1!L171="")),   -1*Sheet1!L170,"")</f>
        <v/>
      </c>
      <c r="C170" s="42">
        <f ca="1">IF(Sheet3!$B$5="",0,    IF(E170&lt;1,0,  IF(B170="","",     IF(OR(Sheet3!$B$6=0,INDIRECT(ADDRESS(ROW(),Sheet3!$B$3+16))="" ),D170/E170,    IF(E170&lt;0,0,    IF(OR( INDIRECT(ADDRESS(8,Sheet3!$B$3+16))="",INDIRECT(ADDRESS(ROW(),Sheet3!$B$3+17))=""),        (INDIRECT(ADDRESS(ROW(),Sheet3!$B$3+16))+B170)*Sheet3!$Q$4,         INDIRECT(ADDRESS(ROW(),Sheet3!$B$3+17))-INDIRECT(ADDRESS(ROW(),Sheet3!$B$3+16))))))))</f>
        <v>0</v>
      </c>
      <c r="D170" s="39">
        <f ca="1">IF(Sheet3!$B$5="",0,IF(B170="","",IF(E170&lt;1,0,   IF(INDIRECT(ADDRESS(ROW(), Sheet3!$B$3+17))="",        INDIRECT(ADDRESS(ROW(), Sheet3!$B$3+16))*  (1+Sheet3!$Q$4)   +B170*Sheet3!$Q$4,       INDIRECT(ADDRESS(ROW(), Sheet3!$B$3+17))))))</f>
        <v>0</v>
      </c>
      <c r="E170" s="40">
        <f ca="1">IF(AND(Sheet1!L170&lt;0,  Sheet1!$C$21&gt;R170),    IF(OR(Sheet1!$C$21&lt;=R171,  Sheet1!L171=""),       IF(AND(MOD(NOW(),1)&lt;TIME(9,39,0),Sheet1!$C$22=TODAY()),    Sheet1!$C$21-R170,     Sheet1!$C$21-R170-1),               R171-R170-1),    0)</f>
        <v>0</v>
      </c>
      <c r="F170" s="30"/>
      <c r="G170" s="25" t="str">
        <f>IF(LEFT(Sheet1!K171,2)="0x",Sheet1!K170,IF(AND(Sheet1!L170="",Sheet1!L169=""),"",G169))</f>
        <v/>
      </c>
      <c r="H170" s="81"/>
      <c r="I170" s="43" t="str">
        <f t="shared" si="17"/>
        <v/>
      </c>
      <c r="J170" s="29" t="str">
        <f t="shared" si="16"/>
        <v/>
      </c>
      <c r="K170" s="24" t="str">
        <f>IF(Sheet1!L170="","",IF(Sheet1!L170&gt;0,ROW(),""))</f>
        <v/>
      </c>
      <c r="L170" s="24" t="str">
        <f t="shared" ca="1" si="14"/>
        <v/>
      </c>
      <c r="M170" s="47" t="str">
        <f t="shared" ca="1" si="15"/>
        <v/>
      </c>
      <c r="N170" s="48" t="str">
        <f>IF(LEFT(Sheet1!K170,2)="0x",Sheet1!K170,IF(AND(Sheet1!L170="",Sheet1!L169=""),"",N169))</f>
        <v/>
      </c>
      <c r="O170" s="46">
        <f>IF(Sheet1!L170="",0,IF(Sheet1!O170&lt;TIME(7,39,0)+Sheet1!$E$3/24,1,0))</f>
        <v>0</v>
      </c>
      <c r="P170" s="46" t="str">
        <f ca="1">IF(AND(Sheet1!L170&lt;0, Sheet1!$C$21&gt;R170,OR(Sheet1!$C$21&lt;=R171,Sheet1!L171="")),   -1*Sheet1!L170,"")</f>
        <v/>
      </c>
    </row>
    <row r="171" spans="1:16" ht="15.75" x14ac:dyDescent="0.25">
      <c r="A171" s="456" t="str">
        <f>IF(AND(R171&lt;&gt;"",R170&lt;&gt;""),(-Sheet1!L171/Sheet1!L170)^(360/(R171-R170-1))-1,"")</f>
        <v/>
      </c>
      <c r="B171" s="41" t="str">
        <f ca="1">IF(AND(Sheet1!L171&lt;0, Sheet1!$C$21&gt;R171+1,OR(Sheet1!$C$21&lt;=R172,Sheet1!L172="")),   -1*Sheet1!L171,"")</f>
        <v/>
      </c>
      <c r="C171" s="42">
        <f ca="1">IF(Sheet3!$B$5="",0,    IF(E171&lt;1,0,  IF(B171="","",     IF(OR(Sheet3!$B$6=0,INDIRECT(ADDRESS(ROW(),Sheet3!$B$3+16))="" ),D171/E171,    IF(E171&lt;0,0,    IF(OR( INDIRECT(ADDRESS(8,Sheet3!$B$3+16))="",INDIRECT(ADDRESS(ROW(),Sheet3!$B$3+17))=""),        (INDIRECT(ADDRESS(ROW(),Sheet3!$B$3+16))+B171)*Sheet3!$Q$4,         INDIRECT(ADDRESS(ROW(),Sheet3!$B$3+17))-INDIRECT(ADDRESS(ROW(),Sheet3!$B$3+16))))))))</f>
        <v>0</v>
      </c>
      <c r="D171" s="39">
        <f ca="1">IF(Sheet3!$B$5="",0,IF(B171="","",IF(E171&lt;1,0,   IF(INDIRECT(ADDRESS(ROW(), Sheet3!$B$3+17))="",        INDIRECT(ADDRESS(ROW(), Sheet3!$B$3+16))*  (1+Sheet3!$Q$4)   +B171*Sheet3!$Q$4,       INDIRECT(ADDRESS(ROW(), Sheet3!$B$3+17))))))</f>
        <v>0</v>
      </c>
      <c r="E171" s="40">
        <f ca="1">IF(AND(Sheet1!L171&lt;0,  Sheet1!$C$21&gt;R171),    IF(OR(Sheet1!$C$21&lt;=R172,  Sheet1!L172=""),       IF(AND(MOD(NOW(),1)&lt;TIME(9,39,0),Sheet1!$C$22=TODAY()),    Sheet1!$C$21-R171,     Sheet1!$C$21-R171-1),               R172-R171-1),    0)</f>
        <v>0</v>
      </c>
      <c r="F171" s="30"/>
      <c r="G171" s="25" t="str">
        <f>IF(LEFT(Sheet1!K172,2)="0x",Sheet1!K171,IF(AND(Sheet1!L171="",Sheet1!L170=""),"",G170))</f>
        <v/>
      </c>
      <c r="H171" s="81"/>
      <c r="I171" s="43" t="str">
        <f t="shared" si="17"/>
        <v/>
      </c>
      <c r="J171" s="29" t="str">
        <f t="shared" si="16"/>
        <v/>
      </c>
      <c r="K171" s="24" t="str">
        <f>IF(Sheet1!L171="","",IF(Sheet1!L171&gt;0,ROW(),""))</f>
        <v/>
      </c>
      <c r="L171" s="24" t="str">
        <f t="shared" ca="1" si="14"/>
        <v/>
      </c>
      <c r="M171" s="47" t="str">
        <f t="shared" ca="1" si="15"/>
        <v/>
      </c>
      <c r="N171" s="48" t="str">
        <f>IF(LEFT(Sheet1!K171,2)="0x",Sheet1!K171,IF(AND(Sheet1!L171="",Sheet1!L170=""),"",N170))</f>
        <v/>
      </c>
      <c r="O171" s="46">
        <f>IF(Sheet1!L171="",0,IF(Sheet1!O171&lt;TIME(7,39,0)+Sheet1!$E$3/24,1,0))</f>
        <v>0</v>
      </c>
      <c r="P171" s="46" t="str">
        <f ca="1">IF(AND(Sheet1!L171&lt;0, Sheet1!$C$21&gt;R171,OR(Sheet1!$C$21&lt;=R172,Sheet1!L172="")),   -1*Sheet1!L171,"")</f>
        <v/>
      </c>
    </row>
    <row r="172" spans="1:16" ht="15.75" x14ac:dyDescent="0.25">
      <c r="A172" s="456" t="str">
        <f>IF(AND(R172&lt;&gt;"",R171&lt;&gt;""),(-Sheet1!L172/Sheet1!L171)^(360/(R172-R171-1))-1,"")</f>
        <v/>
      </c>
      <c r="B172" s="41" t="str">
        <f ca="1">IF(AND(Sheet1!L172&lt;0, Sheet1!$C$21&gt;R172+1,OR(Sheet1!$C$21&lt;=R173,Sheet1!L173="")),   -1*Sheet1!L172,"")</f>
        <v/>
      </c>
      <c r="C172" s="42">
        <f ca="1">IF(Sheet3!$B$5="",0,    IF(E172&lt;1,0,  IF(B172="","",     IF(OR(Sheet3!$B$6=0,INDIRECT(ADDRESS(ROW(),Sheet3!$B$3+16))="" ),D172/E172,    IF(E172&lt;0,0,    IF(OR( INDIRECT(ADDRESS(8,Sheet3!$B$3+16))="",INDIRECT(ADDRESS(ROW(),Sheet3!$B$3+17))=""),        (INDIRECT(ADDRESS(ROW(),Sheet3!$B$3+16))+B172)*Sheet3!$Q$4,         INDIRECT(ADDRESS(ROW(),Sheet3!$B$3+17))-INDIRECT(ADDRESS(ROW(),Sheet3!$B$3+16))))))))</f>
        <v>0</v>
      </c>
      <c r="D172" s="39">
        <f ca="1">IF(Sheet3!$B$5="",0,IF(B172="","",IF(E172&lt;1,0,   IF(INDIRECT(ADDRESS(ROW(), Sheet3!$B$3+17))="",        INDIRECT(ADDRESS(ROW(), Sheet3!$B$3+16))*  (1+Sheet3!$Q$4)   +B172*Sheet3!$Q$4,       INDIRECT(ADDRESS(ROW(), Sheet3!$B$3+17))))))</f>
        <v>0</v>
      </c>
      <c r="E172" s="40">
        <f ca="1">IF(AND(Sheet1!L172&lt;0,  Sheet1!$C$21&gt;R172),    IF(OR(Sheet1!$C$21&lt;=R173,  Sheet1!L173=""),       IF(AND(MOD(NOW(),1)&lt;TIME(9,39,0),Sheet1!$C$22=TODAY()),    Sheet1!$C$21-R172,     Sheet1!$C$21-R172-1),               R173-R172-1),    0)</f>
        <v>0</v>
      </c>
      <c r="F172" s="30"/>
      <c r="G172" s="25" t="str">
        <f>IF(LEFT(Sheet1!K173,2)="0x",Sheet1!K172,IF(AND(Sheet1!L172="",Sheet1!L171=""),"",G171))</f>
        <v/>
      </c>
      <c r="H172" s="81"/>
      <c r="I172" s="43" t="str">
        <f t="shared" si="17"/>
        <v/>
      </c>
      <c r="J172" s="29" t="str">
        <f t="shared" si="16"/>
        <v/>
      </c>
      <c r="K172" s="24" t="str">
        <f>IF(Sheet1!L172="","",IF(Sheet1!L172&gt;0,ROW(),""))</f>
        <v/>
      </c>
      <c r="L172" s="24" t="str">
        <f t="shared" ca="1" si="14"/>
        <v/>
      </c>
      <c r="M172" s="47" t="str">
        <f t="shared" ca="1" si="15"/>
        <v/>
      </c>
      <c r="N172" s="48" t="str">
        <f>IF(LEFT(Sheet1!K172,2)="0x",Sheet1!K172,IF(AND(Sheet1!L172="",Sheet1!L171=""),"",N171))</f>
        <v/>
      </c>
      <c r="O172" s="46">
        <f>IF(Sheet1!L172="",0,IF(Sheet1!O172&lt;TIME(7,39,0)+Sheet1!$E$3/24,1,0))</f>
        <v>0</v>
      </c>
      <c r="P172" s="46" t="str">
        <f ca="1">IF(AND(Sheet1!L172&lt;0, Sheet1!$C$21&gt;R172,OR(Sheet1!$C$21&lt;=R173,Sheet1!L173="")),   -1*Sheet1!L172,"")</f>
        <v/>
      </c>
    </row>
    <row r="173" spans="1:16" ht="15.75" x14ac:dyDescent="0.25">
      <c r="A173" s="456" t="str">
        <f>IF(AND(R173&lt;&gt;"",R172&lt;&gt;""),(-Sheet1!L173/Sheet1!L172)^(360/(R173-R172-1))-1,"")</f>
        <v/>
      </c>
      <c r="B173" s="41" t="str">
        <f ca="1">IF(AND(Sheet1!L173&lt;0, Sheet1!$C$21&gt;R173+1,OR(Sheet1!$C$21&lt;=R174,Sheet1!L174="")),   -1*Sheet1!L173,"")</f>
        <v/>
      </c>
      <c r="C173" s="42">
        <f ca="1">IF(Sheet3!$B$5="",0,    IF(E173&lt;1,0,  IF(B173="","",     IF(OR(Sheet3!$B$6=0,INDIRECT(ADDRESS(ROW(),Sheet3!$B$3+16))="" ),D173/E173,    IF(E173&lt;0,0,    IF(OR( INDIRECT(ADDRESS(8,Sheet3!$B$3+16))="",INDIRECT(ADDRESS(ROW(),Sheet3!$B$3+17))=""),        (INDIRECT(ADDRESS(ROW(),Sheet3!$B$3+16))+B173)*Sheet3!$Q$4,         INDIRECT(ADDRESS(ROW(),Sheet3!$B$3+17))-INDIRECT(ADDRESS(ROW(),Sheet3!$B$3+16))))))))</f>
        <v>0</v>
      </c>
      <c r="D173" s="39">
        <f ca="1">IF(Sheet3!$B$5="",0,IF(B173="","",IF(E173&lt;1,0,   IF(INDIRECT(ADDRESS(ROW(), Sheet3!$B$3+17))="",        INDIRECT(ADDRESS(ROW(), Sheet3!$B$3+16))*  (1+Sheet3!$Q$4)   +B173*Sheet3!$Q$4,       INDIRECT(ADDRESS(ROW(), Sheet3!$B$3+17))))))</f>
        <v>0</v>
      </c>
      <c r="E173" s="40">
        <f ca="1">IF(AND(Sheet1!L173&lt;0,  Sheet1!$C$21&gt;R173),    IF(OR(Sheet1!$C$21&lt;=R174,  Sheet1!L174=""),       IF(AND(MOD(NOW(),1)&lt;TIME(9,39,0),Sheet1!$C$22=TODAY()),    Sheet1!$C$21-R173,     Sheet1!$C$21-R173-1),               R174-R173-1),    0)</f>
        <v>0</v>
      </c>
      <c r="F173" s="30"/>
      <c r="G173" s="25" t="str">
        <f>IF(LEFT(Sheet1!K174,2)="0x",Sheet1!K173,IF(AND(Sheet1!L173="",Sheet1!L172=""),"",G172))</f>
        <v/>
      </c>
      <c r="H173" s="81"/>
      <c r="I173" s="43" t="str">
        <f t="shared" si="17"/>
        <v/>
      </c>
      <c r="J173" s="29" t="str">
        <f t="shared" si="16"/>
        <v/>
      </c>
      <c r="K173" s="24" t="str">
        <f>IF(Sheet1!L173="","",IF(Sheet1!L173&gt;0,ROW(),""))</f>
        <v/>
      </c>
      <c r="L173" s="24" t="str">
        <f t="shared" ca="1" si="14"/>
        <v/>
      </c>
      <c r="M173" s="47" t="str">
        <f t="shared" ca="1" si="15"/>
        <v/>
      </c>
      <c r="N173" s="48" t="str">
        <f>IF(LEFT(Sheet1!K173,2)="0x",Sheet1!K173,IF(AND(Sheet1!L173="",Sheet1!L172=""),"",N172))</f>
        <v/>
      </c>
      <c r="O173" s="46">
        <f>IF(Sheet1!L173="",0,IF(Sheet1!O173&lt;TIME(7,39,0)+Sheet1!$E$3/24,1,0))</f>
        <v>0</v>
      </c>
      <c r="P173" s="46" t="str">
        <f ca="1">IF(AND(Sheet1!L173&lt;0, Sheet1!$C$21&gt;R173,OR(Sheet1!$C$21&lt;=R174,Sheet1!L174="")),   -1*Sheet1!L173,"")</f>
        <v/>
      </c>
    </row>
    <row r="174" spans="1:16" ht="15.75" x14ac:dyDescent="0.25">
      <c r="A174" s="456" t="str">
        <f>IF(AND(R174&lt;&gt;"",R173&lt;&gt;""),(-Sheet1!L174/Sheet1!L173)^(360/(R174-R173-1))-1,"")</f>
        <v/>
      </c>
      <c r="B174" s="41" t="str">
        <f ca="1">IF(AND(Sheet1!L174&lt;0, Sheet1!$C$21&gt;R174+1,OR(Sheet1!$C$21&lt;=R175,Sheet1!L175="")),   -1*Sheet1!L174,"")</f>
        <v/>
      </c>
      <c r="C174" s="42">
        <f ca="1">IF(Sheet3!$B$5="",0,    IF(E174&lt;1,0,  IF(B174="","",     IF(OR(Sheet3!$B$6=0,INDIRECT(ADDRESS(ROW(),Sheet3!$B$3+16))="" ),D174/E174,    IF(E174&lt;0,0,    IF(OR( INDIRECT(ADDRESS(8,Sheet3!$B$3+16))="",INDIRECT(ADDRESS(ROW(),Sheet3!$B$3+17))=""),        (INDIRECT(ADDRESS(ROW(),Sheet3!$B$3+16))+B174)*Sheet3!$Q$4,         INDIRECT(ADDRESS(ROW(),Sheet3!$B$3+17))-INDIRECT(ADDRESS(ROW(),Sheet3!$B$3+16))))))))</f>
        <v>0</v>
      </c>
      <c r="D174" s="39">
        <f ca="1">IF(Sheet3!$B$5="",0,IF(B174="","",IF(E174&lt;1,0,   IF(INDIRECT(ADDRESS(ROW(), Sheet3!$B$3+17))="",        INDIRECT(ADDRESS(ROW(), Sheet3!$B$3+16))*  (1+Sheet3!$Q$4)   +B174*Sheet3!$Q$4,       INDIRECT(ADDRESS(ROW(), Sheet3!$B$3+17))))))</f>
        <v>0</v>
      </c>
      <c r="E174" s="40">
        <f ca="1">IF(AND(Sheet1!L174&lt;0,  Sheet1!$C$21&gt;R174),    IF(OR(Sheet1!$C$21&lt;=R175,  Sheet1!L175=""),       IF(AND(MOD(NOW(),1)&lt;TIME(9,39,0),Sheet1!$C$22=TODAY()),    Sheet1!$C$21-R174,     Sheet1!$C$21-R174-1),               R175-R174-1),    0)</f>
        <v>0</v>
      </c>
      <c r="F174" s="30"/>
      <c r="G174" s="25" t="str">
        <f>IF(LEFT(Sheet1!K175,2)="0x",Sheet1!K174,IF(AND(Sheet1!L174="",Sheet1!L173=""),"",G173))</f>
        <v/>
      </c>
      <c r="H174" s="81"/>
      <c r="I174" s="43" t="str">
        <f t="shared" si="17"/>
        <v/>
      </c>
      <c r="J174" s="29" t="str">
        <f t="shared" si="16"/>
        <v/>
      </c>
      <c r="K174" s="24" t="str">
        <f>IF(Sheet1!L174="","",IF(Sheet1!L174&gt;0,ROW(),""))</f>
        <v/>
      </c>
      <c r="L174" s="24" t="str">
        <f t="shared" ca="1" si="14"/>
        <v/>
      </c>
      <c r="M174" s="47" t="str">
        <f t="shared" ca="1" si="15"/>
        <v/>
      </c>
      <c r="N174" s="48" t="str">
        <f>IF(LEFT(Sheet1!K174,2)="0x",Sheet1!K174,IF(AND(Sheet1!L174="",Sheet1!L173=""),"",N173))</f>
        <v/>
      </c>
      <c r="O174" s="46">
        <f>IF(Sheet1!L174="",0,IF(Sheet1!O174&lt;TIME(7,39,0)+Sheet1!$E$3/24,1,0))</f>
        <v>0</v>
      </c>
      <c r="P174" s="46" t="str">
        <f ca="1">IF(AND(Sheet1!L174&lt;0, Sheet1!$C$21&gt;R174,OR(Sheet1!$C$21&lt;=R175,Sheet1!L175="")),   -1*Sheet1!L174,"")</f>
        <v/>
      </c>
    </row>
    <row r="175" spans="1:16" ht="15.75" x14ac:dyDescent="0.25">
      <c r="A175" s="456" t="str">
        <f>IF(AND(R175&lt;&gt;"",R174&lt;&gt;""),(-Sheet1!L175/Sheet1!L174)^(360/(R175-R174-1))-1,"")</f>
        <v/>
      </c>
      <c r="B175" s="41" t="str">
        <f ca="1">IF(AND(Sheet1!L175&lt;0, Sheet1!$C$21&gt;R175+1,OR(Sheet1!$C$21&lt;=R176,Sheet1!L176="")),   -1*Sheet1!L175,"")</f>
        <v/>
      </c>
      <c r="C175" s="42">
        <f ca="1">IF(Sheet3!$B$5="",0,    IF(E175&lt;1,0,  IF(B175="","",     IF(OR(Sheet3!$B$6=0,INDIRECT(ADDRESS(ROW(),Sheet3!$B$3+16))="" ),D175/E175,    IF(E175&lt;0,0,    IF(OR( INDIRECT(ADDRESS(8,Sheet3!$B$3+16))="",INDIRECT(ADDRESS(ROW(),Sheet3!$B$3+17))=""),        (INDIRECT(ADDRESS(ROW(),Sheet3!$B$3+16))+B175)*Sheet3!$Q$4,         INDIRECT(ADDRESS(ROW(),Sheet3!$B$3+17))-INDIRECT(ADDRESS(ROW(),Sheet3!$B$3+16))))))))</f>
        <v>0</v>
      </c>
      <c r="D175" s="39">
        <f ca="1">IF(Sheet3!$B$5="",0,IF(B175="","",IF(E175&lt;1,0,   IF(INDIRECT(ADDRESS(ROW(), Sheet3!$B$3+17))="",        INDIRECT(ADDRESS(ROW(), Sheet3!$B$3+16))*  (1+Sheet3!$Q$4)   +B175*Sheet3!$Q$4,       INDIRECT(ADDRESS(ROW(), Sheet3!$B$3+17))))))</f>
        <v>0</v>
      </c>
      <c r="E175" s="40">
        <f ca="1">IF(AND(Sheet1!L175&lt;0,  Sheet1!$C$21&gt;R175),    IF(OR(Sheet1!$C$21&lt;=R176,  Sheet1!L176=""),       IF(AND(MOD(NOW(),1)&lt;TIME(9,39,0),Sheet1!$C$22=TODAY()),    Sheet1!$C$21-R175,     Sheet1!$C$21-R175-1),               R176-R175-1),    0)</f>
        <v>0</v>
      </c>
      <c r="F175" s="30"/>
      <c r="G175" s="25" t="str">
        <f>IF(LEFT(Sheet1!K176,2)="0x",Sheet1!K175,IF(AND(Sheet1!L175="",Sheet1!L174=""),"",G174))</f>
        <v/>
      </c>
      <c r="H175" s="81"/>
      <c r="I175" s="43" t="str">
        <f t="shared" si="17"/>
        <v/>
      </c>
      <c r="J175" s="29" t="str">
        <f t="shared" si="16"/>
        <v/>
      </c>
      <c r="K175" s="24" t="str">
        <f>IF(Sheet1!L175="","",IF(Sheet1!L175&gt;0,ROW(),""))</f>
        <v/>
      </c>
      <c r="L175" s="24" t="str">
        <f t="shared" ca="1" si="14"/>
        <v/>
      </c>
      <c r="M175" s="47" t="str">
        <f t="shared" ca="1" si="15"/>
        <v/>
      </c>
      <c r="N175" s="48" t="str">
        <f>IF(LEFT(Sheet1!K175,2)="0x",Sheet1!K175,IF(AND(Sheet1!L175="",Sheet1!L174=""),"",N174))</f>
        <v/>
      </c>
      <c r="O175" s="46">
        <f>IF(Sheet1!L175="",0,IF(Sheet1!O175&lt;TIME(7,39,0)+Sheet1!$E$3/24,1,0))</f>
        <v>0</v>
      </c>
      <c r="P175" s="46" t="str">
        <f ca="1">IF(AND(Sheet1!L175&lt;0, Sheet1!$C$21&gt;R175,OR(Sheet1!$C$21&lt;=R176,Sheet1!L176="")),   -1*Sheet1!L175,"")</f>
        <v/>
      </c>
    </row>
    <row r="176" spans="1:16" ht="15.75" x14ac:dyDescent="0.25">
      <c r="A176" s="456" t="str">
        <f>IF(AND(R176&lt;&gt;"",R175&lt;&gt;""),(-Sheet1!L176/Sheet1!L175)^(360/(R176-R175-1))-1,"")</f>
        <v/>
      </c>
      <c r="B176" s="41" t="str">
        <f ca="1">IF(AND(Sheet1!L176&lt;0, Sheet1!$C$21&gt;R176+1,OR(Sheet1!$C$21&lt;=R177,Sheet1!L177="")),   -1*Sheet1!L176,"")</f>
        <v/>
      </c>
      <c r="C176" s="42">
        <f ca="1">IF(Sheet3!$B$5="",0,    IF(E176&lt;1,0,  IF(B176="","",     IF(OR(Sheet3!$B$6=0,INDIRECT(ADDRESS(ROW(),Sheet3!$B$3+16))="" ),D176/E176,    IF(E176&lt;0,0,    IF(OR( INDIRECT(ADDRESS(8,Sheet3!$B$3+16))="",INDIRECT(ADDRESS(ROW(),Sheet3!$B$3+17))=""),        (INDIRECT(ADDRESS(ROW(),Sheet3!$B$3+16))+B176)*Sheet3!$Q$4,         INDIRECT(ADDRESS(ROW(),Sheet3!$B$3+17))-INDIRECT(ADDRESS(ROW(),Sheet3!$B$3+16))))))))</f>
        <v>0</v>
      </c>
      <c r="D176" s="39">
        <f ca="1">IF(Sheet3!$B$5="",0,IF(B176="","",IF(E176&lt;1,0,   IF(INDIRECT(ADDRESS(ROW(), Sheet3!$B$3+17))="",        INDIRECT(ADDRESS(ROW(), Sheet3!$B$3+16))*  (1+Sheet3!$Q$4)   +B176*Sheet3!$Q$4,       INDIRECT(ADDRESS(ROW(), Sheet3!$B$3+17))))))</f>
        <v>0</v>
      </c>
      <c r="E176" s="40">
        <f ca="1">IF(AND(Sheet1!L176&lt;0,  Sheet1!$C$21&gt;R176),    IF(OR(Sheet1!$C$21&lt;=R177,  Sheet1!L177=""),       IF(AND(MOD(NOW(),1)&lt;TIME(9,39,0),Sheet1!$C$22=TODAY()),    Sheet1!$C$21-R176,     Sheet1!$C$21-R176-1),               R177-R176-1),    0)</f>
        <v>0</v>
      </c>
      <c r="F176" s="30"/>
      <c r="G176" s="25" t="str">
        <f>IF(LEFT(Sheet1!K177,2)="0x",Sheet1!K176,IF(AND(Sheet1!L176="",Sheet1!L175=""),"",G175))</f>
        <v/>
      </c>
      <c r="H176" s="81"/>
      <c r="I176" s="43" t="str">
        <f t="shared" si="17"/>
        <v/>
      </c>
      <c r="J176" s="29" t="str">
        <f t="shared" si="16"/>
        <v/>
      </c>
      <c r="K176" s="24" t="str">
        <f>IF(Sheet1!L176="","",IF(Sheet1!L176&gt;0,ROW(),""))</f>
        <v/>
      </c>
      <c r="L176" s="24" t="str">
        <f t="shared" ca="1" si="14"/>
        <v/>
      </c>
      <c r="M176" s="47" t="str">
        <f t="shared" ca="1" si="15"/>
        <v/>
      </c>
      <c r="N176" s="48" t="str">
        <f>IF(LEFT(Sheet1!K176,2)="0x",Sheet1!K176,IF(AND(Sheet1!L176="",Sheet1!L175=""),"",N175))</f>
        <v/>
      </c>
      <c r="O176" s="46">
        <f>IF(Sheet1!L176="",0,IF(Sheet1!O176&lt;TIME(7,39,0)+Sheet1!$E$3/24,1,0))</f>
        <v>0</v>
      </c>
      <c r="P176" s="46" t="str">
        <f ca="1">IF(AND(Sheet1!L176&lt;0, Sheet1!$C$21&gt;R176,OR(Sheet1!$C$21&lt;=R177,Sheet1!L177="")),   -1*Sheet1!L176,"")</f>
        <v/>
      </c>
    </row>
    <row r="177" spans="1:16" ht="15.75" x14ac:dyDescent="0.25">
      <c r="A177" s="456" t="str">
        <f>IF(AND(R177&lt;&gt;"",R176&lt;&gt;""),(-Sheet1!L177/Sheet1!L176)^(360/(R177-R176-1))-1,"")</f>
        <v/>
      </c>
      <c r="B177" s="41" t="str">
        <f ca="1">IF(AND(Sheet1!L177&lt;0, Sheet1!$C$21&gt;R177+1,OR(Sheet1!$C$21&lt;=R178,Sheet1!L178="")),   -1*Sheet1!L177,"")</f>
        <v/>
      </c>
      <c r="C177" s="42">
        <f ca="1">IF(Sheet3!$B$5="",0,    IF(E177&lt;1,0,  IF(B177="","",     IF(OR(Sheet3!$B$6=0,INDIRECT(ADDRESS(ROW(),Sheet3!$B$3+16))="" ),D177/E177,    IF(E177&lt;0,0,    IF(OR( INDIRECT(ADDRESS(8,Sheet3!$B$3+16))="",INDIRECT(ADDRESS(ROW(),Sheet3!$B$3+17))=""),        (INDIRECT(ADDRESS(ROW(),Sheet3!$B$3+16))+B177)*Sheet3!$Q$4,         INDIRECT(ADDRESS(ROW(),Sheet3!$B$3+17))-INDIRECT(ADDRESS(ROW(),Sheet3!$B$3+16))))))))</f>
        <v>0</v>
      </c>
      <c r="D177" s="39">
        <f ca="1">IF(Sheet3!$B$5="",0,IF(B177="","",IF(E177&lt;1,0,   IF(INDIRECT(ADDRESS(ROW(), Sheet3!$B$3+17))="",        INDIRECT(ADDRESS(ROW(), Sheet3!$B$3+16))*  (1+Sheet3!$Q$4)   +B177*Sheet3!$Q$4,       INDIRECT(ADDRESS(ROW(), Sheet3!$B$3+17))))))</f>
        <v>0</v>
      </c>
      <c r="E177" s="40">
        <f ca="1">IF(AND(Sheet1!L177&lt;0,  Sheet1!$C$21&gt;R177),    IF(OR(Sheet1!$C$21&lt;=R178,  Sheet1!L178=""),       IF(AND(MOD(NOW(),1)&lt;TIME(9,39,0),Sheet1!$C$22=TODAY()),    Sheet1!$C$21-R177,     Sheet1!$C$21-R177-1),               R178-R177-1),    0)</f>
        <v>0</v>
      </c>
      <c r="F177" s="30"/>
      <c r="G177" s="25" t="str">
        <f>IF(LEFT(Sheet1!K178,2)="0x",Sheet1!K177,IF(AND(Sheet1!L177="",Sheet1!L176=""),"",G176))</f>
        <v/>
      </c>
      <c r="H177" s="81"/>
      <c r="I177" s="43" t="str">
        <f t="shared" si="17"/>
        <v/>
      </c>
      <c r="J177" s="29" t="str">
        <f t="shared" si="16"/>
        <v/>
      </c>
      <c r="K177" s="24" t="str">
        <f>IF(Sheet1!L177="","",IF(Sheet1!L177&gt;0,ROW(),""))</f>
        <v/>
      </c>
      <c r="L177" s="24" t="str">
        <f t="shared" ca="1" si="14"/>
        <v/>
      </c>
      <c r="M177" s="47" t="str">
        <f t="shared" ca="1" si="15"/>
        <v/>
      </c>
      <c r="N177" s="48" t="str">
        <f>IF(LEFT(Sheet1!K177,2)="0x",Sheet1!K177,IF(AND(Sheet1!L177="",Sheet1!L176=""),"",N176))</f>
        <v/>
      </c>
      <c r="O177" s="46">
        <f>IF(Sheet1!L177="",0,IF(Sheet1!O177&lt;TIME(7,39,0)+Sheet1!$E$3/24,1,0))</f>
        <v>0</v>
      </c>
      <c r="P177" s="46" t="str">
        <f ca="1">IF(AND(Sheet1!L177&lt;0, Sheet1!$C$21&gt;R177,OR(Sheet1!$C$21&lt;=R178,Sheet1!L178="")),   -1*Sheet1!L177,"")</f>
        <v/>
      </c>
    </row>
    <row r="178" spans="1:16" ht="15.75" x14ac:dyDescent="0.25">
      <c r="A178" s="456" t="str">
        <f>IF(AND(R178&lt;&gt;"",R177&lt;&gt;""),(-Sheet1!L178/Sheet1!L177)^(360/(R178-R177-1))-1,"")</f>
        <v/>
      </c>
      <c r="B178" s="41" t="str">
        <f ca="1">IF(AND(Sheet1!L178&lt;0, Sheet1!$C$21&gt;R178+1,OR(Sheet1!$C$21&lt;=R179,Sheet1!L179="")),   -1*Sheet1!L178,"")</f>
        <v/>
      </c>
      <c r="C178" s="42">
        <f ca="1">IF(Sheet3!$B$5="",0,    IF(E178&lt;1,0,  IF(B178="","",     IF(OR(Sheet3!$B$6=0,INDIRECT(ADDRESS(ROW(),Sheet3!$B$3+16))="" ),D178/E178,    IF(E178&lt;0,0,    IF(OR( INDIRECT(ADDRESS(8,Sheet3!$B$3+16))="",INDIRECT(ADDRESS(ROW(),Sheet3!$B$3+17))=""),        (INDIRECT(ADDRESS(ROW(),Sheet3!$B$3+16))+B178)*Sheet3!$Q$4,         INDIRECT(ADDRESS(ROW(),Sheet3!$B$3+17))-INDIRECT(ADDRESS(ROW(),Sheet3!$B$3+16))))))))</f>
        <v>0</v>
      </c>
      <c r="D178" s="39">
        <f ca="1">IF(Sheet3!$B$5="",0,IF(B178="","",IF(E178&lt;1,0,   IF(INDIRECT(ADDRESS(ROW(), Sheet3!$B$3+17))="",        INDIRECT(ADDRESS(ROW(), Sheet3!$B$3+16))*  (1+Sheet3!$Q$4)   +B178*Sheet3!$Q$4,       INDIRECT(ADDRESS(ROW(), Sheet3!$B$3+17))))))</f>
        <v>0</v>
      </c>
      <c r="E178" s="40">
        <f ca="1">IF(AND(Sheet1!L178&lt;0,  Sheet1!$C$21&gt;R178),    IF(OR(Sheet1!$C$21&lt;=R179,  Sheet1!L179=""),       IF(AND(MOD(NOW(),1)&lt;TIME(9,39,0),Sheet1!$C$22=TODAY()),    Sheet1!$C$21-R178,     Sheet1!$C$21-R178-1),               R179-R178-1),    0)</f>
        <v>0</v>
      </c>
      <c r="F178" s="30"/>
      <c r="G178" s="25" t="str">
        <f>IF(LEFT(Sheet1!K179,2)="0x",Sheet1!K178,IF(AND(Sheet1!L178="",Sheet1!L177=""),"",G177))</f>
        <v/>
      </c>
      <c r="H178" s="81"/>
      <c r="I178" s="43" t="str">
        <f t="shared" si="17"/>
        <v/>
      </c>
      <c r="J178" s="29" t="str">
        <f t="shared" si="16"/>
        <v/>
      </c>
      <c r="K178" s="24" t="str">
        <f>IF(Sheet1!L178="","",IF(Sheet1!L178&gt;0,ROW(),""))</f>
        <v/>
      </c>
      <c r="L178" s="24" t="str">
        <f t="shared" ca="1" si="14"/>
        <v/>
      </c>
      <c r="M178" s="47" t="str">
        <f t="shared" ca="1" si="15"/>
        <v/>
      </c>
      <c r="N178" s="48" t="str">
        <f>IF(LEFT(Sheet1!K178,2)="0x",Sheet1!K178,IF(AND(Sheet1!L178="",Sheet1!L177=""),"",N177))</f>
        <v/>
      </c>
      <c r="O178" s="46">
        <f>IF(Sheet1!L178="",0,IF(Sheet1!O178&lt;TIME(7,39,0)+Sheet1!$E$3/24,1,0))</f>
        <v>0</v>
      </c>
      <c r="P178" s="46" t="str">
        <f ca="1">IF(AND(Sheet1!L178&lt;0, Sheet1!$C$21&gt;R178,OR(Sheet1!$C$21&lt;=R179,Sheet1!L179="")),   -1*Sheet1!L178,"")</f>
        <v/>
      </c>
    </row>
    <row r="179" spans="1:16" ht="15.75" x14ac:dyDescent="0.25">
      <c r="A179" s="456" t="str">
        <f>IF(AND(R179&lt;&gt;"",R178&lt;&gt;""),(-Sheet1!L179/Sheet1!L178)^(360/(R179-R178-1))-1,"")</f>
        <v/>
      </c>
      <c r="B179" s="41" t="str">
        <f ca="1">IF(AND(Sheet1!L179&lt;0, Sheet1!$C$21&gt;R179+1,OR(Sheet1!$C$21&lt;=R180,Sheet1!L180="")),   -1*Sheet1!L179,"")</f>
        <v/>
      </c>
      <c r="C179" s="42">
        <f ca="1">IF(Sheet3!$B$5="",0,    IF(E179&lt;1,0,  IF(B179="","",     IF(OR(Sheet3!$B$6=0,INDIRECT(ADDRESS(ROW(),Sheet3!$B$3+16))="" ),D179/E179,    IF(E179&lt;0,0,    IF(OR( INDIRECT(ADDRESS(8,Sheet3!$B$3+16))="",INDIRECT(ADDRESS(ROW(),Sheet3!$B$3+17))=""),        (INDIRECT(ADDRESS(ROW(),Sheet3!$B$3+16))+B179)*Sheet3!$Q$4,         INDIRECT(ADDRESS(ROW(),Sheet3!$B$3+17))-INDIRECT(ADDRESS(ROW(),Sheet3!$B$3+16))))))))</f>
        <v>0</v>
      </c>
      <c r="D179" s="39">
        <f ca="1">IF(Sheet3!$B$5="",0,IF(B179="","",IF(E179&lt;1,0,   IF(INDIRECT(ADDRESS(ROW(), Sheet3!$B$3+17))="",        INDIRECT(ADDRESS(ROW(), Sheet3!$B$3+16))*  (1+Sheet3!$Q$4)   +B179*Sheet3!$Q$4,       INDIRECT(ADDRESS(ROW(), Sheet3!$B$3+17))))))</f>
        <v>0</v>
      </c>
      <c r="E179" s="40">
        <f ca="1">IF(AND(Sheet1!L179&lt;0,  Sheet1!$C$21&gt;R179),    IF(OR(Sheet1!$C$21&lt;=R180,  Sheet1!L180=""),       IF(AND(MOD(NOW(),1)&lt;TIME(9,39,0),Sheet1!$C$22=TODAY()),    Sheet1!$C$21-R179,     Sheet1!$C$21-R179-1),               R180-R179-1),    0)</f>
        <v>0</v>
      </c>
      <c r="F179" s="30"/>
      <c r="G179" s="25" t="str">
        <f>IF(LEFT(Sheet1!K180,2)="0x",Sheet1!K179,IF(AND(Sheet1!L179="",Sheet1!L178=""),"",G178))</f>
        <v/>
      </c>
      <c r="H179" s="81"/>
      <c r="I179" s="43" t="str">
        <f t="shared" si="17"/>
        <v/>
      </c>
      <c r="J179" s="29" t="str">
        <f t="shared" si="16"/>
        <v/>
      </c>
      <c r="K179" s="24" t="str">
        <f>IF(Sheet1!L179="","",IF(Sheet1!L179&gt;0,ROW(),""))</f>
        <v/>
      </c>
      <c r="L179" s="24" t="str">
        <f t="shared" ca="1" si="14"/>
        <v/>
      </c>
      <c r="M179" s="47" t="str">
        <f t="shared" ca="1" si="15"/>
        <v/>
      </c>
      <c r="N179" s="48" t="str">
        <f>IF(LEFT(Sheet1!K179,2)="0x",Sheet1!K179,IF(AND(Sheet1!L179="",Sheet1!L178=""),"",N178))</f>
        <v/>
      </c>
      <c r="O179" s="46">
        <f>IF(Sheet1!L179="",0,IF(Sheet1!O179&lt;TIME(7,39,0)+Sheet1!$E$3/24,1,0))</f>
        <v>0</v>
      </c>
      <c r="P179" s="46" t="str">
        <f ca="1">IF(AND(Sheet1!L179&lt;0, Sheet1!$C$21&gt;R179,OR(Sheet1!$C$21&lt;=R180,Sheet1!L180="")),   -1*Sheet1!L179,"")</f>
        <v/>
      </c>
    </row>
    <row r="180" spans="1:16" ht="15.75" x14ac:dyDescent="0.25">
      <c r="A180" s="456" t="str">
        <f>IF(AND(R180&lt;&gt;"",R179&lt;&gt;""),(-Sheet1!L180/Sheet1!L179)^(360/(R180-R179-1))-1,"")</f>
        <v/>
      </c>
      <c r="B180" s="41" t="str">
        <f ca="1">IF(AND(Sheet1!L180&lt;0, Sheet1!$C$21&gt;R180+1,OR(Sheet1!$C$21&lt;=R181,Sheet1!L181="")),   -1*Sheet1!L180,"")</f>
        <v/>
      </c>
      <c r="C180" s="42">
        <f ca="1">IF(Sheet3!$B$5="",0,    IF(E180&lt;1,0,  IF(B180="","",     IF(OR(Sheet3!$B$6=0,INDIRECT(ADDRESS(ROW(),Sheet3!$B$3+16))="" ),D180/E180,    IF(E180&lt;0,0,    IF(OR( INDIRECT(ADDRESS(8,Sheet3!$B$3+16))="",INDIRECT(ADDRESS(ROW(),Sheet3!$B$3+17))=""),        (INDIRECT(ADDRESS(ROW(),Sheet3!$B$3+16))+B180)*Sheet3!$Q$4,         INDIRECT(ADDRESS(ROW(),Sheet3!$B$3+17))-INDIRECT(ADDRESS(ROW(),Sheet3!$B$3+16))))))))</f>
        <v>0</v>
      </c>
      <c r="D180" s="39">
        <f ca="1">IF(Sheet3!$B$5="",0,IF(B180="","",IF(E180&lt;1,0,   IF(INDIRECT(ADDRESS(ROW(), Sheet3!$B$3+17))="",        INDIRECT(ADDRESS(ROW(), Sheet3!$B$3+16))*  (1+Sheet3!$Q$4)   +B180*Sheet3!$Q$4,       INDIRECT(ADDRESS(ROW(), Sheet3!$B$3+17))))))</f>
        <v>0</v>
      </c>
      <c r="E180" s="40">
        <f ca="1">IF(AND(Sheet1!L180&lt;0,  Sheet1!$C$21&gt;R180),    IF(OR(Sheet1!$C$21&lt;=R181,  Sheet1!L181=""),       IF(AND(MOD(NOW(),1)&lt;TIME(9,39,0),Sheet1!$C$22=TODAY()),    Sheet1!$C$21-R180,     Sheet1!$C$21-R180-1),               R181-R180-1),    0)</f>
        <v>0</v>
      </c>
      <c r="F180" s="30"/>
      <c r="G180" s="25" t="str">
        <f>IF(LEFT(Sheet1!K181,2)="0x",Sheet1!K180,IF(AND(Sheet1!L180="",Sheet1!L179=""),"",G179))</f>
        <v/>
      </c>
      <c r="H180" s="81"/>
      <c r="I180" s="43" t="str">
        <f t="shared" si="17"/>
        <v/>
      </c>
      <c r="J180" s="29" t="str">
        <f t="shared" si="16"/>
        <v/>
      </c>
      <c r="K180" s="24" t="str">
        <f>IF(Sheet1!L180="","",IF(Sheet1!L180&gt;0,ROW(),""))</f>
        <v/>
      </c>
      <c r="L180" s="24" t="str">
        <f t="shared" ca="1" si="14"/>
        <v/>
      </c>
      <c r="M180" s="47" t="str">
        <f t="shared" ca="1" si="15"/>
        <v/>
      </c>
      <c r="N180" s="48" t="str">
        <f>IF(LEFT(Sheet1!K180,2)="0x",Sheet1!K180,IF(AND(Sheet1!L180="",Sheet1!L179=""),"",N179))</f>
        <v/>
      </c>
      <c r="O180" s="46">
        <f>IF(Sheet1!L180="",0,IF(Sheet1!O180&lt;TIME(7,39,0)+Sheet1!$E$3/24,1,0))</f>
        <v>0</v>
      </c>
      <c r="P180" s="46" t="str">
        <f ca="1">IF(AND(Sheet1!L180&lt;0, Sheet1!$C$21&gt;R180,OR(Sheet1!$C$21&lt;=R181,Sheet1!L181="")),   -1*Sheet1!L180,"")</f>
        <v/>
      </c>
    </row>
    <row r="181" spans="1:16" ht="15.75" x14ac:dyDescent="0.25">
      <c r="A181" s="456" t="str">
        <f>IF(AND(R181&lt;&gt;"",R180&lt;&gt;""),(-Sheet1!L181/Sheet1!L180)^(360/(R181-R180-1))-1,"")</f>
        <v/>
      </c>
      <c r="B181" s="41" t="str">
        <f ca="1">IF(AND(Sheet1!L181&lt;0, Sheet1!$C$21&gt;R181+1,OR(Sheet1!$C$21&lt;=R182,Sheet1!L182="")),   -1*Sheet1!L181,"")</f>
        <v/>
      </c>
      <c r="C181" s="42">
        <f ca="1">IF(Sheet3!$B$5="",0,    IF(E181&lt;1,0,  IF(B181="","",     IF(OR(Sheet3!$B$6=0,INDIRECT(ADDRESS(ROW(),Sheet3!$B$3+16))="" ),D181/E181,    IF(E181&lt;0,0,    IF(OR( INDIRECT(ADDRESS(8,Sheet3!$B$3+16))="",INDIRECT(ADDRESS(ROW(),Sheet3!$B$3+17))=""),        (INDIRECT(ADDRESS(ROW(),Sheet3!$B$3+16))+B181)*Sheet3!$Q$4,         INDIRECT(ADDRESS(ROW(),Sheet3!$B$3+17))-INDIRECT(ADDRESS(ROW(),Sheet3!$B$3+16))))))))</f>
        <v>0</v>
      </c>
      <c r="D181" s="39">
        <f ca="1">IF(Sheet3!$B$5="",0,IF(B181="","",IF(E181&lt;1,0,   IF(INDIRECT(ADDRESS(ROW(), Sheet3!$B$3+17))="",        INDIRECT(ADDRESS(ROW(), Sheet3!$B$3+16))*  (1+Sheet3!$Q$4)   +B181*Sheet3!$Q$4,       INDIRECT(ADDRESS(ROW(), Sheet3!$B$3+17))))))</f>
        <v>0</v>
      </c>
      <c r="E181" s="40">
        <f ca="1">IF(AND(Sheet1!L181&lt;0,  Sheet1!$C$21&gt;R181),    IF(OR(Sheet1!$C$21&lt;=R182,  Sheet1!L182=""),       IF(AND(MOD(NOW(),1)&lt;TIME(9,39,0),Sheet1!$C$22=TODAY()),    Sheet1!$C$21-R181,     Sheet1!$C$21-R181-1),               R182-R181-1),    0)</f>
        <v>0</v>
      </c>
      <c r="F181" s="30"/>
      <c r="G181" s="25" t="str">
        <f>IF(LEFT(Sheet1!K182,2)="0x",Sheet1!K181,IF(AND(Sheet1!L181="",Sheet1!L180=""),"",G180))</f>
        <v/>
      </c>
      <c r="H181" s="81"/>
      <c r="I181" s="43" t="str">
        <f t="shared" si="17"/>
        <v/>
      </c>
      <c r="J181" s="29" t="str">
        <f t="shared" si="16"/>
        <v/>
      </c>
      <c r="K181" s="24" t="str">
        <f>IF(Sheet1!L181="","",IF(Sheet1!L181&gt;0,ROW(),""))</f>
        <v/>
      </c>
      <c r="L181" s="24" t="str">
        <f t="shared" ca="1" si="14"/>
        <v/>
      </c>
      <c r="M181" s="47" t="str">
        <f t="shared" ca="1" si="15"/>
        <v/>
      </c>
      <c r="N181" s="48" t="str">
        <f>IF(LEFT(Sheet1!K181,2)="0x",Sheet1!K181,IF(AND(Sheet1!L181="",Sheet1!L180=""),"",N180))</f>
        <v/>
      </c>
      <c r="O181" s="46">
        <f>IF(Sheet1!L181="",0,IF(Sheet1!O181&lt;TIME(7,39,0)+Sheet1!$E$3/24,1,0))</f>
        <v>0</v>
      </c>
      <c r="P181" s="46" t="str">
        <f ca="1">IF(AND(Sheet1!L181&lt;0, Sheet1!$C$21&gt;R181,OR(Sheet1!$C$21&lt;=R182,Sheet1!L182="")),   -1*Sheet1!L181,"")</f>
        <v/>
      </c>
    </row>
    <row r="182" spans="1:16" ht="15.75" x14ac:dyDescent="0.25">
      <c r="A182" s="456" t="str">
        <f>IF(AND(R182&lt;&gt;"",R181&lt;&gt;""),(-Sheet1!L182/Sheet1!L181)^(360/(R182-R181-1))-1,"")</f>
        <v/>
      </c>
      <c r="B182" s="41" t="str">
        <f ca="1">IF(AND(Sheet1!L182&lt;0, Sheet1!$C$21&gt;R182+1,OR(Sheet1!$C$21&lt;=R183,Sheet1!L183="")),   -1*Sheet1!L182,"")</f>
        <v/>
      </c>
      <c r="C182" s="42">
        <f ca="1">IF(Sheet3!$B$5="",0,    IF(E182&lt;1,0,  IF(B182="","",     IF(OR(Sheet3!$B$6=0,INDIRECT(ADDRESS(ROW(),Sheet3!$B$3+16))="" ),D182/E182,    IF(E182&lt;0,0,    IF(OR( INDIRECT(ADDRESS(8,Sheet3!$B$3+16))="",INDIRECT(ADDRESS(ROW(),Sheet3!$B$3+17))=""),        (INDIRECT(ADDRESS(ROW(),Sheet3!$B$3+16))+B182)*Sheet3!$Q$4,         INDIRECT(ADDRESS(ROW(),Sheet3!$B$3+17))-INDIRECT(ADDRESS(ROW(),Sheet3!$B$3+16))))))))</f>
        <v>0</v>
      </c>
      <c r="D182" s="39">
        <f ca="1">IF(Sheet3!$B$5="",0,IF(B182="","",IF(E182&lt;1,0,   IF(INDIRECT(ADDRESS(ROW(), Sheet3!$B$3+17))="",        INDIRECT(ADDRESS(ROW(), Sheet3!$B$3+16))*  (1+Sheet3!$Q$4)   +B182*Sheet3!$Q$4,       INDIRECT(ADDRESS(ROW(), Sheet3!$B$3+17))))))</f>
        <v>0</v>
      </c>
      <c r="E182" s="40">
        <f ca="1">IF(AND(Sheet1!L182&lt;0,  Sheet1!$C$21&gt;R182),    IF(OR(Sheet1!$C$21&lt;=R183,  Sheet1!L183=""),       IF(AND(MOD(NOW(),1)&lt;TIME(9,39,0),Sheet1!$C$22=TODAY()),    Sheet1!$C$21-R182,     Sheet1!$C$21-R182-1),               R183-R182-1),    0)</f>
        <v>0</v>
      </c>
      <c r="F182" s="30"/>
      <c r="G182" s="25" t="str">
        <f>IF(LEFT(Sheet1!K183,2)="0x",Sheet1!K182,IF(AND(Sheet1!L182="",Sheet1!L181=""),"",G181))</f>
        <v/>
      </c>
      <c r="H182" s="81"/>
      <c r="I182" s="43" t="str">
        <f t="shared" si="17"/>
        <v/>
      </c>
      <c r="J182" s="29" t="str">
        <f t="shared" si="16"/>
        <v/>
      </c>
      <c r="K182" s="24" t="str">
        <f>IF(Sheet1!L182="","",IF(Sheet1!L182&gt;0,ROW(),""))</f>
        <v/>
      </c>
      <c r="L182" s="24" t="str">
        <f t="shared" ca="1" si="14"/>
        <v/>
      </c>
      <c r="M182" s="47" t="str">
        <f t="shared" ca="1" si="15"/>
        <v/>
      </c>
      <c r="N182" s="48" t="str">
        <f>IF(LEFT(Sheet1!K182,2)="0x",Sheet1!K182,IF(AND(Sheet1!L182="",Sheet1!L181=""),"",N181))</f>
        <v/>
      </c>
      <c r="O182" s="46">
        <f>IF(Sheet1!L182="",0,IF(Sheet1!O182&lt;TIME(7,39,0)+Sheet1!$E$3/24,1,0))</f>
        <v>0</v>
      </c>
      <c r="P182" s="46" t="str">
        <f ca="1">IF(AND(Sheet1!L182&lt;0, Sheet1!$C$21&gt;R182,OR(Sheet1!$C$21&lt;=R183,Sheet1!L183="")),   -1*Sheet1!L182,"")</f>
        <v/>
      </c>
    </row>
    <row r="183" spans="1:16" ht="15.75" x14ac:dyDescent="0.25">
      <c r="A183" s="456" t="str">
        <f>IF(AND(R183&lt;&gt;"",R182&lt;&gt;""),(-Sheet1!L183/Sheet1!L182)^(360/(R183-R182-1))-1,"")</f>
        <v/>
      </c>
      <c r="B183" s="41" t="str">
        <f ca="1">IF(AND(Sheet1!L183&lt;0, Sheet1!$C$21&gt;R183+1,OR(Sheet1!$C$21&lt;=R184,Sheet1!L184="")),   -1*Sheet1!L183,"")</f>
        <v/>
      </c>
      <c r="C183" s="42">
        <f ca="1">IF(Sheet3!$B$5="",0,    IF(E183&lt;1,0,  IF(B183="","",     IF(OR(Sheet3!$B$6=0,INDIRECT(ADDRESS(ROW(),Sheet3!$B$3+16))="" ),D183/E183,    IF(E183&lt;0,0,    IF(OR( INDIRECT(ADDRESS(8,Sheet3!$B$3+16))="",INDIRECT(ADDRESS(ROW(),Sheet3!$B$3+17))=""),        (INDIRECT(ADDRESS(ROW(),Sheet3!$B$3+16))+B183)*Sheet3!$Q$4,         INDIRECT(ADDRESS(ROW(),Sheet3!$B$3+17))-INDIRECT(ADDRESS(ROW(),Sheet3!$B$3+16))))))))</f>
        <v>0</v>
      </c>
      <c r="D183" s="39">
        <f ca="1">IF(Sheet3!$B$5="",0,IF(B183="","",IF(E183&lt;1,0,   IF(INDIRECT(ADDRESS(ROW(), Sheet3!$B$3+17))="",        INDIRECT(ADDRESS(ROW(), Sheet3!$B$3+16))*  (1+Sheet3!$Q$4)   +B183*Sheet3!$Q$4,       INDIRECT(ADDRESS(ROW(), Sheet3!$B$3+17))))))</f>
        <v>0</v>
      </c>
      <c r="E183" s="40">
        <f ca="1">IF(AND(Sheet1!L183&lt;0,  Sheet1!$C$21&gt;R183),    IF(OR(Sheet1!$C$21&lt;=R184,  Sheet1!L184=""),       IF(AND(MOD(NOW(),1)&lt;TIME(9,39,0),Sheet1!$C$22=TODAY()),    Sheet1!$C$21-R183,     Sheet1!$C$21-R183-1),               R184-R183-1),    0)</f>
        <v>0</v>
      </c>
      <c r="F183" s="30"/>
      <c r="G183" s="25" t="str">
        <f>IF(LEFT(Sheet1!K184,2)="0x",Sheet1!K183,IF(AND(Sheet1!L183="",Sheet1!L182=""),"",G182))</f>
        <v/>
      </c>
      <c r="H183" s="81"/>
      <c r="I183" s="43" t="str">
        <f t="shared" si="17"/>
        <v/>
      </c>
      <c r="J183" s="29" t="str">
        <f t="shared" si="16"/>
        <v/>
      </c>
      <c r="K183" s="24" t="str">
        <f>IF(Sheet1!L183="","",IF(Sheet1!L183&gt;0,ROW(),""))</f>
        <v/>
      </c>
      <c r="L183" s="24" t="str">
        <f t="shared" ca="1" si="14"/>
        <v/>
      </c>
      <c r="M183" s="47" t="str">
        <f t="shared" ca="1" si="15"/>
        <v/>
      </c>
      <c r="N183" s="48" t="str">
        <f>IF(LEFT(Sheet1!K183,2)="0x",Sheet1!K183,IF(AND(Sheet1!L183="",Sheet1!L182=""),"",N182))</f>
        <v/>
      </c>
      <c r="O183" s="46">
        <f>IF(Sheet1!L183="",0,IF(Sheet1!O183&lt;TIME(7,39,0)+Sheet1!$E$3/24,1,0))</f>
        <v>0</v>
      </c>
      <c r="P183" s="46" t="str">
        <f ca="1">IF(AND(Sheet1!L183&lt;0, Sheet1!$C$21&gt;R183,OR(Sheet1!$C$21&lt;=R184,Sheet1!L184="")),   -1*Sheet1!L183,"")</f>
        <v/>
      </c>
    </row>
    <row r="184" spans="1:16" ht="15.75" x14ac:dyDescent="0.25">
      <c r="A184" s="456" t="str">
        <f>IF(AND(R184&lt;&gt;"",R183&lt;&gt;""),(-Sheet1!L184/Sheet1!L183)^(360/(R184-R183-1))-1,"")</f>
        <v/>
      </c>
      <c r="B184" s="41" t="str">
        <f ca="1">IF(AND(Sheet1!L184&lt;0, Sheet1!$C$21&gt;R184+1,OR(Sheet1!$C$21&lt;=R185,Sheet1!L185="")),   -1*Sheet1!L184,"")</f>
        <v/>
      </c>
      <c r="C184" s="42">
        <f ca="1">IF(Sheet3!$B$5="",0,    IF(E184&lt;1,0,  IF(B184="","",     IF(OR(Sheet3!$B$6=0,INDIRECT(ADDRESS(ROW(),Sheet3!$B$3+16))="" ),D184/E184,    IF(E184&lt;0,0,    IF(OR( INDIRECT(ADDRESS(8,Sheet3!$B$3+16))="",INDIRECT(ADDRESS(ROW(),Sheet3!$B$3+17))=""),        (INDIRECT(ADDRESS(ROW(),Sheet3!$B$3+16))+B184)*Sheet3!$Q$4,         INDIRECT(ADDRESS(ROW(),Sheet3!$B$3+17))-INDIRECT(ADDRESS(ROW(),Sheet3!$B$3+16))))))))</f>
        <v>0</v>
      </c>
      <c r="D184" s="39">
        <f ca="1">IF(Sheet3!$B$5="",0,IF(B184="","",IF(E184&lt;1,0,   IF(INDIRECT(ADDRESS(ROW(), Sheet3!$B$3+17))="",        INDIRECT(ADDRESS(ROW(), Sheet3!$B$3+16))*  (1+Sheet3!$Q$4)   +B184*Sheet3!$Q$4,       INDIRECT(ADDRESS(ROW(), Sheet3!$B$3+17))))))</f>
        <v>0</v>
      </c>
      <c r="E184" s="40">
        <f ca="1">IF(AND(Sheet1!L184&lt;0,  Sheet1!$C$21&gt;R184),    IF(OR(Sheet1!$C$21&lt;=R185,  Sheet1!L185=""),       IF(AND(MOD(NOW(),1)&lt;TIME(9,39,0),Sheet1!$C$22=TODAY()),    Sheet1!$C$21-R184,     Sheet1!$C$21-R184-1),               R185-R184-1),    0)</f>
        <v>0</v>
      </c>
      <c r="F184" s="30"/>
      <c r="G184" s="25" t="str">
        <f>IF(LEFT(Sheet1!K185,2)="0x",Sheet1!K184,IF(AND(Sheet1!L184="",Sheet1!L183=""),"",G183))</f>
        <v/>
      </c>
      <c r="H184" s="81"/>
      <c r="I184" s="43" t="str">
        <f t="shared" si="17"/>
        <v/>
      </c>
      <c r="J184" s="29" t="str">
        <f t="shared" si="16"/>
        <v/>
      </c>
      <c r="K184" s="24" t="str">
        <f>IF(Sheet1!L184="","",IF(Sheet1!L184&gt;0,ROW(),""))</f>
        <v/>
      </c>
      <c r="L184" s="24" t="str">
        <f t="shared" ca="1" si="14"/>
        <v/>
      </c>
      <c r="M184" s="47" t="str">
        <f t="shared" ca="1" si="15"/>
        <v/>
      </c>
      <c r="N184" s="48" t="str">
        <f>IF(LEFT(Sheet1!K184,2)="0x",Sheet1!K184,IF(AND(Sheet1!L184="",Sheet1!L183=""),"",N183))</f>
        <v/>
      </c>
      <c r="O184" s="46">
        <f>IF(Sheet1!L184="",0,IF(Sheet1!O184&lt;TIME(7,39,0)+Sheet1!$E$3/24,1,0))</f>
        <v>0</v>
      </c>
      <c r="P184" s="46" t="str">
        <f ca="1">IF(AND(Sheet1!L184&lt;0, Sheet1!$C$21&gt;R184,OR(Sheet1!$C$21&lt;=R185,Sheet1!L185="")),   -1*Sheet1!L184,"")</f>
        <v/>
      </c>
    </row>
    <row r="185" spans="1:16" ht="15.75" x14ac:dyDescent="0.25">
      <c r="A185" s="456" t="str">
        <f>IF(AND(R185&lt;&gt;"",R184&lt;&gt;""),(-Sheet1!L185/Sheet1!L184)^(360/(R185-R184-1))-1,"")</f>
        <v/>
      </c>
      <c r="B185" s="41" t="str">
        <f ca="1">IF(AND(Sheet1!L185&lt;0, Sheet1!$C$21&gt;R185+1,OR(Sheet1!$C$21&lt;=R186,Sheet1!L186="")),   -1*Sheet1!L185,"")</f>
        <v/>
      </c>
      <c r="C185" s="42">
        <f ca="1">IF(Sheet3!$B$5="",0,    IF(E185&lt;1,0,  IF(B185="","",     IF(OR(Sheet3!$B$6=0,INDIRECT(ADDRESS(ROW(),Sheet3!$B$3+16))="" ),D185/E185,    IF(E185&lt;0,0,    IF(OR( INDIRECT(ADDRESS(8,Sheet3!$B$3+16))="",INDIRECT(ADDRESS(ROW(),Sheet3!$B$3+17))=""),        (INDIRECT(ADDRESS(ROW(),Sheet3!$B$3+16))+B185)*Sheet3!$Q$4,         INDIRECT(ADDRESS(ROW(),Sheet3!$B$3+17))-INDIRECT(ADDRESS(ROW(),Sheet3!$B$3+16))))))))</f>
        <v>0</v>
      </c>
      <c r="D185" s="39">
        <f ca="1">IF(Sheet3!$B$5="",0,IF(B185="","",IF(E185&lt;1,0,   IF(INDIRECT(ADDRESS(ROW(), Sheet3!$B$3+17))="",        INDIRECT(ADDRESS(ROW(), Sheet3!$B$3+16))*  (1+Sheet3!$Q$4)   +B185*Sheet3!$Q$4,       INDIRECT(ADDRESS(ROW(), Sheet3!$B$3+17))))))</f>
        <v>0</v>
      </c>
      <c r="E185" s="40">
        <f ca="1">IF(AND(Sheet1!L185&lt;0,  Sheet1!$C$21&gt;R185),    IF(OR(Sheet1!$C$21&lt;=R186,  Sheet1!L186=""),       IF(AND(MOD(NOW(),1)&lt;TIME(9,39,0),Sheet1!$C$22=TODAY()),    Sheet1!$C$21-R185,     Sheet1!$C$21-R185-1),               R186-R185-1),    0)</f>
        <v>0</v>
      </c>
      <c r="F185" s="30"/>
      <c r="G185" s="25" t="str">
        <f>IF(LEFT(Sheet1!K186,2)="0x",Sheet1!K185,IF(AND(Sheet1!L185="",Sheet1!L184=""),"",G184))</f>
        <v/>
      </c>
      <c r="H185" s="81"/>
      <c r="I185" s="43" t="str">
        <f t="shared" si="17"/>
        <v/>
      </c>
      <c r="J185" s="29" t="str">
        <f t="shared" si="16"/>
        <v/>
      </c>
      <c r="K185" s="24" t="str">
        <f>IF(Sheet1!L185="","",IF(Sheet1!L185&gt;0,ROW(),""))</f>
        <v/>
      </c>
      <c r="L185" s="24" t="str">
        <f t="shared" ca="1" si="14"/>
        <v/>
      </c>
      <c r="M185" s="47" t="str">
        <f t="shared" ca="1" si="15"/>
        <v/>
      </c>
      <c r="N185" s="48" t="str">
        <f>IF(LEFT(Sheet1!K185,2)="0x",Sheet1!K185,IF(AND(Sheet1!L185="",Sheet1!L184=""),"",N184))</f>
        <v/>
      </c>
      <c r="O185" s="46">
        <f>IF(Sheet1!L185="",0,IF(Sheet1!O185&lt;TIME(7,39,0)+Sheet1!$E$3/24,1,0))</f>
        <v>0</v>
      </c>
      <c r="P185" s="46" t="str">
        <f ca="1">IF(AND(Sheet1!L185&lt;0, Sheet1!$C$21&gt;R185,OR(Sheet1!$C$21&lt;=R186,Sheet1!L186="")),   -1*Sheet1!L185,"")</f>
        <v/>
      </c>
    </row>
    <row r="186" spans="1:16" ht="15.75" x14ac:dyDescent="0.25">
      <c r="A186" s="456" t="str">
        <f>IF(AND(R186&lt;&gt;"",R185&lt;&gt;""),(-Sheet1!L186/Sheet1!L185)^(360/(R186-R185-1))-1,"")</f>
        <v/>
      </c>
      <c r="B186" s="41" t="str">
        <f ca="1">IF(AND(Sheet1!L186&lt;0, Sheet1!$C$21&gt;R186+1,OR(Sheet1!$C$21&lt;=R187,Sheet1!L187="")),   -1*Sheet1!L186,"")</f>
        <v/>
      </c>
      <c r="C186" s="42">
        <f ca="1">IF(Sheet3!$B$5="",0,    IF(E186&lt;1,0,  IF(B186="","",     IF(OR(Sheet3!$B$6=0,INDIRECT(ADDRESS(ROW(),Sheet3!$B$3+16))="" ),D186/E186,    IF(E186&lt;0,0,    IF(OR( INDIRECT(ADDRESS(8,Sheet3!$B$3+16))="",INDIRECT(ADDRESS(ROW(),Sheet3!$B$3+17))=""),        (INDIRECT(ADDRESS(ROW(),Sheet3!$B$3+16))+B186)*Sheet3!$Q$4,         INDIRECT(ADDRESS(ROW(),Sheet3!$B$3+17))-INDIRECT(ADDRESS(ROW(),Sheet3!$B$3+16))))))))</f>
        <v>0</v>
      </c>
      <c r="D186" s="39">
        <f ca="1">IF(Sheet3!$B$5="",0,IF(B186="","",IF(E186&lt;1,0,   IF(INDIRECT(ADDRESS(ROW(), Sheet3!$B$3+17))="",        INDIRECT(ADDRESS(ROW(), Sheet3!$B$3+16))*  (1+Sheet3!$Q$4)   +B186*Sheet3!$Q$4,       INDIRECT(ADDRESS(ROW(), Sheet3!$B$3+17))))))</f>
        <v>0</v>
      </c>
      <c r="E186" s="40">
        <f ca="1">IF(AND(Sheet1!L186&lt;0,  Sheet1!$C$21&gt;R186),    IF(OR(Sheet1!$C$21&lt;=R187,  Sheet1!L187=""),       IF(AND(MOD(NOW(),1)&lt;TIME(9,39,0),Sheet1!$C$22=TODAY()),    Sheet1!$C$21-R186,     Sheet1!$C$21-R186-1),               R187-R186-1),    0)</f>
        <v>0</v>
      </c>
      <c r="F186" s="30"/>
      <c r="G186" s="25" t="str">
        <f>IF(LEFT(Sheet1!K187,2)="0x",Sheet1!K186,IF(AND(Sheet1!L186="",Sheet1!L185=""),"",G185))</f>
        <v/>
      </c>
      <c r="H186" s="81"/>
      <c r="I186" s="43" t="str">
        <f t="shared" si="17"/>
        <v/>
      </c>
      <c r="J186" s="29" t="str">
        <f t="shared" si="16"/>
        <v/>
      </c>
      <c r="K186" s="24" t="str">
        <f>IF(Sheet1!L186="","",IF(Sheet1!L186&gt;0,ROW(),""))</f>
        <v/>
      </c>
      <c r="L186" s="24" t="str">
        <f t="shared" ca="1" si="14"/>
        <v/>
      </c>
      <c r="M186" s="47" t="str">
        <f t="shared" ca="1" si="15"/>
        <v/>
      </c>
      <c r="N186" s="48" t="str">
        <f>IF(LEFT(Sheet1!K186,2)="0x",Sheet1!K186,IF(AND(Sheet1!L186="",Sheet1!L185=""),"",N185))</f>
        <v/>
      </c>
      <c r="O186" s="46">
        <f>IF(Sheet1!L186="",0,IF(Sheet1!O186&lt;TIME(7,39,0)+Sheet1!$E$3/24,1,0))</f>
        <v>0</v>
      </c>
      <c r="P186" s="46" t="str">
        <f ca="1">IF(AND(Sheet1!L186&lt;0, Sheet1!$C$21&gt;R186,OR(Sheet1!$C$21&lt;=R187,Sheet1!L187="")),   -1*Sheet1!L186,"")</f>
        <v/>
      </c>
    </row>
    <row r="187" spans="1:16" ht="15.75" x14ac:dyDescent="0.25">
      <c r="A187" s="456" t="str">
        <f>IF(AND(R187&lt;&gt;"",R186&lt;&gt;""),(-Sheet1!L187/Sheet1!L186)^(360/(R187-R186-1))-1,"")</f>
        <v/>
      </c>
      <c r="B187" s="41" t="str">
        <f ca="1">IF(AND(Sheet1!L187&lt;0, Sheet1!$C$21&gt;R187+1,OR(Sheet1!$C$21&lt;=R188,Sheet1!L188="")),   -1*Sheet1!L187,"")</f>
        <v/>
      </c>
      <c r="C187" s="42">
        <f ca="1">IF(Sheet3!$B$5="",0,    IF(E187&lt;1,0,  IF(B187="","",     IF(OR(Sheet3!$B$6=0,INDIRECT(ADDRESS(ROW(),Sheet3!$B$3+16))="" ),D187/E187,    IF(E187&lt;0,0,    IF(OR( INDIRECT(ADDRESS(8,Sheet3!$B$3+16))="",INDIRECT(ADDRESS(ROW(),Sheet3!$B$3+17))=""),        (INDIRECT(ADDRESS(ROW(),Sheet3!$B$3+16))+B187)*Sheet3!$Q$4,         INDIRECT(ADDRESS(ROW(),Sheet3!$B$3+17))-INDIRECT(ADDRESS(ROW(),Sheet3!$B$3+16))))))))</f>
        <v>0</v>
      </c>
      <c r="D187" s="39">
        <f ca="1">IF(Sheet3!$B$5="",0,IF(B187="","",IF(E187&lt;1,0,   IF(INDIRECT(ADDRESS(ROW(), Sheet3!$B$3+17))="",        INDIRECT(ADDRESS(ROW(), Sheet3!$B$3+16))*  (1+Sheet3!$Q$4)   +B187*Sheet3!$Q$4,       INDIRECT(ADDRESS(ROW(), Sheet3!$B$3+17))))))</f>
        <v>0</v>
      </c>
      <c r="E187" s="40">
        <f ca="1">IF(AND(Sheet1!L187&lt;0,  Sheet1!$C$21&gt;R187),    IF(OR(Sheet1!$C$21&lt;=R188,  Sheet1!L188=""),       IF(AND(MOD(NOW(),1)&lt;TIME(9,39,0),Sheet1!$C$22=TODAY()),    Sheet1!$C$21-R187,     Sheet1!$C$21-R187-1),               R188-R187-1),    0)</f>
        <v>0</v>
      </c>
      <c r="F187" s="30"/>
      <c r="G187" s="25" t="str">
        <f>IF(LEFT(Sheet1!K188,2)="0x",Sheet1!K187,IF(AND(Sheet1!L187="",Sheet1!L186=""),"",G186))</f>
        <v/>
      </c>
      <c r="H187" s="81"/>
      <c r="I187" s="43" t="str">
        <f t="shared" si="17"/>
        <v/>
      </c>
      <c r="J187" s="29" t="str">
        <f t="shared" si="16"/>
        <v/>
      </c>
      <c r="K187" s="24" t="str">
        <f>IF(Sheet1!L187="","",IF(Sheet1!L187&gt;0,ROW(),""))</f>
        <v/>
      </c>
      <c r="L187" s="24" t="str">
        <f t="shared" ca="1" si="14"/>
        <v/>
      </c>
      <c r="M187" s="47" t="str">
        <f t="shared" ca="1" si="15"/>
        <v/>
      </c>
      <c r="N187" s="48" t="str">
        <f>IF(LEFT(Sheet1!K187,2)="0x",Sheet1!K187,IF(AND(Sheet1!L187="",Sheet1!L186=""),"",N186))</f>
        <v/>
      </c>
      <c r="O187" s="46">
        <f>IF(Sheet1!L187="",0,IF(Sheet1!O187&lt;TIME(7,39,0)+Sheet1!$E$3/24,1,0))</f>
        <v>0</v>
      </c>
      <c r="P187" s="46" t="str">
        <f ca="1">IF(AND(Sheet1!L187&lt;0, Sheet1!$C$21&gt;R187,OR(Sheet1!$C$21&lt;=R188,Sheet1!L188="")),   -1*Sheet1!L187,"")</f>
        <v/>
      </c>
    </row>
    <row r="188" spans="1:16" ht="15.75" x14ac:dyDescent="0.25">
      <c r="A188" s="456" t="str">
        <f>IF(AND(R188&lt;&gt;"",R187&lt;&gt;""),(-Sheet1!L188/Sheet1!L187)^(360/(R188-R187-1))-1,"")</f>
        <v/>
      </c>
      <c r="B188" s="41" t="str">
        <f ca="1">IF(AND(Sheet1!L188&lt;0, Sheet1!$C$21&gt;R188+1,OR(Sheet1!$C$21&lt;=R189,Sheet1!L189="")),   -1*Sheet1!L188,"")</f>
        <v/>
      </c>
      <c r="C188" s="42">
        <f ca="1">IF(Sheet3!$B$5="",0,    IF(E188&lt;1,0,  IF(B188="","",     IF(OR(Sheet3!$B$6=0,INDIRECT(ADDRESS(ROW(),Sheet3!$B$3+16))="" ),D188/E188,    IF(E188&lt;0,0,    IF(OR( INDIRECT(ADDRESS(8,Sheet3!$B$3+16))="",INDIRECT(ADDRESS(ROW(),Sheet3!$B$3+17))=""),        (INDIRECT(ADDRESS(ROW(),Sheet3!$B$3+16))+B188)*Sheet3!$Q$4,         INDIRECT(ADDRESS(ROW(),Sheet3!$B$3+17))-INDIRECT(ADDRESS(ROW(),Sheet3!$B$3+16))))))))</f>
        <v>0</v>
      </c>
      <c r="D188" s="39">
        <f ca="1">IF(Sheet3!$B$5="",0,IF(B188="","",IF(E188&lt;1,0,   IF(INDIRECT(ADDRESS(ROW(), Sheet3!$B$3+17))="",        INDIRECT(ADDRESS(ROW(), Sheet3!$B$3+16))*  (1+Sheet3!$Q$4)   +B188*Sheet3!$Q$4,       INDIRECT(ADDRESS(ROW(), Sheet3!$B$3+17))))))</f>
        <v>0</v>
      </c>
      <c r="E188" s="40">
        <f ca="1">IF(AND(Sheet1!L188&lt;0,  Sheet1!$C$21&gt;R188),    IF(OR(Sheet1!$C$21&lt;=R189,  Sheet1!L189=""),       IF(AND(MOD(NOW(),1)&lt;TIME(9,39,0),Sheet1!$C$22=TODAY()),    Sheet1!$C$21-R188,     Sheet1!$C$21-R188-1),               R189-R188-1),    0)</f>
        <v>0</v>
      </c>
      <c r="F188" s="30"/>
      <c r="G188" s="25" t="str">
        <f>IF(LEFT(Sheet1!K189,2)="0x",Sheet1!K188,IF(AND(Sheet1!L188="",Sheet1!L187=""),"",G187))</f>
        <v/>
      </c>
      <c r="H188" s="81"/>
      <c r="I188" s="43" t="str">
        <f t="shared" si="17"/>
        <v/>
      </c>
      <c r="J188" s="29" t="str">
        <f t="shared" si="16"/>
        <v/>
      </c>
      <c r="K188" s="24" t="str">
        <f>IF(Sheet1!L188="","",IF(Sheet1!L188&gt;0,ROW(),""))</f>
        <v/>
      </c>
      <c r="L188" s="24" t="str">
        <f t="shared" ca="1" si="14"/>
        <v/>
      </c>
      <c r="M188" s="47" t="str">
        <f t="shared" ca="1" si="15"/>
        <v/>
      </c>
      <c r="N188" s="48" t="str">
        <f>IF(LEFT(Sheet1!K188,2)="0x",Sheet1!K188,IF(AND(Sheet1!L188="",Sheet1!L187=""),"",N187))</f>
        <v/>
      </c>
      <c r="O188" s="46">
        <f>IF(Sheet1!L188="",0,IF(Sheet1!O188&lt;TIME(7,39,0)+Sheet1!$E$3/24,1,0))</f>
        <v>0</v>
      </c>
      <c r="P188" s="46" t="str">
        <f ca="1">IF(AND(Sheet1!L188&lt;0, Sheet1!$C$21&gt;R188,OR(Sheet1!$C$21&lt;=R189,Sheet1!L189="")),   -1*Sheet1!L188,"")</f>
        <v/>
      </c>
    </row>
    <row r="189" spans="1:16" ht="15.75" x14ac:dyDescent="0.25">
      <c r="A189" s="456" t="str">
        <f>IF(AND(R189&lt;&gt;"",R188&lt;&gt;""),(-Sheet1!L189/Sheet1!L188)^(360/(R189-R188-1))-1,"")</f>
        <v/>
      </c>
      <c r="B189" s="41" t="str">
        <f ca="1">IF(AND(Sheet1!L189&lt;0, Sheet1!$C$21&gt;R189+1,OR(Sheet1!$C$21&lt;=R190,Sheet1!L190="")),   -1*Sheet1!L189,"")</f>
        <v/>
      </c>
      <c r="C189" s="42">
        <f ca="1">IF(Sheet3!$B$5="",0,    IF(E189&lt;1,0,  IF(B189="","",     IF(OR(Sheet3!$B$6=0,INDIRECT(ADDRESS(ROW(),Sheet3!$B$3+16))="" ),D189/E189,    IF(E189&lt;0,0,    IF(OR( INDIRECT(ADDRESS(8,Sheet3!$B$3+16))="",INDIRECT(ADDRESS(ROW(),Sheet3!$B$3+17))=""),        (INDIRECT(ADDRESS(ROW(),Sheet3!$B$3+16))+B189)*Sheet3!$Q$4,         INDIRECT(ADDRESS(ROW(),Sheet3!$B$3+17))-INDIRECT(ADDRESS(ROW(),Sheet3!$B$3+16))))))))</f>
        <v>0</v>
      </c>
      <c r="D189" s="39">
        <f ca="1">IF(Sheet3!$B$5="",0,IF(B189="","",IF(E189&lt;1,0,   IF(INDIRECT(ADDRESS(ROW(), Sheet3!$B$3+17))="",        INDIRECT(ADDRESS(ROW(), Sheet3!$B$3+16))*  (1+Sheet3!$Q$4)   +B189*Sheet3!$Q$4,       INDIRECT(ADDRESS(ROW(), Sheet3!$B$3+17))))))</f>
        <v>0</v>
      </c>
      <c r="E189" s="40">
        <f ca="1">IF(AND(Sheet1!L189&lt;0,  Sheet1!$C$21&gt;R189),    IF(OR(Sheet1!$C$21&lt;=R190,  Sheet1!L190=""),       IF(AND(MOD(NOW(),1)&lt;TIME(9,39,0),Sheet1!$C$22=TODAY()),    Sheet1!$C$21-R189,     Sheet1!$C$21-R189-1),               R190-R189-1),    0)</f>
        <v>0</v>
      </c>
      <c r="F189" s="30"/>
      <c r="G189" s="25" t="str">
        <f>IF(LEFT(Sheet1!K190,2)="0x",Sheet1!K189,IF(AND(Sheet1!L189="",Sheet1!L188=""),"",G188))</f>
        <v/>
      </c>
      <c r="H189" s="81"/>
      <c r="I189" s="43" t="str">
        <f t="shared" si="17"/>
        <v/>
      </c>
      <c r="J189" s="29" t="str">
        <f t="shared" si="16"/>
        <v/>
      </c>
      <c r="K189" s="24" t="str">
        <f>IF(Sheet1!L189="","",IF(Sheet1!L189&gt;0,ROW(),""))</f>
        <v/>
      </c>
      <c r="L189" s="24" t="str">
        <f t="shared" ca="1" si="14"/>
        <v/>
      </c>
      <c r="M189" s="47" t="str">
        <f t="shared" ca="1" si="15"/>
        <v/>
      </c>
      <c r="N189" s="48" t="str">
        <f>IF(LEFT(Sheet1!K189,2)="0x",Sheet1!K189,IF(AND(Sheet1!L189="",Sheet1!L188=""),"",N188))</f>
        <v/>
      </c>
      <c r="O189" s="46">
        <f>IF(Sheet1!L189="",0,IF(Sheet1!O189&lt;TIME(7,39,0)+Sheet1!$E$3/24,1,0))</f>
        <v>0</v>
      </c>
      <c r="P189" s="46" t="str">
        <f ca="1">IF(AND(Sheet1!L189&lt;0, Sheet1!$C$21&gt;R189,OR(Sheet1!$C$21&lt;=R190,Sheet1!L190="")),   -1*Sheet1!L189,"")</f>
        <v/>
      </c>
    </row>
    <row r="190" spans="1:16" ht="15.75" x14ac:dyDescent="0.25">
      <c r="A190" s="456" t="str">
        <f>IF(AND(R190&lt;&gt;"",R189&lt;&gt;""),(-Sheet1!L190/Sheet1!L189)^(360/(R190-R189-1))-1,"")</f>
        <v/>
      </c>
      <c r="B190" s="41" t="str">
        <f ca="1">IF(AND(Sheet1!L190&lt;0, Sheet1!$C$21&gt;R190+1,OR(Sheet1!$C$21&lt;=R191,Sheet1!L191="")),   -1*Sheet1!L190,"")</f>
        <v/>
      </c>
      <c r="C190" s="42">
        <f ca="1">IF(Sheet3!$B$5="",0,    IF(E190&lt;1,0,  IF(B190="","",     IF(OR(Sheet3!$B$6=0,INDIRECT(ADDRESS(ROW(),Sheet3!$B$3+16))="" ),D190/E190,    IF(E190&lt;0,0,    IF(OR( INDIRECT(ADDRESS(8,Sheet3!$B$3+16))="",INDIRECT(ADDRESS(ROW(),Sheet3!$B$3+17))=""),        (INDIRECT(ADDRESS(ROW(),Sheet3!$B$3+16))+B190)*Sheet3!$Q$4,         INDIRECT(ADDRESS(ROW(),Sheet3!$B$3+17))-INDIRECT(ADDRESS(ROW(),Sheet3!$B$3+16))))))))</f>
        <v>0</v>
      </c>
      <c r="D190" s="39">
        <f ca="1">IF(Sheet3!$B$5="",0,IF(B190="","",IF(E190&lt;1,0,   IF(INDIRECT(ADDRESS(ROW(), Sheet3!$B$3+17))="",        INDIRECT(ADDRESS(ROW(), Sheet3!$B$3+16))*  (1+Sheet3!$Q$4)   +B190*Sheet3!$Q$4,       INDIRECT(ADDRESS(ROW(), Sheet3!$B$3+17))))))</f>
        <v>0</v>
      </c>
      <c r="E190" s="40">
        <f ca="1">IF(AND(Sheet1!L190&lt;0,  Sheet1!$C$21&gt;R190),    IF(OR(Sheet1!$C$21&lt;=R191,  Sheet1!L191=""),       IF(AND(MOD(NOW(),1)&lt;TIME(9,39,0),Sheet1!$C$22=TODAY()),    Sheet1!$C$21-R190,     Sheet1!$C$21-R190-1),               R191-R190-1),    0)</f>
        <v>0</v>
      </c>
      <c r="F190" s="30"/>
      <c r="G190" s="25" t="str">
        <f>IF(LEFT(Sheet1!K191,2)="0x",Sheet1!K190,IF(AND(Sheet1!L190="",Sheet1!L189=""),"",G189))</f>
        <v/>
      </c>
      <c r="H190" s="81"/>
      <c r="I190" s="43" t="str">
        <f t="shared" si="17"/>
        <v/>
      </c>
      <c r="J190" s="29" t="str">
        <f t="shared" si="16"/>
        <v/>
      </c>
      <c r="K190" s="24" t="str">
        <f>IF(Sheet1!L190="","",IF(Sheet1!L190&gt;0,ROW(),""))</f>
        <v/>
      </c>
      <c r="L190" s="24" t="str">
        <f t="shared" ca="1" si="14"/>
        <v/>
      </c>
      <c r="M190" s="47" t="str">
        <f t="shared" ca="1" si="15"/>
        <v/>
      </c>
      <c r="N190" s="48" t="str">
        <f>IF(LEFT(Sheet1!K190,2)="0x",Sheet1!K190,IF(AND(Sheet1!L190="",Sheet1!L189=""),"",N189))</f>
        <v/>
      </c>
      <c r="O190" s="46">
        <f>IF(Sheet1!L190="",0,IF(Sheet1!O190&lt;TIME(7,39,0)+Sheet1!$E$3/24,1,0))</f>
        <v>0</v>
      </c>
      <c r="P190" s="46" t="str">
        <f ca="1">IF(AND(Sheet1!L190&lt;0, Sheet1!$C$21&gt;R190,OR(Sheet1!$C$21&lt;=R191,Sheet1!L191="")),   -1*Sheet1!L190,"")</f>
        <v/>
      </c>
    </row>
    <row r="191" spans="1:16" ht="15.75" x14ac:dyDescent="0.25">
      <c r="A191" s="456" t="str">
        <f>IF(AND(R191&lt;&gt;"",R190&lt;&gt;""),(-Sheet1!L191/Sheet1!L190)^(360/(R191-R190-1))-1,"")</f>
        <v/>
      </c>
      <c r="B191" s="41" t="str">
        <f ca="1">IF(AND(Sheet1!L191&lt;0, Sheet1!$C$21&gt;R191+1,OR(Sheet1!$C$21&lt;=R192,Sheet1!L192="")),   -1*Sheet1!L191,"")</f>
        <v/>
      </c>
      <c r="C191" s="42">
        <f ca="1">IF(Sheet3!$B$5="",0,    IF(E191&lt;1,0,  IF(B191="","",     IF(OR(Sheet3!$B$6=0,INDIRECT(ADDRESS(ROW(),Sheet3!$B$3+16))="" ),D191/E191,    IF(E191&lt;0,0,    IF(OR( INDIRECT(ADDRESS(8,Sheet3!$B$3+16))="",INDIRECT(ADDRESS(ROW(),Sheet3!$B$3+17))=""),        (INDIRECT(ADDRESS(ROW(),Sheet3!$B$3+16))+B191)*Sheet3!$Q$4,         INDIRECT(ADDRESS(ROW(),Sheet3!$B$3+17))-INDIRECT(ADDRESS(ROW(),Sheet3!$B$3+16))))))))</f>
        <v>0</v>
      </c>
      <c r="D191" s="39">
        <f ca="1">IF(Sheet3!$B$5="",0,IF(B191="","",IF(E191&lt;1,0,   IF(INDIRECT(ADDRESS(ROW(), Sheet3!$B$3+17))="",        INDIRECT(ADDRESS(ROW(), Sheet3!$B$3+16))*  (1+Sheet3!$Q$4)   +B191*Sheet3!$Q$4,       INDIRECT(ADDRESS(ROW(), Sheet3!$B$3+17))))))</f>
        <v>0</v>
      </c>
      <c r="E191" s="40">
        <f ca="1">IF(AND(Sheet1!L191&lt;0,  Sheet1!$C$21&gt;R191),    IF(OR(Sheet1!$C$21&lt;=R192,  Sheet1!L192=""),       IF(AND(MOD(NOW(),1)&lt;TIME(9,39,0),Sheet1!$C$22=TODAY()),    Sheet1!$C$21-R191,     Sheet1!$C$21-R191-1),               R192-R191-1),    0)</f>
        <v>0</v>
      </c>
      <c r="F191" s="30"/>
      <c r="G191" s="25" t="str">
        <f>IF(LEFT(Sheet1!K192,2)="0x",Sheet1!K191,IF(AND(Sheet1!L191="",Sheet1!L190=""),"",G190))</f>
        <v/>
      </c>
      <c r="H191" s="81"/>
      <c r="I191" s="43" t="str">
        <f t="shared" si="17"/>
        <v/>
      </c>
      <c r="J191" s="29" t="str">
        <f t="shared" si="16"/>
        <v/>
      </c>
      <c r="K191" s="24" t="str">
        <f>IF(Sheet1!L191="","",IF(Sheet1!L191&gt;0,ROW(),""))</f>
        <v/>
      </c>
      <c r="L191" s="24" t="str">
        <f t="shared" ca="1" si="14"/>
        <v/>
      </c>
      <c r="M191" s="47" t="str">
        <f t="shared" ca="1" si="15"/>
        <v/>
      </c>
      <c r="N191" s="48" t="str">
        <f>IF(LEFT(Sheet1!K191,2)="0x",Sheet1!K191,IF(AND(Sheet1!L191="",Sheet1!L190=""),"",N190))</f>
        <v/>
      </c>
      <c r="O191" s="46">
        <f>IF(Sheet1!L191="",0,IF(Sheet1!O191&lt;TIME(7,39,0)+Sheet1!$E$3/24,1,0))</f>
        <v>0</v>
      </c>
      <c r="P191" s="46" t="str">
        <f ca="1">IF(AND(Sheet1!L191&lt;0, Sheet1!$C$21&gt;R191,OR(Sheet1!$C$21&lt;=R192,Sheet1!L192="")),   -1*Sheet1!L191,"")</f>
        <v/>
      </c>
    </row>
    <row r="192" spans="1:16" ht="15.75" x14ac:dyDescent="0.25">
      <c r="A192" s="456" t="str">
        <f>IF(AND(R192&lt;&gt;"",R191&lt;&gt;""),(-Sheet1!L192/Sheet1!L191)^(360/(R192-R191-1))-1,"")</f>
        <v/>
      </c>
      <c r="B192" s="41" t="str">
        <f ca="1">IF(AND(Sheet1!L192&lt;0, Sheet1!$C$21&gt;R192+1,OR(Sheet1!$C$21&lt;=R193,Sheet1!L193="")),   -1*Sheet1!L192,"")</f>
        <v/>
      </c>
      <c r="C192" s="42">
        <f ca="1">IF(Sheet3!$B$5="",0,    IF(E192&lt;1,0,  IF(B192="","",     IF(OR(Sheet3!$B$6=0,INDIRECT(ADDRESS(ROW(),Sheet3!$B$3+16))="" ),D192/E192,    IF(E192&lt;0,0,    IF(OR( INDIRECT(ADDRESS(8,Sheet3!$B$3+16))="",INDIRECT(ADDRESS(ROW(),Sheet3!$B$3+17))=""),        (INDIRECT(ADDRESS(ROW(),Sheet3!$B$3+16))+B192)*Sheet3!$Q$4,         INDIRECT(ADDRESS(ROW(),Sheet3!$B$3+17))-INDIRECT(ADDRESS(ROW(),Sheet3!$B$3+16))))))))</f>
        <v>0</v>
      </c>
      <c r="D192" s="39">
        <f ca="1">IF(Sheet3!$B$5="",0,IF(B192="","",IF(E192&lt;1,0,   IF(INDIRECT(ADDRESS(ROW(), Sheet3!$B$3+17))="",        INDIRECT(ADDRESS(ROW(), Sheet3!$B$3+16))*  (1+Sheet3!$Q$4)   +B192*Sheet3!$Q$4,       INDIRECT(ADDRESS(ROW(), Sheet3!$B$3+17))))))</f>
        <v>0</v>
      </c>
      <c r="E192" s="40">
        <f ca="1">IF(AND(Sheet1!L192&lt;0,  Sheet1!$C$21&gt;R192),    IF(OR(Sheet1!$C$21&lt;=R193,  Sheet1!L193=""),       IF(AND(MOD(NOW(),1)&lt;TIME(9,39,0),Sheet1!$C$22=TODAY()),    Sheet1!$C$21-R192,     Sheet1!$C$21-R192-1),               R193-R192-1),    0)</f>
        <v>0</v>
      </c>
      <c r="F192" s="30"/>
      <c r="G192" s="25" t="str">
        <f>IF(LEFT(Sheet1!K193,2)="0x",Sheet1!K192,IF(AND(Sheet1!L192="",Sheet1!L191=""),"",G191))</f>
        <v/>
      </c>
      <c r="H192" s="81"/>
      <c r="I192" s="43" t="str">
        <f t="shared" si="17"/>
        <v/>
      </c>
      <c r="J192" s="29" t="str">
        <f t="shared" si="16"/>
        <v/>
      </c>
      <c r="K192" s="24" t="str">
        <f>IF(Sheet1!L192="","",IF(Sheet1!L192&gt;0,ROW(),""))</f>
        <v/>
      </c>
      <c r="L192" s="24" t="str">
        <f t="shared" ca="1" si="14"/>
        <v/>
      </c>
      <c r="M192" s="47" t="str">
        <f t="shared" ca="1" si="15"/>
        <v/>
      </c>
      <c r="N192" s="48" t="str">
        <f>IF(LEFT(Sheet1!K192,2)="0x",Sheet1!K192,IF(AND(Sheet1!L192="",Sheet1!L191=""),"",N191))</f>
        <v/>
      </c>
      <c r="O192" s="46">
        <f>IF(Sheet1!L192="",0,IF(Sheet1!O192&lt;TIME(7,39,0)+Sheet1!$E$3/24,1,0))</f>
        <v>0</v>
      </c>
      <c r="P192" s="46" t="str">
        <f ca="1">IF(AND(Sheet1!L192&lt;0, Sheet1!$C$21&gt;R192,OR(Sheet1!$C$21&lt;=R193,Sheet1!L193="")),   -1*Sheet1!L192,"")</f>
        <v/>
      </c>
    </row>
    <row r="193" spans="1:16" ht="15.75" x14ac:dyDescent="0.25">
      <c r="A193" s="456" t="str">
        <f>IF(AND(R193&lt;&gt;"",R192&lt;&gt;""),(-Sheet1!L193/Sheet1!L192)^(360/(R193-R192-1))-1,"")</f>
        <v/>
      </c>
      <c r="B193" s="41" t="str">
        <f ca="1">IF(AND(Sheet1!L193&lt;0, Sheet1!$C$21&gt;R193+1,OR(Sheet1!$C$21&lt;=R194,Sheet1!L194="")),   -1*Sheet1!L193,"")</f>
        <v/>
      </c>
      <c r="C193" s="42">
        <f ca="1">IF(Sheet3!$B$5="",0,    IF(E193&lt;1,0,  IF(B193="","",     IF(OR(Sheet3!$B$6=0,INDIRECT(ADDRESS(ROW(),Sheet3!$B$3+16))="" ),D193/E193,    IF(E193&lt;0,0,    IF(OR( INDIRECT(ADDRESS(8,Sheet3!$B$3+16))="",INDIRECT(ADDRESS(ROW(),Sheet3!$B$3+17))=""),        (INDIRECT(ADDRESS(ROW(),Sheet3!$B$3+16))+B193)*Sheet3!$Q$4,         INDIRECT(ADDRESS(ROW(),Sheet3!$B$3+17))-INDIRECT(ADDRESS(ROW(),Sheet3!$B$3+16))))))))</f>
        <v>0</v>
      </c>
      <c r="D193" s="39">
        <f ca="1">IF(Sheet3!$B$5="",0,IF(B193="","",IF(E193&lt;1,0,   IF(INDIRECT(ADDRESS(ROW(), Sheet3!$B$3+17))="",        INDIRECT(ADDRESS(ROW(), Sheet3!$B$3+16))*  (1+Sheet3!$Q$4)   +B193*Sheet3!$Q$4,       INDIRECT(ADDRESS(ROW(), Sheet3!$B$3+17))))))</f>
        <v>0</v>
      </c>
      <c r="E193" s="40">
        <f ca="1">IF(AND(Sheet1!L193&lt;0,  Sheet1!$C$21&gt;R193),    IF(OR(Sheet1!$C$21&lt;=R194,  Sheet1!L194=""),       IF(AND(MOD(NOW(),1)&lt;TIME(9,39,0),Sheet1!$C$22=TODAY()),    Sheet1!$C$21-R193,     Sheet1!$C$21-R193-1),               R194-R193-1),    0)</f>
        <v>0</v>
      </c>
      <c r="F193" s="30"/>
      <c r="G193" s="25" t="str">
        <f>IF(LEFT(Sheet1!K194,2)="0x",Sheet1!K193,IF(AND(Sheet1!L193="",Sheet1!L192=""),"",G192))</f>
        <v/>
      </c>
      <c r="H193" s="81"/>
      <c r="I193" s="43" t="str">
        <f t="shared" si="17"/>
        <v/>
      </c>
      <c r="J193" s="29" t="str">
        <f t="shared" si="16"/>
        <v/>
      </c>
      <c r="K193" s="24" t="str">
        <f>IF(Sheet1!L193="","",IF(Sheet1!L193&gt;0,ROW(),""))</f>
        <v/>
      </c>
      <c r="L193" s="24" t="str">
        <f t="shared" ca="1" si="14"/>
        <v/>
      </c>
      <c r="M193" s="47" t="str">
        <f t="shared" ca="1" si="15"/>
        <v/>
      </c>
      <c r="N193" s="48" t="str">
        <f>IF(LEFT(Sheet1!K193,2)="0x",Sheet1!K193,IF(AND(Sheet1!L193="",Sheet1!L192=""),"",N192))</f>
        <v/>
      </c>
      <c r="O193" s="46">
        <f>IF(Sheet1!L193="",0,IF(Sheet1!O193&lt;TIME(7,39,0)+Sheet1!$E$3/24,1,0))</f>
        <v>0</v>
      </c>
      <c r="P193" s="46" t="str">
        <f ca="1">IF(AND(Sheet1!L193&lt;0, Sheet1!$C$21&gt;R193,OR(Sheet1!$C$21&lt;=R194,Sheet1!L194="")),   -1*Sheet1!L193,"")</f>
        <v/>
      </c>
    </row>
    <row r="194" spans="1:16" ht="15.75" x14ac:dyDescent="0.25">
      <c r="A194" s="456" t="str">
        <f>IF(AND(R194&lt;&gt;"",R193&lt;&gt;""),(-Sheet1!L194/Sheet1!L193)^(360/(R194-R193-1))-1,"")</f>
        <v/>
      </c>
      <c r="B194" s="41" t="str">
        <f ca="1">IF(AND(Sheet1!L194&lt;0, Sheet1!$C$21&gt;R194+1,OR(Sheet1!$C$21&lt;=R195,Sheet1!L195="")),   -1*Sheet1!L194,"")</f>
        <v/>
      </c>
      <c r="C194" s="42">
        <f ca="1">IF(Sheet3!$B$5="",0,    IF(E194&lt;1,0,  IF(B194="","",     IF(OR(Sheet3!$B$6=0,INDIRECT(ADDRESS(ROW(),Sheet3!$B$3+16))="" ),D194/E194,    IF(E194&lt;0,0,    IF(OR( INDIRECT(ADDRESS(8,Sheet3!$B$3+16))="",INDIRECT(ADDRESS(ROW(),Sheet3!$B$3+17))=""),        (INDIRECT(ADDRESS(ROW(),Sheet3!$B$3+16))+B194)*Sheet3!$Q$4,         INDIRECT(ADDRESS(ROW(),Sheet3!$B$3+17))-INDIRECT(ADDRESS(ROW(),Sheet3!$B$3+16))))))))</f>
        <v>0</v>
      </c>
      <c r="D194" s="39">
        <f ca="1">IF(Sheet3!$B$5="",0,IF(B194="","",IF(E194&lt;1,0,   IF(INDIRECT(ADDRESS(ROW(), Sheet3!$B$3+17))="",        INDIRECT(ADDRESS(ROW(), Sheet3!$B$3+16))*  (1+Sheet3!$Q$4)   +B194*Sheet3!$Q$4,       INDIRECT(ADDRESS(ROW(), Sheet3!$B$3+17))))))</f>
        <v>0</v>
      </c>
      <c r="E194" s="40">
        <f ca="1">IF(AND(Sheet1!L194&lt;0,  Sheet1!$C$21&gt;R194),    IF(OR(Sheet1!$C$21&lt;=R195,  Sheet1!L195=""),       IF(AND(MOD(NOW(),1)&lt;TIME(9,39,0),Sheet1!$C$22=TODAY()),    Sheet1!$C$21-R194,     Sheet1!$C$21-R194-1),               R195-R194-1),    0)</f>
        <v>0</v>
      </c>
      <c r="F194" s="30"/>
      <c r="G194" s="25" t="str">
        <f>IF(LEFT(Sheet1!K195,2)="0x",Sheet1!K194,IF(AND(Sheet1!L194="",Sheet1!L193=""),"",G193))</f>
        <v/>
      </c>
      <c r="H194" s="81"/>
      <c r="I194" s="43" t="str">
        <f t="shared" si="17"/>
        <v/>
      </c>
      <c r="J194" s="29" t="str">
        <f t="shared" si="16"/>
        <v/>
      </c>
      <c r="K194" s="24" t="str">
        <f>IF(Sheet1!L194="","",IF(Sheet1!L194&gt;0,ROW(),""))</f>
        <v/>
      </c>
      <c r="L194" s="24" t="str">
        <f t="shared" ca="1" si="14"/>
        <v/>
      </c>
      <c r="M194" s="47" t="str">
        <f t="shared" ca="1" si="15"/>
        <v/>
      </c>
      <c r="N194" s="48" t="str">
        <f>IF(LEFT(Sheet1!K194,2)="0x",Sheet1!K194,IF(AND(Sheet1!L194="",Sheet1!L193=""),"",N193))</f>
        <v/>
      </c>
      <c r="O194" s="46">
        <f>IF(Sheet1!L194="",0,IF(Sheet1!O194&lt;TIME(7,39,0)+Sheet1!$E$3/24,1,0))</f>
        <v>0</v>
      </c>
      <c r="P194" s="46" t="str">
        <f ca="1">IF(AND(Sheet1!L194&lt;0, Sheet1!$C$21&gt;R194,OR(Sheet1!$C$21&lt;=R195,Sheet1!L195="")),   -1*Sheet1!L194,"")</f>
        <v/>
      </c>
    </row>
    <row r="195" spans="1:16" ht="15.75" x14ac:dyDescent="0.25">
      <c r="A195" s="456" t="str">
        <f>IF(AND(R195&lt;&gt;"",R194&lt;&gt;""),(-Sheet1!L195/Sheet1!L194)^(360/(R195-R194-1))-1,"")</f>
        <v/>
      </c>
      <c r="B195" s="41" t="str">
        <f ca="1">IF(AND(Sheet1!L195&lt;0, Sheet1!$C$21&gt;R195+1,OR(Sheet1!$C$21&lt;=R196,Sheet1!L196="")),   -1*Sheet1!L195,"")</f>
        <v/>
      </c>
      <c r="C195" s="42">
        <f ca="1">IF(Sheet3!$B$5="",0,    IF(E195&lt;1,0,  IF(B195="","",     IF(OR(Sheet3!$B$6=0,INDIRECT(ADDRESS(ROW(),Sheet3!$B$3+16))="" ),D195/E195,    IF(E195&lt;0,0,    IF(OR( INDIRECT(ADDRESS(8,Sheet3!$B$3+16))="",INDIRECT(ADDRESS(ROW(),Sheet3!$B$3+17))=""),        (INDIRECT(ADDRESS(ROW(),Sheet3!$B$3+16))+B195)*Sheet3!$Q$4,         INDIRECT(ADDRESS(ROW(),Sheet3!$B$3+17))-INDIRECT(ADDRESS(ROW(),Sheet3!$B$3+16))))))))</f>
        <v>0</v>
      </c>
      <c r="D195" s="39">
        <f ca="1">IF(Sheet3!$B$5="",0,IF(B195="","",IF(E195&lt;1,0,   IF(INDIRECT(ADDRESS(ROW(), Sheet3!$B$3+17))="",        INDIRECT(ADDRESS(ROW(), Sheet3!$B$3+16))*  (1+Sheet3!$Q$4)   +B195*Sheet3!$Q$4,       INDIRECT(ADDRESS(ROW(), Sheet3!$B$3+17))))))</f>
        <v>0</v>
      </c>
      <c r="E195" s="40">
        <f ca="1">IF(AND(Sheet1!L195&lt;0,  Sheet1!$C$21&gt;R195),    IF(OR(Sheet1!$C$21&lt;=R196,  Sheet1!L196=""),       IF(AND(MOD(NOW(),1)&lt;TIME(9,39,0),Sheet1!$C$22=TODAY()),    Sheet1!$C$21-R195,     Sheet1!$C$21-R195-1),               R196-R195-1),    0)</f>
        <v>0</v>
      </c>
      <c r="F195" s="30"/>
      <c r="G195" s="25" t="str">
        <f>IF(LEFT(Sheet1!K196,2)="0x",Sheet1!K195,IF(AND(Sheet1!L195="",Sheet1!L194=""),"",G194))</f>
        <v/>
      </c>
      <c r="H195" s="81"/>
      <c r="I195" s="43" t="str">
        <f t="shared" si="17"/>
        <v/>
      </c>
      <c r="J195" s="29" t="str">
        <f t="shared" si="16"/>
        <v/>
      </c>
      <c r="K195" s="24" t="str">
        <f>IF(Sheet1!L195="","",IF(Sheet1!L195&gt;0,ROW(),""))</f>
        <v/>
      </c>
      <c r="L195" s="24" t="str">
        <f t="shared" ca="1" si="14"/>
        <v/>
      </c>
      <c r="M195" s="47" t="str">
        <f t="shared" ca="1" si="15"/>
        <v/>
      </c>
      <c r="N195" s="48" t="str">
        <f>IF(LEFT(Sheet1!K195,2)="0x",Sheet1!K195,IF(AND(Sheet1!L195="",Sheet1!L194=""),"",N194))</f>
        <v/>
      </c>
      <c r="O195" s="46">
        <f>IF(Sheet1!L195="",0,IF(Sheet1!O195&lt;TIME(7,39,0)+Sheet1!$E$3/24,1,0))</f>
        <v>0</v>
      </c>
      <c r="P195" s="46" t="str">
        <f ca="1">IF(AND(Sheet1!L195&lt;0, Sheet1!$C$21&gt;R195,OR(Sheet1!$C$21&lt;=R196,Sheet1!L196="")),   -1*Sheet1!L195,"")</f>
        <v/>
      </c>
    </row>
    <row r="196" spans="1:16" ht="15.75" x14ac:dyDescent="0.25">
      <c r="A196" s="456" t="str">
        <f>IF(AND(R196&lt;&gt;"",R195&lt;&gt;""),(-Sheet1!L196/Sheet1!L195)^(360/(R196-R195-1))-1,"")</f>
        <v/>
      </c>
      <c r="B196" s="41" t="str">
        <f ca="1">IF(AND(Sheet1!L196&lt;0, Sheet1!$C$21&gt;R196+1,OR(Sheet1!$C$21&lt;=R197,Sheet1!L197="")),   -1*Sheet1!L196,"")</f>
        <v/>
      </c>
      <c r="C196" s="42">
        <f ca="1">IF(Sheet3!$B$5="",0,    IF(E196&lt;1,0,  IF(B196="","",     IF(OR(Sheet3!$B$6=0,INDIRECT(ADDRESS(ROW(),Sheet3!$B$3+16))="" ),D196/E196,    IF(E196&lt;0,0,    IF(OR( INDIRECT(ADDRESS(8,Sheet3!$B$3+16))="",INDIRECT(ADDRESS(ROW(),Sheet3!$B$3+17))=""),        (INDIRECT(ADDRESS(ROW(),Sheet3!$B$3+16))+B196)*Sheet3!$Q$4,         INDIRECT(ADDRESS(ROW(),Sheet3!$B$3+17))-INDIRECT(ADDRESS(ROW(),Sheet3!$B$3+16))))))))</f>
        <v>0</v>
      </c>
      <c r="D196" s="39">
        <f ca="1">IF(Sheet3!$B$5="",0,IF(B196="","",IF(E196&lt;1,0,   IF(INDIRECT(ADDRESS(ROW(), Sheet3!$B$3+17))="",        INDIRECT(ADDRESS(ROW(), Sheet3!$B$3+16))*  (1+Sheet3!$Q$4)   +B196*Sheet3!$Q$4,       INDIRECT(ADDRESS(ROW(), Sheet3!$B$3+17))))))</f>
        <v>0</v>
      </c>
      <c r="E196" s="40">
        <f ca="1">IF(AND(Sheet1!L196&lt;0,  Sheet1!$C$21&gt;R196),    IF(OR(Sheet1!$C$21&lt;=R197,  Sheet1!L197=""),       IF(AND(MOD(NOW(),1)&lt;TIME(9,39,0),Sheet1!$C$22=TODAY()),    Sheet1!$C$21-R196,     Sheet1!$C$21-R196-1),               R197-R196-1),    0)</f>
        <v>0</v>
      </c>
      <c r="F196" s="30"/>
      <c r="G196" s="25" t="str">
        <f>IF(LEFT(Sheet1!K197,2)="0x",Sheet1!K196,IF(AND(Sheet1!L196="",Sheet1!L195=""),"",G195))</f>
        <v/>
      </c>
      <c r="H196" s="81"/>
      <c r="I196" s="43" t="str">
        <f t="shared" si="17"/>
        <v/>
      </c>
      <c r="J196" s="29" t="str">
        <f t="shared" si="16"/>
        <v/>
      </c>
      <c r="K196" s="24" t="str">
        <f>IF(Sheet1!L196="","",IF(Sheet1!L196&gt;0,ROW(),""))</f>
        <v/>
      </c>
      <c r="L196" s="24" t="str">
        <f t="shared" ca="1" si="14"/>
        <v/>
      </c>
      <c r="M196" s="47" t="str">
        <f t="shared" ca="1" si="15"/>
        <v/>
      </c>
      <c r="N196" s="48" t="str">
        <f>IF(LEFT(Sheet1!K196,2)="0x",Sheet1!K196,IF(AND(Sheet1!L196="",Sheet1!L195=""),"",N195))</f>
        <v/>
      </c>
      <c r="O196" s="46">
        <f>IF(Sheet1!L196="",0,IF(Sheet1!O196&lt;TIME(7,39,0)+Sheet1!$E$3/24,1,0))</f>
        <v>0</v>
      </c>
      <c r="P196" s="46" t="str">
        <f ca="1">IF(AND(Sheet1!L196&lt;0, Sheet1!$C$21&gt;R196,OR(Sheet1!$C$21&lt;=R197,Sheet1!L197="")),   -1*Sheet1!L196,"")</f>
        <v/>
      </c>
    </row>
    <row r="197" spans="1:16" ht="15.75" x14ac:dyDescent="0.25">
      <c r="A197" s="456" t="str">
        <f>IF(AND(R197&lt;&gt;"",R196&lt;&gt;""),(-Sheet1!L197/Sheet1!L196)^(360/(R197-R196-1))-1,"")</f>
        <v/>
      </c>
      <c r="B197" s="41" t="str">
        <f ca="1">IF(AND(Sheet1!L197&lt;0, Sheet1!$C$21&gt;R197+1,OR(Sheet1!$C$21&lt;=R198,Sheet1!L198="")),   -1*Sheet1!L197,"")</f>
        <v/>
      </c>
      <c r="C197" s="42">
        <f ca="1">IF(Sheet3!$B$5="",0,    IF(E197&lt;1,0,  IF(B197="","",     IF(OR(Sheet3!$B$6=0,INDIRECT(ADDRESS(ROW(),Sheet3!$B$3+16))="" ),D197/E197,    IF(E197&lt;0,0,    IF(OR( INDIRECT(ADDRESS(8,Sheet3!$B$3+16))="",INDIRECT(ADDRESS(ROW(),Sheet3!$B$3+17))=""),        (INDIRECT(ADDRESS(ROW(),Sheet3!$B$3+16))+B197)*Sheet3!$Q$4,         INDIRECT(ADDRESS(ROW(),Sheet3!$B$3+17))-INDIRECT(ADDRESS(ROW(),Sheet3!$B$3+16))))))))</f>
        <v>0</v>
      </c>
      <c r="D197" s="39">
        <f ca="1">IF(Sheet3!$B$5="",0,IF(B197="","",IF(E197&lt;1,0,   IF(INDIRECT(ADDRESS(ROW(), Sheet3!$B$3+17))="",        INDIRECT(ADDRESS(ROW(), Sheet3!$B$3+16))*  (1+Sheet3!$Q$4)   +B197*Sheet3!$Q$4,       INDIRECT(ADDRESS(ROW(), Sheet3!$B$3+17))))))</f>
        <v>0</v>
      </c>
      <c r="E197" s="40">
        <f ca="1">IF(AND(Sheet1!L197&lt;0,  Sheet1!$C$21&gt;R197),    IF(OR(Sheet1!$C$21&lt;=R198,  Sheet1!L198=""),       IF(AND(MOD(NOW(),1)&lt;TIME(9,39,0),Sheet1!$C$22=TODAY()),    Sheet1!$C$21-R197,     Sheet1!$C$21-R197-1),               R198-R197-1),    0)</f>
        <v>0</v>
      </c>
      <c r="F197" s="30"/>
      <c r="G197" s="25" t="str">
        <f>IF(LEFT(Sheet1!K198,2)="0x",Sheet1!K197,IF(AND(Sheet1!L197="",Sheet1!L196=""),"",G196))</f>
        <v/>
      </c>
      <c r="H197" s="81"/>
      <c r="I197" s="43" t="str">
        <f t="shared" si="17"/>
        <v/>
      </c>
      <c r="J197" s="29" t="str">
        <f t="shared" si="16"/>
        <v/>
      </c>
      <c r="K197" s="24" t="str">
        <f>IF(Sheet1!L197="","",IF(Sheet1!L197&gt;0,ROW(),""))</f>
        <v/>
      </c>
      <c r="L197" s="24" t="str">
        <f t="shared" ca="1" si="14"/>
        <v/>
      </c>
      <c r="M197" s="47" t="str">
        <f t="shared" ca="1" si="15"/>
        <v/>
      </c>
      <c r="N197" s="48" t="str">
        <f>IF(LEFT(Sheet1!K197,2)="0x",Sheet1!K197,IF(AND(Sheet1!L197="",Sheet1!L196=""),"",N196))</f>
        <v/>
      </c>
      <c r="O197" s="46">
        <f>IF(Sheet1!L197="",0,IF(Sheet1!O197&lt;TIME(7,39,0)+Sheet1!$E$3/24,1,0))</f>
        <v>0</v>
      </c>
      <c r="P197" s="46" t="str">
        <f ca="1">IF(AND(Sheet1!L197&lt;0, Sheet1!$C$21&gt;R197,OR(Sheet1!$C$21&lt;=R198,Sheet1!L198="")),   -1*Sheet1!L197,"")</f>
        <v/>
      </c>
    </row>
    <row r="198" spans="1:16" ht="15.75" x14ac:dyDescent="0.25">
      <c r="A198" s="456" t="str">
        <f>IF(AND(R198&lt;&gt;"",R197&lt;&gt;""),(-Sheet1!L198/Sheet1!L197)^(360/(R198-R197-1))-1,"")</f>
        <v/>
      </c>
      <c r="B198" s="41" t="str">
        <f ca="1">IF(AND(Sheet1!L198&lt;0, Sheet1!$C$21&gt;R198+1,OR(Sheet1!$C$21&lt;=R199,Sheet1!L199="")),   -1*Sheet1!L198,"")</f>
        <v/>
      </c>
      <c r="C198" s="42">
        <f ca="1">IF(Sheet3!$B$5="",0,    IF(E198&lt;1,0,  IF(B198="","",     IF(OR(Sheet3!$B$6=0,INDIRECT(ADDRESS(ROW(),Sheet3!$B$3+16))="" ),D198/E198,    IF(E198&lt;0,0,    IF(OR( INDIRECT(ADDRESS(8,Sheet3!$B$3+16))="",INDIRECT(ADDRESS(ROW(),Sheet3!$B$3+17))=""),        (INDIRECT(ADDRESS(ROW(),Sheet3!$B$3+16))+B198)*Sheet3!$Q$4,         INDIRECT(ADDRESS(ROW(),Sheet3!$B$3+17))-INDIRECT(ADDRESS(ROW(),Sheet3!$B$3+16))))))))</f>
        <v>0</v>
      </c>
      <c r="D198" s="39">
        <f ca="1">IF(Sheet3!$B$5="",0,IF(B198="","",IF(E198&lt;1,0,   IF(INDIRECT(ADDRESS(ROW(), Sheet3!$B$3+17))="",        INDIRECT(ADDRESS(ROW(), Sheet3!$B$3+16))*  (1+Sheet3!$Q$4)   +B198*Sheet3!$Q$4,       INDIRECT(ADDRESS(ROW(), Sheet3!$B$3+17))))))</f>
        <v>0</v>
      </c>
      <c r="E198" s="40">
        <f ca="1">IF(AND(Sheet1!L198&lt;0,  Sheet1!$C$21&gt;R198),    IF(OR(Sheet1!$C$21&lt;=R199,  Sheet1!L199=""),       IF(AND(MOD(NOW(),1)&lt;TIME(9,39,0),Sheet1!$C$22=TODAY()),    Sheet1!$C$21-R198,     Sheet1!$C$21-R198-1),               R199-R198-1),    0)</f>
        <v>0</v>
      </c>
      <c r="F198" s="30"/>
      <c r="G198" s="25" t="str">
        <f>IF(LEFT(Sheet1!K199,2)="0x",Sheet1!K198,IF(AND(Sheet1!L198="",Sheet1!L197=""),"",G197))</f>
        <v/>
      </c>
      <c r="H198" s="81"/>
      <c r="I198" s="43" t="str">
        <f t="shared" si="17"/>
        <v/>
      </c>
      <c r="J198" s="29" t="str">
        <f t="shared" si="16"/>
        <v/>
      </c>
      <c r="K198" s="24" t="str">
        <f>IF(Sheet1!L198="","",IF(Sheet1!L198&gt;0,ROW(),""))</f>
        <v/>
      </c>
      <c r="L198" s="24" t="str">
        <f t="shared" ca="1" si="14"/>
        <v/>
      </c>
      <c r="M198" s="47" t="str">
        <f t="shared" ca="1" si="15"/>
        <v/>
      </c>
      <c r="N198" s="48" t="str">
        <f>IF(LEFT(Sheet1!K198,2)="0x",Sheet1!K198,IF(AND(Sheet1!L198="",Sheet1!L197=""),"",N197))</f>
        <v/>
      </c>
      <c r="O198" s="46">
        <f>IF(Sheet1!L198="",0,IF(Sheet1!O198&lt;TIME(7,39,0)+Sheet1!$E$3/24,1,0))</f>
        <v>0</v>
      </c>
      <c r="P198" s="46" t="str">
        <f ca="1">IF(AND(Sheet1!L198&lt;0, Sheet1!$C$21&gt;R198,OR(Sheet1!$C$21&lt;=R199,Sheet1!L199="")),   -1*Sheet1!L198,"")</f>
        <v/>
      </c>
    </row>
    <row r="199" spans="1:16" ht="15.75" x14ac:dyDescent="0.25">
      <c r="A199" s="456" t="str">
        <f>IF(AND(R199&lt;&gt;"",R198&lt;&gt;""),(-Sheet1!L199/Sheet1!L198)^(360/(R199-R198-1))-1,"")</f>
        <v/>
      </c>
      <c r="B199" s="41" t="str">
        <f ca="1">IF(AND(Sheet1!L199&lt;0, Sheet1!$C$21&gt;R199+1,OR(Sheet1!$C$21&lt;=R200,Sheet1!L200="")),   -1*Sheet1!L199,"")</f>
        <v/>
      </c>
      <c r="C199" s="42">
        <f ca="1">IF(Sheet3!$B$5="",0,    IF(E199&lt;1,0,  IF(B199="","",     IF(OR(Sheet3!$B$6=0,INDIRECT(ADDRESS(ROW(),Sheet3!$B$3+16))="" ),D199/E199,    IF(E199&lt;0,0,    IF(OR( INDIRECT(ADDRESS(8,Sheet3!$B$3+16))="",INDIRECT(ADDRESS(ROW(),Sheet3!$B$3+17))=""),        (INDIRECT(ADDRESS(ROW(),Sheet3!$B$3+16))+B199)*Sheet3!$Q$4,         INDIRECT(ADDRESS(ROW(),Sheet3!$B$3+17))-INDIRECT(ADDRESS(ROW(),Sheet3!$B$3+16))))))))</f>
        <v>0</v>
      </c>
      <c r="D199" s="39">
        <f ca="1">IF(Sheet3!$B$5="",0,IF(B199="","",IF(E199&lt;1,0,   IF(INDIRECT(ADDRESS(ROW(), Sheet3!$B$3+17))="",        INDIRECT(ADDRESS(ROW(), Sheet3!$B$3+16))*  (1+Sheet3!$Q$4)   +B199*Sheet3!$Q$4,       INDIRECT(ADDRESS(ROW(), Sheet3!$B$3+17))))))</f>
        <v>0</v>
      </c>
      <c r="E199" s="40">
        <f ca="1">IF(AND(Sheet1!L199&lt;0,  Sheet1!$C$21&gt;R199),    IF(OR(Sheet1!$C$21&lt;=R200,  Sheet1!L200=""),       IF(AND(MOD(NOW(),1)&lt;TIME(9,39,0),Sheet1!$C$22=TODAY()),    Sheet1!$C$21-R199,     Sheet1!$C$21-R199-1),               R200-R199-1),    0)</f>
        <v>0</v>
      </c>
      <c r="F199" s="30"/>
      <c r="G199" s="25" t="str">
        <f>IF(LEFT(Sheet1!K200,2)="0x",Sheet1!K199,IF(AND(Sheet1!L199="",Sheet1!L198=""),"",G198))</f>
        <v/>
      </c>
      <c r="H199" s="81"/>
      <c r="I199" s="43" t="str">
        <f t="shared" si="17"/>
        <v/>
      </c>
      <c r="J199" s="29" t="str">
        <f t="shared" si="16"/>
        <v/>
      </c>
      <c r="K199" s="24" t="str">
        <f>IF(Sheet1!L199="","",IF(Sheet1!L199&gt;0,ROW(),""))</f>
        <v/>
      </c>
      <c r="L199" s="24" t="str">
        <f t="shared" ca="1" si="14"/>
        <v/>
      </c>
      <c r="M199" s="47" t="str">
        <f t="shared" ca="1" si="15"/>
        <v/>
      </c>
      <c r="N199" s="48" t="str">
        <f>IF(LEFT(Sheet1!K199,2)="0x",Sheet1!K199,IF(AND(Sheet1!L199="",Sheet1!L198=""),"",N198))</f>
        <v/>
      </c>
      <c r="O199" s="46">
        <f>IF(Sheet1!L199="",0,IF(Sheet1!O199&lt;TIME(7,39,0)+Sheet1!$E$3/24,1,0))</f>
        <v>0</v>
      </c>
      <c r="P199" s="46" t="str">
        <f ca="1">IF(AND(Sheet1!L199&lt;0, Sheet1!$C$21&gt;R199,OR(Sheet1!$C$21&lt;=R200,Sheet1!L200="")),   -1*Sheet1!L199,"")</f>
        <v/>
      </c>
    </row>
    <row r="200" spans="1:16" ht="15.75" x14ac:dyDescent="0.25">
      <c r="A200" s="456" t="str">
        <f>IF(AND(R200&lt;&gt;"",R199&lt;&gt;""),(-Sheet1!L200/Sheet1!L199)^(360/(R200-R199-1))-1,"")</f>
        <v/>
      </c>
      <c r="B200" s="41" t="str">
        <f ca="1">IF(AND(Sheet1!L200&lt;0, Sheet1!$C$21&gt;R200+1,OR(Sheet1!$C$21&lt;=R201,Sheet1!L201="")),   -1*Sheet1!L200,"")</f>
        <v/>
      </c>
      <c r="C200" s="42">
        <f ca="1">IF(Sheet3!$B$5="",0,    IF(E200&lt;1,0,  IF(B200="","",     IF(OR(Sheet3!$B$6=0,INDIRECT(ADDRESS(ROW(),Sheet3!$B$3+16))="" ),D200/E200,    IF(E200&lt;0,0,    IF(OR( INDIRECT(ADDRESS(8,Sheet3!$B$3+16))="",INDIRECT(ADDRESS(ROW(),Sheet3!$B$3+17))=""),        (INDIRECT(ADDRESS(ROW(),Sheet3!$B$3+16))+B200)*Sheet3!$Q$4,         INDIRECT(ADDRESS(ROW(),Sheet3!$B$3+17))-INDIRECT(ADDRESS(ROW(),Sheet3!$B$3+16))))))))</f>
        <v>0</v>
      </c>
      <c r="D200" s="39">
        <f ca="1">IF(Sheet3!$B$5="",0,IF(B200="","",IF(E200&lt;1,0,   IF(INDIRECT(ADDRESS(ROW(), Sheet3!$B$3+17))="",        INDIRECT(ADDRESS(ROW(), Sheet3!$B$3+16))*  (1+Sheet3!$Q$4)   +B200*Sheet3!$Q$4,       INDIRECT(ADDRESS(ROW(), Sheet3!$B$3+17))))))</f>
        <v>0</v>
      </c>
      <c r="E200" s="40">
        <f ca="1">IF(AND(Sheet1!L200&lt;0,  Sheet1!$C$21&gt;R200),    IF(OR(Sheet1!$C$21&lt;=R201,  Sheet1!L201=""),       IF(AND(MOD(NOW(),1)&lt;TIME(9,39,0),Sheet1!$C$22=TODAY()),    Sheet1!$C$21-R200,     Sheet1!$C$21-R200-1),               R201-R200-1),    0)</f>
        <v>0</v>
      </c>
      <c r="F200" s="30"/>
      <c r="G200" s="25" t="str">
        <f>IF(LEFT(Sheet1!K201,2)="0x",Sheet1!K200,IF(AND(Sheet1!L200="",Sheet1!L199=""),"",G199))</f>
        <v/>
      </c>
      <c r="H200" s="81"/>
      <c r="I200" s="43" t="str">
        <f t="shared" si="17"/>
        <v/>
      </c>
      <c r="J200" s="29" t="str">
        <f t="shared" si="16"/>
        <v/>
      </c>
      <c r="K200" s="24" t="str">
        <f>IF(Sheet1!L200="","",IF(Sheet1!L200&gt;0,ROW(),""))</f>
        <v/>
      </c>
      <c r="L200" s="24" t="str">
        <f t="shared" ca="1" si="14"/>
        <v/>
      </c>
      <c r="M200" s="47" t="str">
        <f t="shared" ca="1" si="15"/>
        <v/>
      </c>
      <c r="N200" s="48" t="str">
        <f>IF(LEFT(Sheet1!K200,2)="0x",Sheet1!K200,IF(AND(Sheet1!L200="",Sheet1!L199=""),"",N199))</f>
        <v/>
      </c>
      <c r="O200" s="46">
        <f>IF(Sheet1!L200="",0,IF(Sheet1!O200&lt;TIME(7,39,0)+Sheet1!$E$3/24,1,0))</f>
        <v>0</v>
      </c>
      <c r="P200" s="46" t="str">
        <f ca="1">IF(AND(Sheet1!L200&lt;0, Sheet1!$C$21&gt;R200,OR(Sheet1!$C$21&lt;=R201,Sheet1!L201="")),   -1*Sheet1!L200,"")</f>
        <v/>
      </c>
    </row>
    <row r="201" spans="1:16" ht="15.75" x14ac:dyDescent="0.25">
      <c r="A201" s="456" t="str">
        <f>IF(AND(R201&lt;&gt;"",R200&lt;&gt;""),(-Sheet1!L201/Sheet1!L200)^(360/(R201-R200-1))-1,"")</f>
        <v/>
      </c>
      <c r="B201" s="41" t="str">
        <f ca="1">IF(AND(Sheet1!L201&lt;0, Sheet1!$C$21&gt;R201+1,OR(Sheet1!$C$21&lt;=R202,Sheet1!L202="")),   -1*Sheet1!L201,"")</f>
        <v/>
      </c>
      <c r="C201" s="42">
        <f ca="1">IF(Sheet3!$B$5="",0,    IF(E201&lt;1,0,  IF(B201="","",     IF(OR(Sheet3!$B$6=0,INDIRECT(ADDRESS(ROW(),Sheet3!$B$3+16))="" ),D201/E201,    IF(E201&lt;0,0,    IF(OR( INDIRECT(ADDRESS(8,Sheet3!$B$3+16))="",INDIRECT(ADDRESS(ROW(),Sheet3!$B$3+17))=""),        (INDIRECT(ADDRESS(ROW(),Sheet3!$B$3+16))+B201)*Sheet3!$Q$4,         INDIRECT(ADDRESS(ROW(),Sheet3!$B$3+17))-INDIRECT(ADDRESS(ROW(),Sheet3!$B$3+16))))))))</f>
        <v>0</v>
      </c>
      <c r="D201" s="39">
        <f ca="1">IF(Sheet3!$B$5="",0,IF(B201="","",IF(E201&lt;1,0,   IF(INDIRECT(ADDRESS(ROW(), Sheet3!$B$3+17))="",        INDIRECT(ADDRESS(ROW(), Sheet3!$B$3+16))*  (1+Sheet3!$Q$4)   +B201*Sheet3!$Q$4,       INDIRECT(ADDRESS(ROW(), Sheet3!$B$3+17))))))</f>
        <v>0</v>
      </c>
      <c r="E201" s="40">
        <f ca="1">IF(AND(Sheet1!L201&lt;0,  Sheet1!$C$21&gt;R201),    IF(OR(Sheet1!$C$21&lt;=R202,  Sheet1!L202=""),       IF(AND(MOD(NOW(),1)&lt;TIME(9,39,0),Sheet1!$C$22=TODAY()),    Sheet1!$C$21-R201,     Sheet1!$C$21-R201-1),               R202-R201-1),    0)</f>
        <v>0</v>
      </c>
      <c r="F201" s="30"/>
      <c r="G201" s="25" t="str">
        <f>IF(LEFT(Sheet1!K202,2)="0x",Sheet1!K201,IF(AND(Sheet1!L201="",Sheet1!L200=""),"",G200))</f>
        <v/>
      </c>
      <c r="H201" s="81"/>
      <c r="I201" s="43" t="str">
        <f t="shared" si="17"/>
        <v/>
      </c>
      <c r="J201" s="29" t="str">
        <f t="shared" si="16"/>
        <v/>
      </c>
      <c r="K201" s="24" t="str">
        <f>IF(Sheet1!L201="","",IF(Sheet1!L201&gt;0,ROW(),""))</f>
        <v/>
      </c>
      <c r="L201" s="24" t="str">
        <f t="shared" ca="1" si="14"/>
        <v/>
      </c>
      <c r="M201" s="47" t="str">
        <f t="shared" ca="1" si="15"/>
        <v/>
      </c>
      <c r="N201" s="48" t="str">
        <f>IF(LEFT(Sheet1!K201,2)="0x",Sheet1!K201,IF(AND(Sheet1!L201="",Sheet1!L200=""),"",N200))</f>
        <v/>
      </c>
      <c r="O201" s="46">
        <f>IF(Sheet1!L201="",0,IF(Sheet1!O201&lt;TIME(7,39,0)+Sheet1!$E$3/24,1,0))</f>
        <v>0</v>
      </c>
      <c r="P201" s="46" t="str">
        <f ca="1">IF(AND(Sheet1!L201&lt;0, Sheet1!$C$21&gt;R201,OR(Sheet1!$C$21&lt;=R202,Sheet1!L202="")),   -1*Sheet1!L201,"")</f>
        <v/>
      </c>
    </row>
    <row r="202" spans="1:16" ht="15.75" x14ac:dyDescent="0.25">
      <c r="A202" s="456" t="str">
        <f>IF(AND(R202&lt;&gt;"",R201&lt;&gt;""),(-Sheet1!L202/Sheet1!L201)^(360/(R202-R201-1))-1,"")</f>
        <v/>
      </c>
      <c r="B202" s="41" t="str">
        <f ca="1">IF(AND(Sheet1!L202&lt;0, Sheet1!$C$21&gt;R202+1,OR(Sheet1!$C$21&lt;=R203,Sheet1!L203="")),   -1*Sheet1!L202,"")</f>
        <v/>
      </c>
      <c r="C202" s="42">
        <f ca="1">IF(Sheet3!$B$5="",0,    IF(E202&lt;1,0,  IF(B202="","",     IF(OR(Sheet3!$B$6=0,INDIRECT(ADDRESS(ROW(),Sheet3!$B$3+16))="" ),D202/E202,    IF(E202&lt;0,0,    IF(OR( INDIRECT(ADDRESS(8,Sheet3!$B$3+16))="",INDIRECT(ADDRESS(ROW(),Sheet3!$B$3+17))=""),        (INDIRECT(ADDRESS(ROW(),Sheet3!$B$3+16))+B202)*Sheet3!$Q$4,         INDIRECT(ADDRESS(ROW(),Sheet3!$B$3+17))-INDIRECT(ADDRESS(ROW(),Sheet3!$B$3+16))))))))</f>
        <v>0</v>
      </c>
      <c r="D202" s="39">
        <f ca="1">IF(Sheet3!$B$5="",0,IF(B202="","",IF(E202&lt;1,0,   IF(INDIRECT(ADDRESS(ROW(), Sheet3!$B$3+17))="",        INDIRECT(ADDRESS(ROW(), Sheet3!$B$3+16))*  (1+Sheet3!$Q$4)   +B202*Sheet3!$Q$4,       INDIRECT(ADDRESS(ROW(), Sheet3!$B$3+17))))))</f>
        <v>0</v>
      </c>
      <c r="E202" s="40">
        <f ca="1">IF(AND(Sheet1!L202&lt;0,  Sheet1!$C$21&gt;R202),    IF(OR(Sheet1!$C$21&lt;=R203,  Sheet1!L203=""),       IF(AND(MOD(NOW(),1)&lt;TIME(9,39,0),Sheet1!$C$22=TODAY()),    Sheet1!$C$21-R202,     Sheet1!$C$21-R202-1),               R203-R202-1),    0)</f>
        <v>0</v>
      </c>
      <c r="F202" s="30"/>
      <c r="G202" s="25" t="str">
        <f>IF(LEFT(Sheet1!K203,2)="0x",Sheet1!K202,IF(AND(Sheet1!L202="",Sheet1!L201=""),"",G201))</f>
        <v/>
      </c>
      <c r="H202" s="81"/>
      <c r="I202" s="43" t="str">
        <f t="shared" si="17"/>
        <v/>
      </c>
      <c r="J202" s="29" t="str">
        <f t="shared" si="16"/>
        <v/>
      </c>
      <c r="K202" s="24" t="str">
        <f>IF(Sheet1!L202="","",IF(Sheet1!L202&gt;0,ROW(),""))</f>
        <v/>
      </c>
      <c r="L202" s="24" t="str">
        <f t="shared" ca="1" si="14"/>
        <v/>
      </c>
      <c r="M202" s="47" t="str">
        <f t="shared" ca="1" si="15"/>
        <v/>
      </c>
      <c r="N202" s="48" t="str">
        <f>IF(LEFT(Sheet1!K202,2)="0x",Sheet1!K202,IF(AND(Sheet1!L202="",Sheet1!L201=""),"",N201))</f>
        <v/>
      </c>
      <c r="O202" s="46">
        <f>IF(Sheet1!L202="",0,IF(Sheet1!O202&lt;TIME(7,39,0)+Sheet1!$E$3/24,1,0))</f>
        <v>0</v>
      </c>
      <c r="P202" s="46" t="str">
        <f ca="1">IF(AND(Sheet1!L202&lt;0, Sheet1!$C$21&gt;R202,OR(Sheet1!$C$21&lt;=R203,Sheet1!L203="")),   -1*Sheet1!L202,"")</f>
        <v/>
      </c>
    </row>
    <row r="203" spans="1:16" ht="15.75" x14ac:dyDescent="0.25">
      <c r="A203" s="456" t="str">
        <f>IF(AND(R203&lt;&gt;"",R202&lt;&gt;""),(-Sheet1!L203/Sheet1!L202)^(360/(R203-R202-1))-1,"")</f>
        <v/>
      </c>
      <c r="B203" s="41" t="str">
        <f ca="1">IF(AND(Sheet1!L203&lt;0, Sheet1!$C$21&gt;R203+1,OR(Sheet1!$C$21&lt;=R204,Sheet1!L204="")),   -1*Sheet1!L203,"")</f>
        <v/>
      </c>
      <c r="C203" s="42">
        <f ca="1">IF(Sheet3!$B$5="",0,    IF(E203&lt;1,0,  IF(B203="","",     IF(OR(Sheet3!$B$6=0,INDIRECT(ADDRESS(ROW(),Sheet3!$B$3+16))="" ),D203/E203,    IF(E203&lt;0,0,    IF(OR( INDIRECT(ADDRESS(8,Sheet3!$B$3+16))="",INDIRECT(ADDRESS(ROW(),Sheet3!$B$3+17))=""),        (INDIRECT(ADDRESS(ROW(),Sheet3!$B$3+16))+B203)*Sheet3!$Q$4,         INDIRECT(ADDRESS(ROW(),Sheet3!$B$3+17))-INDIRECT(ADDRESS(ROW(),Sheet3!$B$3+16))))))))</f>
        <v>0</v>
      </c>
      <c r="D203" s="39">
        <f ca="1">IF(Sheet3!$B$5="",0,IF(B203="","",IF(E203&lt;1,0,   IF(INDIRECT(ADDRESS(ROW(), Sheet3!$B$3+17))="",        INDIRECT(ADDRESS(ROW(), Sheet3!$B$3+16))*  (1+Sheet3!$Q$4)   +B203*Sheet3!$Q$4,       INDIRECT(ADDRESS(ROW(), Sheet3!$B$3+17))))))</f>
        <v>0</v>
      </c>
      <c r="E203" s="40">
        <f ca="1">IF(AND(Sheet1!L203&lt;0,  Sheet1!$C$21&gt;R203),    IF(OR(Sheet1!$C$21&lt;=R204,  Sheet1!L204=""),       IF(AND(MOD(NOW(),1)&lt;TIME(9,39,0),Sheet1!$C$22=TODAY()),    Sheet1!$C$21-R203,     Sheet1!$C$21-R203-1),               R204-R203-1),    0)</f>
        <v>0</v>
      </c>
      <c r="F203" s="30"/>
      <c r="G203" s="25" t="str">
        <f>IF(LEFT(Sheet1!K204,2)="0x",Sheet1!K203,IF(AND(Sheet1!L203="",Sheet1!L202=""),"",G202))</f>
        <v/>
      </c>
      <c r="H203" s="81"/>
      <c r="I203" s="43" t="str">
        <f t="shared" si="17"/>
        <v/>
      </c>
      <c r="J203" s="29" t="str">
        <f t="shared" si="16"/>
        <v/>
      </c>
      <c r="K203" s="24" t="str">
        <f>IF(Sheet1!L203="","",IF(Sheet1!L203&gt;0,ROW(),""))</f>
        <v/>
      </c>
      <c r="L203" s="24" t="str">
        <f t="shared" ca="1" si="14"/>
        <v/>
      </c>
      <c r="M203" s="47" t="str">
        <f t="shared" ca="1" si="15"/>
        <v/>
      </c>
      <c r="N203" s="48" t="str">
        <f>IF(LEFT(Sheet1!K203,2)="0x",Sheet1!K203,IF(AND(Sheet1!L203="",Sheet1!L202=""),"",N202))</f>
        <v/>
      </c>
      <c r="O203" s="46">
        <f>IF(Sheet1!L203="",0,IF(Sheet1!O203&lt;TIME(7,39,0)+Sheet1!$E$3/24,1,0))</f>
        <v>0</v>
      </c>
      <c r="P203" s="46" t="str">
        <f ca="1">IF(AND(Sheet1!L203&lt;0, Sheet1!$C$21&gt;R203,OR(Sheet1!$C$21&lt;=R204,Sheet1!L204="")),   -1*Sheet1!L203,"")</f>
        <v/>
      </c>
    </row>
    <row r="204" spans="1:16" ht="15.75" x14ac:dyDescent="0.25">
      <c r="A204" s="456" t="str">
        <f>IF(AND(R204&lt;&gt;"",R203&lt;&gt;""),(-Sheet1!L204/Sheet1!L203)^(360/(R204-R203-1))-1,"")</f>
        <v/>
      </c>
      <c r="B204" s="41" t="str">
        <f ca="1">IF(AND(Sheet1!L204&lt;0, Sheet1!$C$21&gt;R204+1,OR(Sheet1!$C$21&lt;=R205,Sheet1!L205="")),   -1*Sheet1!L204,"")</f>
        <v/>
      </c>
      <c r="C204" s="42">
        <f ca="1">IF(Sheet3!$B$5="",0,    IF(E204&lt;1,0,  IF(B204="","",     IF(OR(Sheet3!$B$6=0,INDIRECT(ADDRESS(ROW(),Sheet3!$B$3+16))="" ),D204/E204,    IF(E204&lt;0,0,    IF(OR( INDIRECT(ADDRESS(8,Sheet3!$B$3+16))="",INDIRECT(ADDRESS(ROW(),Sheet3!$B$3+17))=""),        (INDIRECT(ADDRESS(ROW(),Sheet3!$B$3+16))+B204)*Sheet3!$Q$4,         INDIRECT(ADDRESS(ROW(),Sheet3!$B$3+17))-INDIRECT(ADDRESS(ROW(),Sheet3!$B$3+16))))))))</f>
        <v>0</v>
      </c>
      <c r="D204" s="39">
        <f ca="1">IF(Sheet3!$B$5="",0,IF(B204="","",IF(E204&lt;1,0,   IF(INDIRECT(ADDRESS(ROW(), Sheet3!$B$3+17))="",        INDIRECT(ADDRESS(ROW(), Sheet3!$B$3+16))*  (1+Sheet3!$Q$4)   +B204*Sheet3!$Q$4,       INDIRECT(ADDRESS(ROW(), Sheet3!$B$3+17))))))</f>
        <v>0</v>
      </c>
      <c r="E204" s="40">
        <f ca="1">IF(AND(Sheet1!L204&lt;0,  Sheet1!$C$21&gt;R204),    IF(OR(Sheet1!$C$21&lt;=R205,  Sheet1!L205=""),       IF(AND(MOD(NOW(),1)&lt;TIME(9,39,0),Sheet1!$C$22=TODAY()),    Sheet1!$C$21-R204,     Sheet1!$C$21-R204-1),               R205-R204-1),    0)</f>
        <v>0</v>
      </c>
      <c r="F204" s="30"/>
      <c r="G204" s="25" t="str">
        <f>IF(LEFT(Sheet1!K205,2)="0x",Sheet1!K204,IF(AND(Sheet1!L204="",Sheet1!L203=""),"",G203))</f>
        <v/>
      </c>
      <c r="H204" s="81"/>
      <c r="I204" s="43" t="str">
        <f t="shared" si="17"/>
        <v/>
      </c>
      <c r="J204" s="29" t="str">
        <f t="shared" si="16"/>
        <v/>
      </c>
      <c r="K204" s="24" t="str">
        <f>IF(Sheet1!L204="","",IF(Sheet1!L204&gt;0,ROW(),""))</f>
        <v/>
      </c>
      <c r="L204" s="24" t="str">
        <f t="shared" ca="1" si="14"/>
        <v/>
      </c>
      <c r="M204" s="47" t="str">
        <f t="shared" ca="1" si="15"/>
        <v/>
      </c>
      <c r="N204" s="48" t="str">
        <f>IF(LEFT(Sheet1!K204,2)="0x",Sheet1!K204,IF(AND(Sheet1!L204="",Sheet1!L203=""),"",N203))</f>
        <v/>
      </c>
      <c r="O204" s="46">
        <f>IF(Sheet1!L204="",0,IF(Sheet1!O204&lt;TIME(7,39,0)+Sheet1!$E$3/24,1,0))</f>
        <v>0</v>
      </c>
      <c r="P204" s="46" t="str">
        <f ca="1">IF(AND(Sheet1!L204&lt;0, Sheet1!$C$21&gt;R204,OR(Sheet1!$C$21&lt;=R205,Sheet1!L205="")),   -1*Sheet1!L204,"")</f>
        <v/>
      </c>
    </row>
    <row r="205" spans="1:16" ht="15.75" x14ac:dyDescent="0.25">
      <c r="A205" s="456" t="str">
        <f>IF(AND(R205&lt;&gt;"",R204&lt;&gt;""),(-Sheet1!L205/Sheet1!L204)^(360/(R205-R204-1))-1,"")</f>
        <v/>
      </c>
      <c r="B205" s="41" t="str">
        <f ca="1">IF(AND(Sheet1!L205&lt;0, Sheet1!$C$21&gt;R205+1,OR(Sheet1!$C$21&lt;=R206,Sheet1!L206="")),   -1*Sheet1!L205,"")</f>
        <v/>
      </c>
      <c r="C205" s="42">
        <f ca="1">IF(Sheet3!$B$5="",0,    IF(E205&lt;1,0,  IF(B205="","",     IF(OR(Sheet3!$B$6=0,INDIRECT(ADDRESS(ROW(),Sheet3!$B$3+16))="" ),D205/E205,    IF(E205&lt;0,0,    IF(OR( INDIRECT(ADDRESS(8,Sheet3!$B$3+16))="",INDIRECT(ADDRESS(ROW(),Sheet3!$B$3+17))=""),        (INDIRECT(ADDRESS(ROW(),Sheet3!$B$3+16))+B205)*Sheet3!$Q$4,         INDIRECT(ADDRESS(ROW(),Sheet3!$B$3+17))-INDIRECT(ADDRESS(ROW(),Sheet3!$B$3+16))))))))</f>
        <v>0</v>
      </c>
      <c r="D205" s="39">
        <f ca="1">IF(Sheet3!$B$5="",0,IF(B205="","",IF(E205&lt;1,0,   IF(INDIRECT(ADDRESS(ROW(), Sheet3!$B$3+17))="",        INDIRECT(ADDRESS(ROW(), Sheet3!$B$3+16))*  (1+Sheet3!$Q$4)   +B205*Sheet3!$Q$4,       INDIRECT(ADDRESS(ROW(), Sheet3!$B$3+17))))))</f>
        <v>0</v>
      </c>
      <c r="E205" s="40">
        <f ca="1">IF(AND(Sheet1!L205&lt;0,  Sheet1!$C$21&gt;R205),    IF(OR(Sheet1!$C$21&lt;=R206,  Sheet1!L206=""),       IF(AND(MOD(NOW(),1)&lt;TIME(9,39,0),Sheet1!$C$22=TODAY()),    Sheet1!$C$21-R205,     Sheet1!$C$21-R205-1),               R206-R205-1),    0)</f>
        <v>0</v>
      </c>
      <c r="F205" s="30"/>
      <c r="G205" s="25" t="str">
        <f>IF(LEFT(Sheet1!K206,2)="0x",Sheet1!K205,IF(AND(Sheet1!L205="",Sheet1!L204=""),"",G204))</f>
        <v/>
      </c>
      <c r="H205" s="81"/>
      <c r="I205" s="43" t="str">
        <f t="shared" si="17"/>
        <v/>
      </c>
      <c r="J205" s="29" t="str">
        <f t="shared" si="16"/>
        <v/>
      </c>
      <c r="K205" s="24" t="str">
        <f>IF(Sheet1!L205="","",IF(Sheet1!L205&gt;0,ROW(),""))</f>
        <v/>
      </c>
      <c r="L205" s="24" t="str">
        <f t="shared" ca="1" si="14"/>
        <v/>
      </c>
      <c r="M205" s="47" t="str">
        <f t="shared" ca="1" si="15"/>
        <v/>
      </c>
      <c r="N205" s="48" t="str">
        <f>IF(LEFT(Sheet1!K205,2)="0x",Sheet1!K205,IF(AND(Sheet1!L205="",Sheet1!L204=""),"",N204))</f>
        <v/>
      </c>
      <c r="O205" s="46">
        <f>IF(Sheet1!L205="",0,IF(Sheet1!O205&lt;TIME(7,39,0)+Sheet1!$E$3/24,1,0))</f>
        <v>0</v>
      </c>
      <c r="P205" s="46" t="str">
        <f ca="1">IF(AND(Sheet1!L205&lt;0, Sheet1!$C$21&gt;R205,OR(Sheet1!$C$21&lt;=R206,Sheet1!L206="")),   -1*Sheet1!L205,"")</f>
        <v/>
      </c>
    </row>
    <row r="206" spans="1:16" ht="15.75" x14ac:dyDescent="0.25">
      <c r="A206" s="456" t="str">
        <f>IF(AND(R206&lt;&gt;"",R205&lt;&gt;""),(-Sheet1!L206/Sheet1!L205)^(360/(R206-R205-1))-1,"")</f>
        <v/>
      </c>
      <c r="B206" s="41" t="str">
        <f ca="1">IF(AND(Sheet1!L206&lt;0, Sheet1!$C$21&gt;R206+1,OR(Sheet1!$C$21&lt;=R207,Sheet1!L207="")),   -1*Sheet1!L206,"")</f>
        <v/>
      </c>
      <c r="C206" s="42">
        <f ca="1">IF(Sheet3!$B$5="",0,    IF(E206&lt;1,0,  IF(B206="","",     IF(OR(Sheet3!$B$6=0,INDIRECT(ADDRESS(ROW(),Sheet3!$B$3+16))="" ),D206/E206,    IF(E206&lt;0,0,    IF(OR( INDIRECT(ADDRESS(8,Sheet3!$B$3+16))="",INDIRECT(ADDRESS(ROW(),Sheet3!$B$3+17))=""),        (INDIRECT(ADDRESS(ROW(),Sheet3!$B$3+16))+B206)*Sheet3!$Q$4,         INDIRECT(ADDRESS(ROW(),Sheet3!$B$3+17))-INDIRECT(ADDRESS(ROW(),Sheet3!$B$3+16))))))))</f>
        <v>0</v>
      </c>
      <c r="D206" s="39">
        <f ca="1">IF(Sheet3!$B$5="",0,IF(B206="","",IF(E206&lt;1,0,   IF(INDIRECT(ADDRESS(ROW(), Sheet3!$B$3+17))="",        INDIRECT(ADDRESS(ROW(), Sheet3!$B$3+16))*  (1+Sheet3!$Q$4)   +B206*Sheet3!$Q$4,       INDIRECT(ADDRESS(ROW(), Sheet3!$B$3+17))))))</f>
        <v>0</v>
      </c>
      <c r="E206" s="40">
        <f ca="1">IF(AND(Sheet1!L206&lt;0,  Sheet1!$C$21&gt;R206),    IF(OR(Sheet1!$C$21&lt;=R207,  Sheet1!L207=""),       IF(AND(MOD(NOW(),1)&lt;TIME(9,39,0),Sheet1!$C$22=TODAY()),    Sheet1!$C$21-R206,     Sheet1!$C$21-R206-1),               R207-R206-1),    0)</f>
        <v>0</v>
      </c>
      <c r="F206" s="30"/>
      <c r="G206" s="25" t="str">
        <f>IF(LEFT(Sheet1!K207,2)="0x",Sheet1!K206,IF(AND(Sheet1!L206="",Sheet1!L205=""),"",G205))</f>
        <v/>
      </c>
      <c r="H206" s="81"/>
      <c r="I206" s="43" t="str">
        <f t="shared" si="17"/>
        <v/>
      </c>
      <c r="J206" s="29" t="str">
        <f t="shared" si="16"/>
        <v/>
      </c>
      <c r="K206" s="24" t="str">
        <f>IF(Sheet1!L206="","",IF(Sheet1!L206&gt;0,ROW(),""))</f>
        <v/>
      </c>
      <c r="L206" s="24" t="str">
        <f t="shared" ref="L206:L269" ca="1" si="18">IF(B206&lt;&gt;"",ROW(),"")</f>
        <v/>
      </c>
      <c r="M206" s="47" t="str">
        <f t="shared" ref="M206:M269" ca="1" si="19">IF(P206&lt;&gt;"",ROW(),"")</f>
        <v/>
      </c>
      <c r="N206" s="48" t="str">
        <f>IF(LEFT(Sheet1!K206,2)="0x",Sheet1!K206,IF(AND(Sheet1!L206="",Sheet1!L205=""),"",N205))</f>
        <v/>
      </c>
      <c r="O206" s="46">
        <f>IF(Sheet1!L206="",0,IF(Sheet1!O206&lt;TIME(7,39,0)+Sheet1!$E$3/24,1,0))</f>
        <v>0</v>
      </c>
      <c r="P206" s="46" t="str">
        <f ca="1">IF(AND(Sheet1!L206&lt;0, Sheet1!$C$21&gt;R206,OR(Sheet1!$C$21&lt;=R207,Sheet1!L207="")),   -1*Sheet1!L206,"")</f>
        <v/>
      </c>
    </row>
    <row r="207" spans="1:16" ht="15.75" x14ac:dyDescent="0.25">
      <c r="A207" s="456" t="str">
        <f>IF(AND(R207&lt;&gt;"",R206&lt;&gt;""),(-Sheet1!L207/Sheet1!L206)^(360/(R207-R206-1))-1,"")</f>
        <v/>
      </c>
      <c r="B207" s="41" t="str">
        <f ca="1">IF(AND(Sheet1!L207&lt;0, Sheet1!$C$21&gt;R207+1,OR(Sheet1!$C$21&lt;=R208,Sheet1!L208="")),   -1*Sheet1!L207,"")</f>
        <v/>
      </c>
      <c r="C207" s="42">
        <f ca="1">IF(Sheet3!$B$5="",0,    IF(E207&lt;1,0,  IF(B207="","",     IF(OR(Sheet3!$B$6=0,INDIRECT(ADDRESS(ROW(),Sheet3!$B$3+16))="" ),D207/E207,    IF(E207&lt;0,0,    IF(OR( INDIRECT(ADDRESS(8,Sheet3!$B$3+16))="",INDIRECT(ADDRESS(ROW(),Sheet3!$B$3+17))=""),        (INDIRECT(ADDRESS(ROW(),Sheet3!$B$3+16))+B207)*Sheet3!$Q$4,         INDIRECT(ADDRESS(ROW(),Sheet3!$B$3+17))-INDIRECT(ADDRESS(ROW(),Sheet3!$B$3+16))))))))</f>
        <v>0</v>
      </c>
      <c r="D207" s="39">
        <f ca="1">IF(Sheet3!$B$5="",0,IF(B207="","",IF(E207&lt;1,0,   IF(INDIRECT(ADDRESS(ROW(), Sheet3!$B$3+17))="",        INDIRECT(ADDRESS(ROW(), Sheet3!$B$3+16))*  (1+Sheet3!$Q$4)   +B207*Sheet3!$Q$4,       INDIRECT(ADDRESS(ROW(), Sheet3!$B$3+17))))))</f>
        <v>0</v>
      </c>
      <c r="E207" s="40">
        <f ca="1">IF(AND(Sheet1!L207&lt;0,  Sheet1!$C$21&gt;R207),    IF(OR(Sheet1!$C$21&lt;=R208,  Sheet1!L208=""),       IF(AND(MOD(NOW(),1)&lt;TIME(9,39,0),Sheet1!$C$22=TODAY()),    Sheet1!$C$21-R207,     Sheet1!$C$21-R207-1),               R208-R207-1),    0)</f>
        <v>0</v>
      </c>
      <c r="F207" s="30"/>
      <c r="G207" s="25" t="str">
        <f>IF(LEFT(Sheet1!K208,2)="0x",Sheet1!K207,IF(AND(Sheet1!L207="",Sheet1!L206=""),"",G206))</f>
        <v/>
      </c>
      <c r="H207" s="81"/>
      <c r="I207" s="43" t="str">
        <f t="shared" si="17"/>
        <v/>
      </c>
      <c r="J207" s="29" t="str">
        <f t="shared" si="16"/>
        <v/>
      </c>
      <c r="K207" s="24" t="str">
        <f>IF(Sheet1!L207="","",IF(Sheet1!L207&gt;0,ROW(),""))</f>
        <v/>
      </c>
      <c r="L207" s="24" t="str">
        <f t="shared" ca="1" si="18"/>
        <v/>
      </c>
      <c r="M207" s="47" t="str">
        <f t="shared" ca="1" si="19"/>
        <v/>
      </c>
      <c r="N207" s="48" t="str">
        <f>IF(LEFT(Sheet1!K207,2)="0x",Sheet1!K207,IF(AND(Sheet1!L207="",Sheet1!L206=""),"",N206))</f>
        <v/>
      </c>
      <c r="O207" s="46">
        <f>IF(Sheet1!L207="",0,IF(Sheet1!O207&lt;TIME(7,39,0)+Sheet1!$E$3/24,1,0))</f>
        <v>0</v>
      </c>
      <c r="P207" s="46" t="str">
        <f ca="1">IF(AND(Sheet1!L207&lt;0, Sheet1!$C$21&gt;R207,OR(Sheet1!$C$21&lt;=R208,Sheet1!L208="")),   -1*Sheet1!L207,"")</f>
        <v/>
      </c>
    </row>
    <row r="208" spans="1:16" ht="15.75" x14ac:dyDescent="0.25">
      <c r="A208" s="456" t="str">
        <f>IF(AND(R208&lt;&gt;"",R207&lt;&gt;""),(-Sheet1!L208/Sheet1!L207)^(360/(R208-R207-1))-1,"")</f>
        <v/>
      </c>
      <c r="B208" s="41" t="str">
        <f ca="1">IF(AND(Sheet1!L208&lt;0, Sheet1!$C$21&gt;R208+1,OR(Sheet1!$C$21&lt;=R209,Sheet1!L209="")),   -1*Sheet1!L208,"")</f>
        <v/>
      </c>
      <c r="C208" s="42">
        <f ca="1">IF(Sheet3!$B$5="",0,    IF(E208&lt;1,0,  IF(B208="","",     IF(OR(Sheet3!$B$6=0,INDIRECT(ADDRESS(ROW(),Sheet3!$B$3+16))="" ),D208/E208,    IF(E208&lt;0,0,    IF(OR( INDIRECT(ADDRESS(8,Sheet3!$B$3+16))="",INDIRECT(ADDRESS(ROW(),Sheet3!$B$3+17))=""),        (INDIRECT(ADDRESS(ROW(),Sheet3!$B$3+16))+B208)*Sheet3!$Q$4,         INDIRECT(ADDRESS(ROW(),Sheet3!$B$3+17))-INDIRECT(ADDRESS(ROW(),Sheet3!$B$3+16))))))))</f>
        <v>0</v>
      </c>
      <c r="D208" s="39">
        <f ca="1">IF(Sheet3!$B$5="",0,IF(B208="","",IF(E208&lt;1,0,   IF(INDIRECT(ADDRESS(ROW(), Sheet3!$B$3+17))="",        INDIRECT(ADDRESS(ROW(), Sheet3!$B$3+16))*  (1+Sheet3!$Q$4)   +B208*Sheet3!$Q$4,       INDIRECT(ADDRESS(ROW(), Sheet3!$B$3+17))))))</f>
        <v>0</v>
      </c>
      <c r="E208" s="40">
        <f ca="1">IF(AND(Sheet1!L208&lt;0,  Sheet1!$C$21&gt;R208),    IF(OR(Sheet1!$C$21&lt;=R209,  Sheet1!L209=""),       IF(AND(MOD(NOW(),1)&lt;TIME(9,39,0),Sheet1!$C$22=TODAY()),    Sheet1!$C$21-R208,     Sheet1!$C$21-R208-1),               R209-R208-1),    0)</f>
        <v>0</v>
      </c>
      <c r="F208" s="30"/>
      <c r="G208" s="25" t="str">
        <f>IF(LEFT(Sheet1!K209,2)="0x",Sheet1!K208,IF(AND(Sheet1!L208="",Sheet1!L207=""),"",G207))</f>
        <v/>
      </c>
      <c r="H208" s="81"/>
      <c r="I208" s="43" t="str">
        <f t="shared" si="17"/>
        <v/>
      </c>
      <c r="J208" s="29" t="str">
        <f t="shared" si="16"/>
        <v/>
      </c>
      <c r="K208" s="24" t="str">
        <f>IF(Sheet1!L208="","",IF(Sheet1!L208&gt;0,ROW(),""))</f>
        <v/>
      </c>
      <c r="L208" s="24" t="str">
        <f t="shared" ca="1" si="18"/>
        <v/>
      </c>
      <c r="M208" s="47" t="str">
        <f t="shared" ca="1" si="19"/>
        <v/>
      </c>
      <c r="N208" s="48" t="str">
        <f>IF(LEFT(Sheet1!K208,2)="0x",Sheet1!K208,IF(AND(Sheet1!L208="",Sheet1!L207=""),"",N207))</f>
        <v/>
      </c>
      <c r="O208" s="46">
        <f>IF(Sheet1!L208="",0,IF(Sheet1!O208&lt;TIME(7,39,0)+Sheet1!$E$3/24,1,0))</f>
        <v>0</v>
      </c>
      <c r="P208" s="46" t="str">
        <f ca="1">IF(AND(Sheet1!L208&lt;0, Sheet1!$C$21&gt;R208,OR(Sheet1!$C$21&lt;=R209,Sheet1!L209="")),   -1*Sheet1!L208,"")</f>
        <v/>
      </c>
    </row>
    <row r="209" spans="1:16" ht="15.75" x14ac:dyDescent="0.25">
      <c r="A209" s="456" t="str">
        <f>IF(AND(R209&lt;&gt;"",R208&lt;&gt;""),(-Sheet1!L209/Sheet1!L208)^(360/(R209-R208-1))-1,"")</f>
        <v/>
      </c>
      <c r="B209" s="41" t="str">
        <f ca="1">IF(AND(Sheet1!L209&lt;0, Sheet1!$C$21&gt;R209+1,OR(Sheet1!$C$21&lt;=R210,Sheet1!L210="")),   -1*Sheet1!L209,"")</f>
        <v/>
      </c>
      <c r="C209" s="42">
        <f ca="1">IF(Sheet3!$B$5="",0,    IF(E209&lt;1,0,  IF(B209="","",     IF(OR(Sheet3!$B$6=0,INDIRECT(ADDRESS(ROW(),Sheet3!$B$3+16))="" ),D209/E209,    IF(E209&lt;0,0,    IF(OR( INDIRECT(ADDRESS(8,Sheet3!$B$3+16))="",INDIRECT(ADDRESS(ROW(),Sheet3!$B$3+17))=""),        (INDIRECT(ADDRESS(ROW(),Sheet3!$B$3+16))+B209)*Sheet3!$Q$4,         INDIRECT(ADDRESS(ROW(),Sheet3!$B$3+17))-INDIRECT(ADDRESS(ROW(),Sheet3!$B$3+16))))))))</f>
        <v>0</v>
      </c>
      <c r="D209" s="39">
        <f ca="1">IF(Sheet3!$B$5="",0,IF(B209="","",IF(E209&lt;1,0,   IF(INDIRECT(ADDRESS(ROW(), Sheet3!$B$3+17))="",        INDIRECT(ADDRESS(ROW(), Sheet3!$B$3+16))*  (1+Sheet3!$Q$4)   +B209*Sheet3!$Q$4,       INDIRECT(ADDRESS(ROW(), Sheet3!$B$3+17))))))</f>
        <v>0</v>
      </c>
      <c r="E209" s="40">
        <f ca="1">IF(AND(Sheet1!L209&lt;0,  Sheet1!$C$21&gt;R209),    IF(OR(Sheet1!$C$21&lt;=R210,  Sheet1!L210=""),       IF(AND(MOD(NOW(),1)&lt;TIME(9,39,0),Sheet1!$C$22=TODAY()),    Sheet1!$C$21-R209,     Sheet1!$C$21-R209-1),               R210-R209-1),    0)</f>
        <v>0</v>
      </c>
      <c r="F209" s="30"/>
      <c r="G209" s="25" t="str">
        <f>IF(LEFT(Sheet1!K210,2)="0x",Sheet1!K209,IF(AND(Sheet1!L209="",Sheet1!L208=""),"",G208))</f>
        <v/>
      </c>
      <c r="H209" s="81"/>
      <c r="I209" s="43" t="str">
        <f t="shared" si="17"/>
        <v/>
      </c>
      <c r="J209" s="29" t="str">
        <f t="shared" si="16"/>
        <v/>
      </c>
      <c r="K209" s="24" t="str">
        <f>IF(Sheet1!L209="","",IF(Sheet1!L209&gt;0,ROW(),""))</f>
        <v/>
      </c>
      <c r="L209" s="24" t="str">
        <f t="shared" ca="1" si="18"/>
        <v/>
      </c>
      <c r="M209" s="47" t="str">
        <f t="shared" ca="1" si="19"/>
        <v/>
      </c>
      <c r="N209" s="48" t="str">
        <f>IF(LEFT(Sheet1!K209,2)="0x",Sheet1!K209,IF(AND(Sheet1!L209="",Sheet1!L208=""),"",N208))</f>
        <v/>
      </c>
      <c r="O209" s="46">
        <f>IF(Sheet1!L209="",0,IF(Sheet1!O209&lt;TIME(7,39,0)+Sheet1!$E$3/24,1,0))</f>
        <v>0</v>
      </c>
      <c r="P209" s="46" t="str">
        <f ca="1">IF(AND(Sheet1!L209&lt;0, Sheet1!$C$21&gt;R209,OR(Sheet1!$C$21&lt;=R210,Sheet1!L210="")),   -1*Sheet1!L209,"")</f>
        <v/>
      </c>
    </row>
    <row r="210" spans="1:16" ht="15.75" x14ac:dyDescent="0.25">
      <c r="A210" s="456" t="str">
        <f>IF(AND(R210&lt;&gt;"",R209&lt;&gt;""),(-Sheet1!L210/Sheet1!L209)^(360/(R210-R209-1))-1,"")</f>
        <v/>
      </c>
      <c r="B210" s="41" t="str">
        <f ca="1">IF(AND(Sheet1!L210&lt;0, Sheet1!$C$21&gt;R210+1,OR(Sheet1!$C$21&lt;=R211,Sheet1!L211="")),   -1*Sheet1!L210,"")</f>
        <v/>
      </c>
      <c r="C210" s="42">
        <f ca="1">IF(Sheet3!$B$5="",0,    IF(E210&lt;1,0,  IF(B210="","",     IF(OR(Sheet3!$B$6=0,INDIRECT(ADDRESS(ROW(),Sheet3!$B$3+16))="" ),D210/E210,    IF(E210&lt;0,0,    IF(OR( INDIRECT(ADDRESS(8,Sheet3!$B$3+16))="",INDIRECT(ADDRESS(ROW(),Sheet3!$B$3+17))=""),        (INDIRECT(ADDRESS(ROW(),Sheet3!$B$3+16))+B210)*Sheet3!$Q$4,         INDIRECT(ADDRESS(ROW(),Sheet3!$B$3+17))-INDIRECT(ADDRESS(ROW(),Sheet3!$B$3+16))))))))</f>
        <v>0</v>
      </c>
      <c r="D210" s="39">
        <f ca="1">IF(Sheet3!$B$5="",0,IF(B210="","",IF(E210&lt;1,0,   IF(INDIRECT(ADDRESS(ROW(), Sheet3!$B$3+17))="",        INDIRECT(ADDRESS(ROW(), Sheet3!$B$3+16))*  (1+Sheet3!$Q$4)   +B210*Sheet3!$Q$4,       INDIRECT(ADDRESS(ROW(), Sheet3!$B$3+17))))))</f>
        <v>0</v>
      </c>
      <c r="E210" s="40">
        <f ca="1">IF(AND(Sheet1!L210&lt;0,  Sheet1!$C$21&gt;R210),    IF(OR(Sheet1!$C$21&lt;=R211,  Sheet1!L211=""),       IF(AND(MOD(NOW(),1)&lt;TIME(9,39,0),Sheet1!$C$22=TODAY()),    Sheet1!$C$21-R210,     Sheet1!$C$21-R210-1),               R211-R210-1),    0)</f>
        <v>0</v>
      </c>
      <c r="F210" s="30"/>
      <c r="G210" s="25" t="str">
        <f>IF(LEFT(Sheet1!K211,2)="0x",Sheet1!K210,IF(AND(Sheet1!L210="",Sheet1!L209=""),"",G209))</f>
        <v/>
      </c>
      <c r="H210" s="81"/>
      <c r="I210" s="43" t="str">
        <f t="shared" si="17"/>
        <v/>
      </c>
      <c r="J210" s="29" t="str">
        <f t="shared" si="16"/>
        <v/>
      </c>
      <c r="K210" s="24" t="str">
        <f>IF(Sheet1!L210="","",IF(Sheet1!L210&gt;0,ROW(),""))</f>
        <v/>
      </c>
      <c r="L210" s="24" t="str">
        <f t="shared" ca="1" si="18"/>
        <v/>
      </c>
      <c r="M210" s="47" t="str">
        <f t="shared" ca="1" si="19"/>
        <v/>
      </c>
      <c r="N210" s="48" t="str">
        <f>IF(LEFT(Sheet1!K210,2)="0x",Sheet1!K210,IF(AND(Sheet1!L210="",Sheet1!L209=""),"",N209))</f>
        <v/>
      </c>
      <c r="O210" s="46">
        <f>IF(Sheet1!L210="",0,IF(Sheet1!O210&lt;TIME(7,39,0)+Sheet1!$E$3/24,1,0))</f>
        <v>0</v>
      </c>
      <c r="P210" s="46" t="str">
        <f ca="1">IF(AND(Sheet1!L210&lt;0, Sheet1!$C$21&gt;R210,OR(Sheet1!$C$21&lt;=R211,Sheet1!L211="")),   -1*Sheet1!L210,"")</f>
        <v/>
      </c>
    </row>
    <row r="211" spans="1:16" ht="15.75" x14ac:dyDescent="0.25">
      <c r="A211" s="456" t="str">
        <f>IF(AND(R211&lt;&gt;"",R210&lt;&gt;""),(-Sheet1!L211/Sheet1!L210)^(360/(R211-R210-1))-1,"")</f>
        <v/>
      </c>
      <c r="B211" s="41" t="str">
        <f ca="1">IF(AND(Sheet1!L211&lt;0, Sheet1!$C$21&gt;R211+1,OR(Sheet1!$C$21&lt;=R212,Sheet1!L212="")),   -1*Sheet1!L211,"")</f>
        <v/>
      </c>
      <c r="C211" s="42">
        <f ca="1">IF(Sheet3!$B$5="",0,    IF(E211&lt;1,0,  IF(B211="","",     IF(OR(Sheet3!$B$6=0,INDIRECT(ADDRESS(ROW(),Sheet3!$B$3+16))="" ),D211/E211,    IF(E211&lt;0,0,    IF(OR( INDIRECT(ADDRESS(8,Sheet3!$B$3+16))="",INDIRECT(ADDRESS(ROW(),Sheet3!$B$3+17))=""),        (INDIRECT(ADDRESS(ROW(),Sheet3!$B$3+16))+B211)*Sheet3!$Q$4,         INDIRECT(ADDRESS(ROW(),Sheet3!$B$3+17))-INDIRECT(ADDRESS(ROW(),Sheet3!$B$3+16))))))))</f>
        <v>0</v>
      </c>
      <c r="D211" s="39">
        <f ca="1">IF(Sheet3!$B$5="",0,IF(B211="","",IF(E211&lt;1,0,   IF(INDIRECT(ADDRESS(ROW(), Sheet3!$B$3+17))="",        INDIRECT(ADDRESS(ROW(), Sheet3!$B$3+16))*  (1+Sheet3!$Q$4)   +B211*Sheet3!$Q$4,       INDIRECT(ADDRESS(ROW(), Sheet3!$B$3+17))))))</f>
        <v>0</v>
      </c>
      <c r="E211" s="40">
        <f ca="1">IF(AND(Sheet1!L211&lt;0,  Sheet1!$C$21&gt;R211),    IF(OR(Sheet1!$C$21&lt;=R212,  Sheet1!L212=""),       IF(AND(MOD(NOW(),1)&lt;TIME(9,39,0),Sheet1!$C$22=TODAY()),    Sheet1!$C$21-R211,     Sheet1!$C$21-R211-1),               R212-R211-1),    0)</f>
        <v>0</v>
      </c>
      <c r="F211" s="30"/>
      <c r="G211" s="25" t="str">
        <f>IF(LEFT(Sheet1!K212,2)="0x",Sheet1!K211,IF(AND(Sheet1!L211="",Sheet1!L210=""),"",G210))</f>
        <v/>
      </c>
      <c r="H211" s="81"/>
      <c r="I211" s="43" t="str">
        <f t="shared" si="17"/>
        <v/>
      </c>
      <c r="J211" s="29" t="str">
        <f t="shared" si="16"/>
        <v/>
      </c>
      <c r="K211" s="24" t="str">
        <f>IF(Sheet1!L211="","",IF(Sheet1!L211&gt;0,ROW(),""))</f>
        <v/>
      </c>
      <c r="L211" s="24" t="str">
        <f t="shared" ca="1" si="18"/>
        <v/>
      </c>
      <c r="M211" s="47" t="str">
        <f t="shared" ca="1" si="19"/>
        <v/>
      </c>
      <c r="N211" s="48" t="str">
        <f>IF(LEFT(Sheet1!K211,2)="0x",Sheet1!K211,IF(AND(Sheet1!L211="",Sheet1!L210=""),"",N210))</f>
        <v/>
      </c>
      <c r="O211" s="46">
        <f>IF(Sheet1!L211="",0,IF(Sheet1!O211&lt;TIME(7,39,0)+Sheet1!$E$3/24,1,0))</f>
        <v>0</v>
      </c>
      <c r="P211" s="46" t="str">
        <f ca="1">IF(AND(Sheet1!L211&lt;0, Sheet1!$C$21&gt;R211,OR(Sheet1!$C$21&lt;=R212,Sheet1!L212="")),   -1*Sheet1!L211,"")</f>
        <v/>
      </c>
    </row>
    <row r="212" spans="1:16" ht="15.75" x14ac:dyDescent="0.25">
      <c r="A212" s="456" t="str">
        <f>IF(AND(R212&lt;&gt;"",R211&lt;&gt;""),(-Sheet1!L212/Sheet1!L211)^(360/(R212-R211-1))-1,"")</f>
        <v/>
      </c>
      <c r="B212" s="41" t="str">
        <f ca="1">IF(AND(Sheet1!L212&lt;0, Sheet1!$C$21&gt;R212+1,OR(Sheet1!$C$21&lt;=R213,Sheet1!L213="")),   -1*Sheet1!L212,"")</f>
        <v/>
      </c>
      <c r="C212" s="42">
        <f ca="1">IF(Sheet3!$B$5="",0,    IF(E212&lt;1,0,  IF(B212="","",     IF(OR(Sheet3!$B$6=0,INDIRECT(ADDRESS(ROW(),Sheet3!$B$3+16))="" ),D212/E212,    IF(E212&lt;0,0,    IF(OR( INDIRECT(ADDRESS(8,Sheet3!$B$3+16))="",INDIRECT(ADDRESS(ROW(),Sheet3!$B$3+17))=""),        (INDIRECT(ADDRESS(ROW(),Sheet3!$B$3+16))+B212)*Sheet3!$Q$4,         INDIRECT(ADDRESS(ROW(),Sheet3!$B$3+17))-INDIRECT(ADDRESS(ROW(),Sheet3!$B$3+16))))))))</f>
        <v>0</v>
      </c>
      <c r="D212" s="39">
        <f ca="1">IF(Sheet3!$B$5="",0,IF(B212="","",IF(E212&lt;1,0,   IF(INDIRECT(ADDRESS(ROW(), Sheet3!$B$3+17))="",        INDIRECT(ADDRESS(ROW(), Sheet3!$B$3+16))*  (1+Sheet3!$Q$4)   +B212*Sheet3!$Q$4,       INDIRECT(ADDRESS(ROW(), Sheet3!$B$3+17))))))</f>
        <v>0</v>
      </c>
      <c r="E212" s="40">
        <f ca="1">IF(AND(Sheet1!L212&lt;0,  Sheet1!$C$21&gt;R212),    IF(OR(Sheet1!$C$21&lt;=R213,  Sheet1!L213=""),       IF(AND(MOD(NOW(),1)&lt;TIME(9,39,0),Sheet1!$C$22=TODAY()),    Sheet1!$C$21-R212,     Sheet1!$C$21-R212-1),               R213-R212-1),    0)</f>
        <v>0</v>
      </c>
      <c r="F212" s="30"/>
      <c r="G212" s="25" t="str">
        <f>IF(LEFT(Sheet1!K213,2)="0x",Sheet1!K212,IF(AND(Sheet1!L212="",Sheet1!L211=""),"",G211))</f>
        <v/>
      </c>
      <c r="H212" s="81"/>
      <c r="I212" s="43" t="str">
        <f t="shared" si="17"/>
        <v/>
      </c>
      <c r="J212" s="29" t="str">
        <f t="shared" si="16"/>
        <v/>
      </c>
      <c r="K212" s="24" t="str">
        <f>IF(Sheet1!L212="","",IF(Sheet1!L212&gt;0,ROW(),""))</f>
        <v/>
      </c>
      <c r="L212" s="24" t="str">
        <f t="shared" ca="1" si="18"/>
        <v/>
      </c>
      <c r="M212" s="47" t="str">
        <f t="shared" ca="1" si="19"/>
        <v/>
      </c>
      <c r="N212" s="48" t="str">
        <f>IF(LEFT(Sheet1!K212,2)="0x",Sheet1!K212,IF(AND(Sheet1!L212="",Sheet1!L211=""),"",N211))</f>
        <v/>
      </c>
      <c r="O212" s="46">
        <f>IF(Sheet1!L212="",0,IF(Sheet1!O212&lt;TIME(7,39,0)+Sheet1!$E$3/24,1,0))</f>
        <v>0</v>
      </c>
      <c r="P212" s="46" t="str">
        <f ca="1">IF(AND(Sheet1!L212&lt;0, Sheet1!$C$21&gt;R212,OR(Sheet1!$C$21&lt;=R213,Sheet1!L213="")),   -1*Sheet1!L212,"")</f>
        <v/>
      </c>
    </row>
    <row r="213" spans="1:16" ht="15.75" x14ac:dyDescent="0.25">
      <c r="A213" s="456" t="str">
        <f>IF(AND(R213&lt;&gt;"",R212&lt;&gt;""),(-Sheet1!L213/Sheet1!L212)^(360/(R213-R212-1))-1,"")</f>
        <v/>
      </c>
      <c r="B213" s="41" t="str">
        <f ca="1">IF(AND(Sheet1!L213&lt;0, Sheet1!$C$21&gt;R213+1,OR(Sheet1!$C$21&lt;=R214,Sheet1!L214="")),   -1*Sheet1!L213,"")</f>
        <v/>
      </c>
      <c r="C213" s="42">
        <f ca="1">IF(Sheet3!$B$5="",0,    IF(E213&lt;1,0,  IF(B213="","",     IF(OR(Sheet3!$B$6=0,INDIRECT(ADDRESS(ROW(),Sheet3!$B$3+16))="" ),D213/E213,    IF(E213&lt;0,0,    IF(OR( INDIRECT(ADDRESS(8,Sheet3!$B$3+16))="",INDIRECT(ADDRESS(ROW(),Sheet3!$B$3+17))=""),        (INDIRECT(ADDRESS(ROW(),Sheet3!$B$3+16))+B213)*Sheet3!$Q$4,         INDIRECT(ADDRESS(ROW(),Sheet3!$B$3+17))-INDIRECT(ADDRESS(ROW(),Sheet3!$B$3+16))))))))</f>
        <v>0</v>
      </c>
      <c r="D213" s="39">
        <f ca="1">IF(Sheet3!$B$5="",0,IF(B213="","",IF(E213&lt;1,0,   IF(INDIRECT(ADDRESS(ROW(), Sheet3!$B$3+17))="",        INDIRECT(ADDRESS(ROW(), Sheet3!$B$3+16))*  (1+Sheet3!$Q$4)   +B213*Sheet3!$Q$4,       INDIRECT(ADDRESS(ROW(), Sheet3!$B$3+17))))))</f>
        <v>0</v>
      </c>
      <c r="E213" s="40">
        <f ca="1">IF(AND(Sheet1!L213&lt;0,  Sheet1!$C$21&gt;R213),    IF(OR(Sheet1!$C$21&lt;=R214,  Sheet1!L214=""),       IF(AND(MOD(NOW(),1)&lt;TIME(9,39,0),Sheet1!$C$22=TODAY()),    Sheet1!$C$21-R213,     Sheet1!$C$21-R213-1),               R214-R213-1),    0)</f>
        <v>0</v>
      </c>
      <c r="F213" s="30"/>
      <c r="G213" s="25" t="str">
        <f>IF(LEFT(Sheet1!K214,2)="0x",Sheet1!K213,IF(AND(Sheet1!L213="",Sheet1!L212=""),"",G212))</f>
        <v/>
      </c>
      <c r="H213" s="81"/>
      <c r="I213" s="43" t="str">
        <f t="shared" si="17"/>
        <v/>
      </c>
      <c r="J213" s="29" t="str">
        <f t="shared" si="16"/>
        <v/>
      </c>
      <c r="K213" s="24" t="str">
        <f>IF(Sheet1!L213="","",IF(Sheet1!L213&gt;0,ROW(),""))</f>
        <v/>
      </c>
      <c r="L213" s="24" t="str">
        <f t="shared" ca="1" si="18"/>
        <v/>
      </c>
      <c r="M213" s="47" t="str">
        <f t="shared" ca="1" si="19"/>
        <v/>
      </c>
      <c r="N213" s="48" t="str">
        <f>IF(LEFT(Sheet1!K213,2)="0x",Sheet1!K213,IF(AND(Sheet1!L213="",Sheet1!L212=""),"",N212))</f>
        <v/>
      </c>
      <c r="O213" s="46">
        <f>IF(Sheet1!L213="",0,IF(Sheet1!O213&lt;TIME(7,39,0)+Sheet1!$E$3/24,1,0))</f>
        <v>0</v>
      </c>
      <c r="P213" s="46" t="str">
        <f ca="1">IF(AND(Sheet1!L213&lt;0, Sheet1!$C$21&gt;R213,OR(Sheet1!$C$21&lt;=R214,Sheet1!L214="")),   -1*Sheet1!L213,"")</f>
        <v/>
      </c>
    </row>
    <row r="214" spans="1:16" ht="15.75" x14ac:dyDescent="0.25">
      <c r="A214" s="456" t="str">
        <f>IF(AND(R214&lt;&gt;"",R213&lt;&gt;""),(-Sheet1!L214/Sheet1!L213)^(360/(R214-R213-1))-1,"")</f>
        <v/>
      </c>
      <c r="B214" s="41" t="str">
        <f ca="1">IF(AND(Sheet1!L214&lt;0, Sheet1!$C$21&gt;R214+1,OR(Sheet1!$C$21&lt;=R215,Sheet1!L215="")),   -1*Sheet1!L214,"")</f>
        <v/>
      </c>
      <c r="C214" s="42">
        <f ca="1">IF(Sheet3!$B$5="",0,    IF(E214&lt;1,0,  IF(B214="","",     IF(OR(Sheet3!$B$6=0,INDIRECT(ADDRESS(ROW(),Sheet3!$B$3+16))="" ),D214/E214,    IF(E214&lt;0,0,    IF(OR( INDIRECT(ADDRESS(8,Sheet3!$B$3+16))="",INDIRECT(ADDRESS(ROW(),Sheet3!$B$3+17))=""),        (INDIRECT(ADDRESS(ROW(),Sheet3!$B$3+16))+B214)*Sheet3!$Q$4,         INDIRECT(ADDRESS(ROW(),Sheet3!$B$3+17))-INDIRECT(ADDRESS(ROW(),Sheet3!$B$3+16))))))))</f>
        <v>0</v>
      </c>
      <c r="D214" s="39">
        <f ca="1">IF(Sheet3!$B$5="",0,IF(B214="","",IF(E214&lt;1,0,   IF(INDIRECT(ADDRESS(ROW(), Sheet3!$B$3+17))="",        INDIRECT(ADDRESS(ROW(), Sheet3!$B$3+16))*  (1+Sheet3!$Q$4)   +B214*Sheet3!$Q$4,       INDIRECT(ADDRESS(ROW(), Sheet3!$B$3+17))))))</f>
        <v>0</v>
      </c>
      <c r="E214" s="40">
        <f ca="1">IF(AND(Sheet1!L214&lt;0,  Sheet1!$C$21&gt;R214),    IF(OR(Sheet1!$C$21&lt;=R215,  Sheet1!L215=""),       IF(AND(MOD(NOW(),1)&lt;TIME(9,39,0),Sheet1!$C$22=TODAY()),    Sheet1!$C$21-R214,     Sheet1!$C$21-R214-1),               R215-R214-1),    0)</f>
        <v>0</v>
      </c>
      <c r="F214" s="30"/>
      <c r="G214" s="25" t="str">
        <f>IF(LEFT(Sheet1!K215,2)="0x",Sheet1!K214,IF(AND(Sheet1!L214="",Sheet1!L213=""),"",G213))</f>
        <v/>
      </c>
      <c r="H214" s="81"/>
      <c r="I214" s="43" t="str">
        <f t="shared" si="17"/>
        <v/>
      </c>
      <c r="J214" s="29" t="str">
        <f t="shared" si="16"/>
        <v/>
      </c>
      <c r="K214" s="24" t="str">
        <f>IF(Sheet1!L214="","",IF(Sheet1!L214&gt;0,ROW(),""))</f>
        <v/>
      </c>
      <c r="L214" s="24" t="str">
        <f t="shared" ca="1" si="18"/>
        <v/>
      </c>
      <c r="M214" s="47" t="str">
        <f t="shared" ca="1" si="19"/>
        <v/>
      </c>
      <c r="N214" s="48" t="str">
        <f>IF(LEFT(Sheet1!K214,2)="0x",Sheet1!K214,IF(AND(Sheet1!L214="",Sheet1!L213=""),"",N213))</f>
        <v/>
      </c>
      <c r="O214" s="46">
        <f>IF(Sheet1!L214="",0,IF(Sheet1!O214&lt;TIME(7,39,0)+Sheet1!$E$3/24,1,0))</f>
        <v>0</v>
      </c>
      <c r="P214" s="46" t="str">
        <f ca="1">IF(AND(Sheet1!L214&lt;0, Sheet1!$C$21&gt;R214,OR(Sheet1!$C$21&lt;=R215,Sheet1!L215="")),   -1*Sheet1!L214,"")</f>
        <v/>
      </c>
    </row>
    <row r="215" spans="1:16" ht="15.75" x14ac:dyDescent="0.25">
      <c r="A215" s="456" t="str">
        <f>IF(AND(R215&lt;&gt;"",R214&lt;&gt;""),(-Sheet1!L215/Sheet1!L214)^(360/(R215-R214-1))-1,"")</f>
        <v/>
      </c>
      <c r="B215" s="41" t="str">
        <f ca="1">IF(AND(Sheet1!L215&lt;0, Sheet1!$C$21&gt;R215+1,OR(Sheet1!$C$21&lt;=R216,Sheet1!L216="")),   -1*Sheet1!L215,"")</f>
        <v/>
      </c>
      <c r="C215" s="42">
        <f ca="1">IF(Sheet3!$B$5="",0,    IF(E215&lt;1,0,  IF(B215="","",     IF(OR(Sheet3!$B$6=0,INDIRECT(ADDRESS(ROW(),Sheet3!$B$3+16))="" ),D215/E215,    IF(E215&lt;0,0,    IF(OR( INDIRECT(ADDRESS(8,Sheet3!$B$3+16))="",INDIRECT(ADDRESS(ROW(),Sheet3!$B$3+17))=""),        (INDIRECT(ADDRESS(ROW(),Sheet3!$B$3+16))+B215)*Sheet3!$Q$4,         INDIRECT(ADDRESS(ROW(),Sheet3!$B$3+17))-INDIRECT(ADDRESS(ROW(),Sheet3!$B$3+16))))))))</f>
        <v>0</v>
      </c>
      <c r="D215" s="39">
        <f ca="1">IF(Sheet3!$B$5="",0,IF(B215="","",IF(E215&lt;1,0,   IF(INDIRECT(ADDRESS(ROW(), Sheet3!$B$3+17))="",        INDIRECT(ADDRESS(ROW(), Sheet3!$B$3+16))*  (1+Sheet3!$Q$4)   +B215*Sheet3!$Q$4,       INDIRECT(ADDRESS(ROW(), Sheet3!$B$3+17))))))</f>
        <v>0</v>
      </c>
      <c r="E215" s="40">
        <f ca="1">IF(AND(Sheet1!L215&lt;0,  Sheet1!$C$21&gt;R215),    IF(OR(Sheet1!$C$21&lt;=R216,  Sheet1!L216=""),       IF(AND(MOD(NOW(),1)&lt;TIME(9,39,0),Sheet1!$C$22=TODAY()),    Sheet1!$C$21-R215,     Sheet1!$C$21-R215-1),               R216-R215-1),    0)</f>
        <v>0</v>
      </c>
      <c r="F215" s="30"/>
      <c r="G215" s="25" t="str">
        <f>IF(LEFT(Sheet1!K216,2)="0x",Sheet1!K215,IF(AND(Sheet1!L215="",Sheet1!L214=""),"",G214))</f>
        <v/>
      </c>
      <c r="H215" s="81"/>
      <c r="I215" s="43" t="str">
        <f t="shared" si="17"/>
        <v/>
      </c>
      <c r="J215" s="29" t="str">
        <f t="shared" si="16"/>
        <v/>
      </c>
      <c r="K215" s="24" t="str">
        <f>IF(Sheet1!L215="","",IF(Sheet1!L215&gt;0,ROW(),""))</f>
        <v/>
      </c>
      <c r="L215" s="24" t="str">
        <f t="shared" ca="1" si="18"/>
        <v/>
      </c>
      <c r="M215" s="47" t="str">
        <f t="shared" ca="1" si="19"/>
        <v/>
      </c>
      <c r="N215" s="48" t="str">
        <f>IF(LEFT(Sheet1!K215,2)="0x",Sheet1!K215,IF(AND(Sheet1!L215="",Sheet1!L214=""),"",N214))</f>
        <v/>
      </c>
      <c r="O215" s="46">
        <f>IF(Sheet1!L215="",0,IF(Sheet1!O215&lt;TIME(7,39,0)+Sheet1!$E$3/24,1,0))</f>
        <v>0</v>
      </c>
      <c r="P215" s="46" t="str">
        <f ca="1">IF(AND(Sheet1!L215&lt;0, Sheet1!$C$21&gt;R215,OR(Sheet1!$C$21&lt;=R216,Sheet1!L216="")),   -1*Sheet1!L215,"")</f>
        <v/>
      </c>
    </row>
    <row r="216" spans="1:16" ht="15.75" x14ac:dyDescent="0.25">
      <c r="A216" s="456" t="str">
        <f>IF(AND(R216&lt;&gt;"",R215&lt;&gt;""),(-Sheet1!L216/Sheet1!L215)^(360/(R216-R215-1))-1,"")</f>
        <v/>
      </c>
      <c r="B216" s="41" t="str">
        <f ca="1">IF(AND(Sheet1!L216&lt;0, Sheet1!$C$21&gt;R216+1,OR(Sheet1!$C$21&lt;=R217,Sheet1!L217="")),   -1*Sheet1!L216,"")</f>
        <v/>
      </c>
      <c r="C216" s="42">
        <f ca="1">IF(Sheet3!$B$5="",0,    IF(E216&lt;1,0,  IF(B216="","",     IF(OR(Sheet3!$B$6=0,INDIRECT(ADDRESS(ROW(),Sheet3!$B$3+16))="" ),D216/E216,    IF(E216&lt;0,0,    IF(OR( INDIRECT(ADDRESS(8,Sheet3!$B$3+16))="",INDIRECT(ADDRESS(ROW(),Sheet3!$B$3+17))=""),        (INDIRECT(ADDRESS(ROW(),Sheet3!$B$3+16))+B216)*Sheet3!$Q$4,         INDIRECT(ADDRESS(ROW(),Sheet3!$B$3+17))-INDIRECT(ADDRESS(ROW(),Sheet3!$B$3+16))))))))</f>
        <v>0</v>
      </c>
      <c r="D216" s="39">
        <f ca="1">IF(Sheet3!$B$5="",0,IF(B216="","",IF(E216&lt;1,0,   IF(INDIRECT(ADDRESS(ROW(), Sheet3!$B$3+17))="",        INDIRECT(ADDRESS(ROW(), Sheet3!$B$3+16))*  (1+Sheet3!$Q$4)   +B216*Sheet3!$Q$4,       INDIRECT(ADDRESS(ROW(), Sheet3!$B$3+17))))))</f>
        <v>0</v>
      </c>
      <c r="E216" s="40">
        <f ca="1">IF(AND(Sheet1!L216&lt;0,  Sheet1!$C$21&gt;R216),    IF(OR(Sheet1!$C$21&lt;=R217,  Sheet1!L217=""),       IF(AND(MOD(NOW(),1)&lt;TIME(9,39,0),Sheet1!$C$22=TODAY()),    Sheet1!$C$21-R216,     Sheet1!$C$21-R216-1),               R217-R216-1),    0)</f>
        <v>0</v>
      </c>
      <c r="F216" s="30"/>
      <c r="G216" s="25" t="str">
        <f>IF(LEFT(Sheet1!K217,2)="0x",Sheet1!K216,IF(AND(Sheet1!L216="",Sheet1!L215=""),"",G215))</f>
        <v/>
      </c>
      <c r="H216" s="81"/>
      <c r="I216" s="43" t="str">
        <f t="shared" si="17"/>
        <v/>
      </c>
      <c r="J216" s="29" t="str">
        <f t="shared" si="16"/>
        <v/>
      </c>
      <c r="K216" s="24" t="str">
        <f>IF(Sheet1!L216="","",IF(Sheet1!L216&gt;0,ROW(),""))</f>
        <v/>
      </c>
      <c r="L216" s="24" t="str">
        <f t="shared" ca="1" si="18"/>
        <v/>
      </c>
      <c r="M216" s="47" t="str">
        <f t="shared" ca="1" si="19"/>
        <v/>
      </c>
      <c r="N216" s="48" t="str">
        <f>IF(LEFT(Sheet1!K216,2)="0x",Sheet1!K216,IF(AND(Sheet1!L216="",Sheet1!L215=""),"",N215))</f>
        <v/>
      </c>
      <c r="O216" s="46">
        <f>IF(Sheet1!L216="",0,IF(Sheet1!O216&lt;TIME(7,39,0)+Sheet1!$E$3/24,1,0))</f>
        <v>0</v>
      </c>
      <c r="P216" s="46" t="str">
        <f ca="1">IF(AND(Sheet1!L216&lt;0, Sheet1!$C$21&gt;R216,OR(Sheet1!$C$21&lt;=R217,Sheet1!L217="")),   -1*Sheet1!L216,"")</f>
        <v/>
      </c>
    </row>
    <row r="217" spans="1:16" ht="15.75" x14ac:dyDescent="0.25">
      <c r="A217" s="456" t="str">
        <f>IF(AND(R217&lt;&gt;"",R216&lt;&gt;""),(-Sheet1!L217/Sheet1!L216)^(360/(R217-R216-1))-1,"")</f>
        <v/>
      </c>
      <c r="B217" s="41" t="str">
        <f ca="1">IF(AND(Sheet1!L217&lt;0, Sheet1!$C$21&gt;R217+1,OR(Sheet1!$C$21&lt;=R218,Sheet1!L218="")),   -1*Sheet1!L217,"")</f>
        <v/>
      </c>
      <c r="C217" s="42">
        <f ca="1">IF(Sheet3!$B$5="",0,    IF(E217&lt;1,0,  IF(B217="","",     IF(OR(Sheet3!$B$6=0,INDIRECT(ADDRESS(ROW(),Sheet3!$B$3+16))="" ),D217/E217,    IF(E217&lt;0,0,    IF(OR( INDIRECT(ADDRESS(8,Sheet3!$B$3+16))="",INDIRECT(ADDRESS(ROW(),Sheet3!$B$3+17))=""),        (INDIRECT(ADDRESS(ROW(),Sheet3!$B$3+16))+B217)*Sheet3!$Q$4,         INDIRECT(ADDRESS(ROW(),Sheet3!$B$3+17))-INDIRECT(ADDRESS(ROW(),Sheet3!$B$3+16))))))))</f>
        <v>0</v>
      </c>
      <c r="D217" s="39">
        <f ca="1">IF(Sheet3!$B$5="",0,IF(B217="","",IF(E217&lt;1,0,   IF(INDIRECT(ADDRESS(ROW(), Sheet3!$B$3+17))="",        INDIRECT(ADDRESS(ROW(), Sheet3!$B$3+16))*  (1+Sheet3!$Q$4)   +B217*Sheet3!$Q$4,       INDIRECT(ADDRESS(ROW(), Sheet3!$B$3+17))))))</f>
        <v>0</v>
      </c>
      <c r="E217" s="40">
        <f ca="1">IF(AND(Sheet1!L217&lt;0,  Sheet1!$C$21&gt;R217),    IF(OR(Sheet1!$C$21&lt;=R218,  Sheet1!L218=""),       IF(AND(MOD(NOW(),1)&lt;TIME(9,39,0),Sheet1!$C$22=TODAY()),    Sheet1!$C$21-R217,     Sheet1!$C$21-R217-1),               R218-R217-1),    0)</f>
        <v>0</v>
      </c>
      <c r="F217" s="30"/>
      <c r="G217" s="25" t="str">
        <f>IF(LEFT(Sheet1!K218,2)="0x",Sheet1!K217,IF(AND(Sheet1!L217="",Sheet1!L216=""),"",G216))</f>
        <v/>
      </c>
      <c r="H217" s="81"/>
      <c r="I217" s="43" t="str">
        <f t="shared" si="17"/>
        <v/>
      </c>
      <c r="J217" s="29" t="str">
        <f t="shared" ref="J217:J280" si="20">IF(I217="","",INDEX(G:G,I217))</f>
        <v/>
      </c>
      <c r="K217" s="24" t="str">
        <f>IF(Sheet1!L217="","",IF(Sheet1!L217&gt;0,ROW(),""))</f>
        <v/>
      </c>
      <c r="L217" s="24" t="str">
        <f t="shared" ca="1" si="18"/>
        <v/>
      </c>
      <c r="M217" s="47" t="str">
        <f t="shared" ca="1" si="19"/>
        <v/>
      </c>
      <c r="N217" s="48" t="str">
        <f>IF(LEFT(Sheet1!K217,2)="0x",Sheet1!K217,IF(AND(Sheet1!L217="",Sheet1!L216=""),"",N216))</f>
        <v/>
      </c>
      <c r="O217" s="46">
        <f>IF(Sheet1!L217="",0,IF(Sheet1!O217&lt;TIME(7,39,0)+Sheet1!$E$3/24,1,0))</f>
        <v>0</v>
      </c>
      <c r="P217" s="46" t="str">
        <f ca="1">IF(AND(Sheet1!L217&lt;0, Sheet1!$C$21&gt;R217,OR(Sheet1!$C$21&lt;=R218,Sheet1!L218="")),   -1*Sheet1!L217,"")</f>
        <v/>
      </c>
    </row>
    <row r="218" spans="1:16" ht="15.75" x14ac:dyDescent="0.25">
      <c r="A218" s="456" t="str">
        <f>IF(AND(R218&lt;&gt;"",R217&lt;&gt;""),(-Sheet1!L218/Sheet1!L217)^(360/(R218-R217-1))-1,"")</f>
        <v/>
      </c>
      <c r="B218" s="41" t="str">
        <f ca="1">IF(AND(Sheet1!L218&lt;0, Sheet1!$C$21&gt;R218+1,OR(Sheet1!$C$21&lt;=R219,Sheet1!L219="")),   -1*Sheet1!L218,"")</f>
        <v/>
      </c>
      <c r="C218" s="42">
        <f ca="1">IF(Sheet3!$B$5="",0,    IF(E218&lt;1,0,  IF(B218="","",     IF(OR(Sheet3!$B$6=0,INDIRECT(ADDRESS(ROW(),Sheet3!$B$3+16))="" ),D218/E218,    IF(E218&lt;0,0,    IF(OR( INDIRECT(ADDRESS(8,Sheet3!$B$3+16))="",INDIRECT(ADDRESS(ROW(),Sheet3!$B$3+17))=""),        (INDIRECT(ADDRESS(ROW(),Sheet3!$B$3+16))+B218)*Sheet3!$Q$4,         INDIRECT(ADDRESS(ROW(),Sheet3!$B$3+17))-INDIRECT(ADDRESS(ROW(),Sheet3!$B$3+16))))))))</f>
        <v>0</v>
      </c>
      <c r="D218" s="39">
        <f ca="1">IF(Sheet3!$B$5="",0,IF(B218="","",IF(E218&lt;1,0,   IF(INDIRECT(ADDRESS(ROW(), Sheet3!$B$3+17))="",        INDIRECT(ADDRESS(ROW(), Sheet3!$B$3+16))*  (1+Sheet3!$Q$4)   +B218*Sheet3!$Q$4,       INDIRECT(ADDRESS(ROW(), Sheet3!$B$3+17))))))</f>
        <v>0</v>
      </c>
      <c r="E218" s="40">
        <f ca="1">IF(AND(Sheet1!L218&lt;0,  Sheet1!$C$21&gt;R218),    IF(OR(Sheet1!$C$21&lt;=R219,  Sheet1!L219=""),       IF(AND(MOD(NOW(),1)&lt;TIME(9,39,0),Sheet1!$C$22=TODAY()),    Sheet1!$C$21-R218,     Sheet1!$C$21-R218-1),               R219-R218-1),    0)</f>
        <v>0</v>
      </c>
      <c r="F218" s="30"/>
      <c r="G218" s="25" t="str">
        <f>IF(LEFT(Sheet1!K219,2)="0x",Sheet1!K218,IF(AND(Sheet1!L218="",Sheet1!L217=""),"",G217))</f>
        <v/>
      </c>
      <c r="H218" s="81"/>
      <c r="I218" s="43" t="str">
        <f t="shared" si="17"/>
        <v/>
      </c>
      <c r="J218" s="29" t="str">
        <f t="shared" si="20"/>
        <v/>
      </c>
      <c r="K218" s="24" t="str">
        <f>IF(Sheet1!L218="","",IF(Sheet1!L218&gt;0,ROW(),""))</f>
        <v/>
      </c>
      <c r="L218" s="24" t="str">
        <f t="shared" ca="1" si="18"/>
        <v/>
      </c>
      <c r="M218" s="47" t="str">
        <f t="shared" ca="1" si="19"/>
        <v/>
      </c>
      <c r="N218" s="48" t="str">
        <f>IF(LEFT(Sheet1!K218,2)="0x",Sheet1!K218,IF(AND(Sheet1!L218="",Sheet1!L217=""),"",N217))</f>
        <v/>
      </c>
      <c r="O218" s="46">
        <f>IF(Sheet1!L218="",0,IF(Sheet1!O218&lt;TIME(7,39,0)+Sheet1!$E$3/24,1,0))</f>
        <v>0</v>
      </c>
      <c r="P218" s="46" t="str">
        <f ca="1">IF(AND(Sheet1!L218&lt;0, Sheet1!$C$21&gt;R218,OR(Sheet1!$C$21&lt;=R219,Sheet1!L219="")),   -1*Sheet1!L218,"")</f>
        <v/>
      </c>
    </row>
    <row r="219" spans="1:16" ht="15.75" x14ac:dyDescent="0.25">
      <c r="A219" s="456" t="str">
        <f>IF(AND(R219&lt;&gt;"",R218&lt;&gt;""),(-Sheet1!L219/Sheet1!L218)^(360/(R219-R218-1))-1,"")</f>
        <v/>
      </c>
      <c r="B219" s="41" t="str">
        <f ca="1">IF(AND(Sheet1!L219&lt;0, Sheet1!$C$21&gt;R219+1,OR(Sheet1!$C$21&lt;=R220,Sheet1!L220="")),   -1*Sheet1!L219,"")</f>
        <v/>
      </c>
      <c r="C219" s="42">
        <f ca="1">IF(Sheet3!$B$5="",0,    IF(E219&lt;1,0,  IF(B219="","",     IF(OR(Sheet3!$B$6=0,INDIRECT(ADDRESS(ROW(),Sheet3!$B$3+16))="" ),D219/E219,    IF(E219&lt;0,0,    IF(OR( INDIRECT(ADDRESS(8,Sheet3!$B$3+16))="",INDIRECT(ADDRESS(ROW(),Sheet3!$B$3+17))=""),        (INDIRECT(ADDRESS(ROW(),Sheet3!$B$3+16))+B219)*Sheet3!$Q$4,         INDIRECT(ADDRESS(ROW(),Sheet3!$B$3+17))-INDIRECT(ADDRESS(ROW(),Sheet3!$B$3+16))))))))</f>
        <v>0</v>
      </c>
      <c r="D219" s="39">
        <f ca="1">IF(Sheet3!$B$5="",0,IF(B219="","",IF(E219&lt;1,0,   IF(INDIRECT(ADDRESS(ROW(), Sheet3!$B$3+17))="",        INDIRECT(ADDRESS(ROW(), Sheet3!$B$3+16))*  (1+Sheet3!$Q$4)   +B219*Sheet3!$Q$4,       INDIRECT(ADDRESS(ROW(), Sheet3!$B$3+17))))))</f>
        <v>0</v>
      </c>
      <c r="E219" s="40">
        <f ca="1">IF(AND(Sheet1!L219&lt;0,  Sheet1!$C$21&gt;R219),    IF(OR(Sheet1!$C$21&lt;=R220,  Sheet1!L220=""),       IF(AND(MOD(NOW(),1)&lt;TIME(9,39,0),Sheet1!$C$22=TODAY()),    Sheet1!$C$21-R219,     Sheet1!$C$21-R219-1),               R220-R219-1),    0)</f>
        <v>0</v>
      </c>
      <c r="F219" s="30"/>
      <c r="G219" s="25" t="str">
        <f>IF(LEFT(Sheet1!K220,2)="0x",Sheet1!K219,IF(AND(Sheet1!L219="",Sheet1!L218=""),"",G218))</f>
        <v/>
      </c>
      <c r="H219" s="81"/>
      <c r="I219" s="43" t="str">
        <f t="shared" si="17"/>
        <v/>
      </c>
      <c r="J219" s="29" t="str">
        <f t="shared" si="20"/>
        <v/>
      </c>
      <c r="K219" s="24" t="str">
        <f>IF(Sheet1!L219="","",IF(Sheet1!L219&gt;0,ROW(),""))</f>
        <v/>
      </c>
      <c r="L219" s="24" t="str">
        <f t="shared" ca="1" si="18"/>
        <v/>
      </c>
      <c r="M219" s="47" t="str">
        <f t="shared" ca="1" si="19"/>
        <v/>
      </c>
      <c r="N219" s="48" t="str">
        <f>IF(LEFT(Sheet1!K219,2)="0x",Sheet1!K219,IF(AND(Sheet1!L219="",Sheet1!L218=""),"",N218))</f>
        <v/>
      </c>
      <c r="O219" s="46">
        <f>IF(Sheet1!L219="",0,IF(Sheet1!O219&lt;TIME(7,39,0)+Sheet1!$E$3/24,1,0))</f>
        <v>0</v>
      </c>
      <c r="P219" s="46" t="str">
        <f ca="1">IF(AND(Sheet1!L219&lt;0, Sheet1!$C$21&gt;R219,OR(Sheet1!$C$21&lt;=R220,Sheet1!L220="")),   -1*Sheet1!L219,"")</f>
        <v/>
      </c>
    </row>
    <row r="220" spans="1:16" ht="15.75" x14ac:dyDescent="0.25">
      <c r="A220" s="456" t="str">
        <f>IF(AND(R220&lt;&gt;"",R219&lt;&gt;""),(-Sheet1!L220/Sheet1!L219)^(360/(R220-R219-1))-1,"")</f>
        <v/>
      </c>
      <c r="B220" s="41" t="str">
        <f ca="1">IF(AND(Sheet1!L220&lt;0, Sheet1!$C$21&gt;R220+1,OR(Sheet1!$C$21&lt;=R221,Sheet1!L221="")),   -1*Sheet1!L220,"")</f>
        <v/>
      </c>
      <c r="C220" s="42">
        <f ca="1">IF(Sheet3!$B$5="",0,    IF(E220&lt;1,0,  IF(B220="","",     IF(OR(Sheet3!$B$6=0,INDIRECT(ADDRESS(ROW(),Sheet3!$B$3+16))="" ),D220/E220,    IF(E220&lt;0,0,    IF(OR( INDIRECT(ADDRESS(8,Sheet3!$B$3+16))="",INDIRECT(ADDRESS(ROW(),Sheet3!$B$3+17))=""),        (INDIRECT(ADDRESS(ROW(),Sheet3!$B$3+16))+B220)*Sheet3!$Q$4,         INDIRECT(ADDRESS(ROW(),Sheet3!$B$3+17))-INDIRECT(ADDRESS(ROW(),Sheet3!$B$3+16))))))))</f>
        <v>0</v>
      </c>
      <c r="D220" s="39">
        <f ca="1">IF(Sheet3!$B$5="",0,IF(B220="","",IF(E220&lt;1,0,   IF(INDIRECT(ADDRESS(ROW(), Sheet3!$B$3+17))="",        INDIRECT(ADDRESS(ROW(), Sheet3!$B$3+16))*  (1+Sheet3!$Q$4)   +B220*Sheet3!$Q$4,       INDIRECT(ADDRESS(ROW(), Sheet3!$B$3+17))))))</f>
        <v>0</v>
      </c>
      <c r="E220" s="40">
        <f ca="1">IF(AND(Sheet1!L220&lt;0,  Sheet1!$C$21&gt;R220),    IF(OR(Sheet1!$C$21&lt;=R221,  Sheet1!L221=""),       IF(AND(MOD(NOW(),1)&lt;TIME(9,39,0),Sheet1!$C$22=TODAY()),    Sheet1!$C$21-R220,     Sheet1!$C$21-R220-1),               R221-R220-1),    0)</f>
        <v>0</v>
      </c>
      <c r="F220" s="30"/>
      <c r="G220" s="25" t="str">
        <f>IF(LEFT(Sheet1!K221,2)="0x",Sheet1!K220,IF(AND(Sheet1!L220="",Sheet1!L219=""),"",G219))</f>
        <v/>
      </c>
      <c r="H220" s="81"/>
      <c r="I220" s="43" t="str">
        <f t="shared" si="17"/>
        <v/>
      </c>
      <c r="J220" s="29" t="str">
        <f t="shared" si="20"/>
        <v/>
      </c>
      <c r="K220" s="24" t="str">
        <f>IF(Sheet1!L220="","",IF(Sheet1!L220&gt;0,ROW(),""))</f>
        <v/>
      </c>
      <c r="L220" s="24" t="str">
        <f t="shared" ca="1" si="18"/>
        <v/>
      </c>
      <c r="M220" s="47" t="str">
        <f t="shared" ca="1" si="19"/>
        <v/>
      </c>
      <c r="N220" s="48" t="str">
        <f>IF(LEFT(Sheet1!K220,2)="0x",Sheet1!K220,IF(AND(Sheet1!L220="",Sheet1!L219=""),"",N219))</f>
        <v/>
      </c>
      <c r="O220" s="46">
        <f>IF(Sheet1!L220="",0,IF(Sheet1!O220&lt;TIME(7,39,0)+Sheet1!$E$3/24,1,0))</f>
        <v>0</v>
      </c>
      <c r="P220" s="46" t="str">
        <f ca="1">IF(AND(Sheet1!L220&lt;0, Sheet1!$C$21&gt;R220,OR(Sheet1!$C$21&lt;=R221,Sheet1!L221="")),   -1*Sheet1!L220,"")</f>
        <v/>
      </c>
    </row>
    <row r="221" spans="1:16" ht="15.75" x14ac:dyDescent="0.25">
      <c r="A221" s="456" t="str">
        <f>IF(AND(R221&lt;&gt;"",R220&lt;&gt;""),(-Sheet1!L221/Sheet1!L220)^(360/(R221-R220-1))-1,"")</f>
        <v/>
      </c>
      <c r="B221" s="41" t="str">
        <f ca="1">IF(AND(Sheet1!L221&lt;0, Sheet1!$C$21&gt;R221+1,OR(Sheet1!$C$21&lt;=R222,Sheet1!L222="")),   -1*Sheet1!L221,"")</f>
        <v/>
      </c>
      <c r="C221" s="42">
        <f ca="1">IF(Sheet3!$B$5="",0,    IF(E221&lt;1,0,  IF(B221="","",     IF(OR(Sheet3!$B$6=0,INDIRECT(ADDRESS(ROW(),Sheet3!$B$3+16))="" ),D221/E221,    IF(E221&lt;0,0,    IF(OR( INDIRECT(ADDRESS(8,Sheet3!$B$3+16))="",INDIRECT(ADDRESS(ROW(),Sheet3!$B$3+17))=""),        (INDIRECT(ADDRESS(ROW(),Sheet3!$B$3+16))+B221)*Sheet3!$Q$4,         INDIRECT(ADDRESS(ROW(),Sheet3!$B$3+17))-INDIRECT(ADDRESS(ROW(),Sheet3!$B$3+16))))))))</f>
        <v>0</v>
      </c>
      <c r="D221" s="39">
        <f ca="1">IF(Sheet3!$B$5="",0,IF(B221="","",IF(E221&lt;1,0,   IF(INDIRECT(ADDRESS(ROW(), Sheet3!$B$3+17))="",        INDIRECT(ADDRESS(ROW(), Sheet3!$B$3+16))*  (1+Sheet3!$Q$4)   +B221*Sheet3!$Q$4,       INDIRECT(ADDRESS(ROW(), Sheet3!$B$3+17))))))</f>
        <v>0</v>
      </c>
      <c r="E221" s="40">
        <f ca="1">IF(AND(Sheet1!L221&lt;0,  Sheet1!$C$21&gt;R221),    IF(OR(Sheet1!$C$21&lt;=R222,  Sheet1!L222=""),       IF(AND(MOD(NOW(),1)&lt;TIME(9,39,0),Sheet1!$C$22=TODAY()),    Sheet1!$C$21-R221,     Sheet1!$C$21-R221-1),               R222-R221-1),    0)</f>
        <v>0</v>
      </c>
      <c r="F221" s="30"/>
      <c r="G221" s="25" t="str">
        <f>IF(LEFT(Sheet1!K222,2)="0x",Sheet1!K221,IF(AND(Sheet1!L221="",Sheet1!L220=""),"",G220))</f>
        <v/>
      </c>
      <c r="H221" s="81"/>
      <c r="I221" s="43" t="str">
        <f t="shared" si="17"/>
        <v/>
      </c>
      <c r="J221" s="29" t="str">
        <f t="shared" si="20"/>
        <v/>
      </c>
      <c r="K221" s="24" t="str">
        <f>IF(Sheet1!L221="","",IF(Sheet1!L221&gt;0,ROW(),""))</f>
        <v/>
      </c>
      <c r="L221" s="24" t="str">
        <f t="shared" ca="1" si="18"/>
        <v/>
      </c>
      <c r="M221" s="47" t="str">
        <f t="shared" ca="1" si="19"/>
        <v/>
      </c>
      <c r="N221" s="48" t="str">
        <f>IF(LEFT(Sheet1!K221,2)="0x",Sheet1!K221,IF(AND(Sheet1!L221="",Sheet1!L220=""),"",N220))</f>
        <v/>
      </c>
      <c r="O221" s="46">
        <f>IF(Sheet1!L221="",0,IF(Sheet1!O221&lt;TIME(7,39,0)+Sheet1!$E$3/24,1,0))</f>
        <v>0</v>
      </c>
      <c r="P221" s="46" t="str">
        <f ca="1">IF(AND(Sheet1!L221&lt;0, Sheet1!$C$21&gt;R221,OR(Sheet1!$C$21&lt;=R222,Sheet1!L222="")),   -1*Sheet1!L221,"")</f>
        <v/>
      </c>
    </row>
    <row r="222" spans="1:16" ht="15.75" x14ac:dyDescent="0.25">
      <c r="A222" s="456" t="str">
        <f>IF(AND(R222&lt;&gt;"",R221&lt;&gt;""),(-Sheet1!L222/Sheet1!L221)^(360/(R222-R221-1))-1,"")</f>
        <v/>
      </c>
      <c r="B222" s="41" t="str">
        <f ca="1">IF(AND(Sheet1!L222&lt;0, Sheet1!$C$21&gt;R222+1,OR(Sheet1!$C$21&lt;=R223,Sheet1!L223="")),   -1*Sheet1!L222,"")</f>
        <v/>
      </c>
      <c r="C222" s="42">
        <f ca="1">IF(Sheet3!$B$5="",0,    IF(E222&lt;1,0,  IF(B222="","",     IF(OR(Sheet3!$B$6=0,INDIRECT(ADDRESS(ROW(),Sheet3!$B$3+16))="" ),D222/E222,    IF(E222&lt;0,0,    IF(OR( INDIRECT(ADDRESS(8,Sheet3!$B$3+16))="",INDIRECT(ADDRESS(ROW(),Sheet3!$B$3+17))=""),        (INDIRECT(ADDRESS(ROW(),Sheet3!$B$3+16))+B222)*Sheet3!$Q$4,         INDIRECT(ADDRESS(ROW(),Sheet3!$B$3+17))-INDIRECT(ADDRESS(ROW(),Sheet3!$B$3+16))))))))</f>
        <v>0</v>
      </c>
      <c r="D222" s="39">
        <f ca="1">IF(Sheet3!$B$5="",0,IF(B222="","",IF(E222&lt;1,0,   IF(INDIRECT(ADDRESS(ROW(), Sheet3!$B$3+17))="",        INDIRECT(ADDRESS(ROW(), Sheet3!$B$3+16))*  (1+Sheet3!$Q$4)   +B222*Sheet3!$Q$4,       INDIRECT(ADDRESS(ROW(), Sheet3!$B$3+17))))))</f>
        <v>0</v>
      </c>
      <c r="E222" s="40">
        <f ca="1">IF(AND(Sheet1!L222&lt;0,  Sheet1!$C$21&gt;R222),    IF(OR(Sheet1!$C$21&lt;=R223,  Sheet1!L223=""),       IF(AND(MOD(NOW(),1)&lt;TIME(9,39,0),Sheet1!$C$22=TODAY()),    Sheet1!$C$21-R222,     Sheet1!$C$21-R222-1),               R223-R222-1),    0)</f>
        <v>0</v>
      </c>
      <c r="F222" s="30"/>
      <c r="G222" s="25" t="str">
        <f>IF(LEFT(Sheet1!K223,2)="0x",Sheet1!K222,IF(AND(Sheet1!L222="",Sheet1!L221=""),"",G221))</f>
        <v/>
      </c>
      <c r="H222" s="81"/>
      <c r="I222" s="43" t="str">
        <f t="shared" si="17"/>
        <v/>
      </c>
      <c r="J222" s="29" t="str">
        <f t="shared" si="20"/>
        <v/>
      </c>
      <c r="K222" s="24" t="str">
        <f>IF(Sheet1!L222="","",IF(Sheet1!L222&gt;0,ROW(),""))</f>
        <v/>
      </c>
      <c r="L222" s="24" t="str">
        <f t="shared" ca="1" si="18"/>
        <v/>
      </c>
      <c r="M222" s="47" t="str">
        <f t="shared" ca="1" si="19"/>
        <v/>
      </c>
      <c r="N222" s="48" t="str">
        <f>IF(LEFT(Sheet1!K222,2)="0x",Sheet1!K222,IF(AND(Sheet1!L222="",Sheet1!L221=""),"",N221))</f>
        <v/>
      </c>
      <c r="O222" s="46">
        <f>IF(Sheet1!L222="",0,IF(Sheet1!O222&lt;TIME(7,39,0)+Sheet1!$E$3/24,1,0))</f>
        <v>0</v>
      </c>
      <c r="P222" s="46" t="str">
        <f ca="1">IF(AND(Sheet1!L222&lt;0, Sheet1!$C$21&gt;R222,OR(Sheet1!$C$21&lt;=R223,Sheet1!L223="")),   -1*Sheet1!L222,"")</f>
        <v/>
      </c>
    </row>
    <row r="223" spans="1:16" ht="15.75" x14ac:dyDescent="0.25">
      <c r="A223" s="456" t="str">
        <f>IF(AND(R223&lt;&gt;"",R222&lt;&gt;""),(-Sheet1!L223/Sheet1!L222)^(360/(R223-R222-1))-1,"")</f>
        <v/>
      </c>
      <c r="B223" s="41" t="str">
        <f ca="1">IF(AND(Sheet1!L223&lt;0, Sheet1!$C$21&gt;R223+1,OR(Sheet1!$C$21&lt;=R224,Sheet1!L224="")),   -1*Sheet1!L223,"")</f>
        <v/>
      </c>
      <c r="C223" s="42">
        <f ca="1">IF(Sheet3!$B$5="",0,    IF(E223&lt;1,0,  IF(B223="","",     IF(OR(Sheet3!$B$6=0,INDIRECT(ADDRESS(ROW(),Sheet3!$B$3+16))="" ),D223/E223,    IF(E223&lt;0,0,    IF(OR( INDIRECT(ADDRESS(8,Sheet3!$B$3+16))="",INDIRECT(ADDRESS(ROW(),Sheet3!$B$3+17))=""),        (INDIRECT(ADDRESS(ROW(),Sheet3!$B$3+16))+B223)*Sheet3!$Q$4,         INDIRECT(ADDRESS(ROW(),Sheet3!$B$3+17))-INDIRECT(ADDRESS(ROW(),Sheet3!$B$3+16))))))))</f>
        <v>0</v>
      </c>
      <c r="D223" s="39">
        <f ca="1">IF(Sheet3!$B$5="",0,IF(B223="","",IF(E223&lt;1,0,   IF(INDIRECT(ADDRESS(ROW(), Sheet3!$B$3+17))="",        INDIRECT(ADDRESS(ROW(), Sheet3!$B$3+16))*  (1+Sheet3!$Q$4)   +B223*Sheet3!$Q$4,       INDIRECT(ADDRESS(ROW(), Sheet3!$B$3+17))))))</f>
        <v>0</v>
      </c>
      <c r="E223" s="40">
        <f ca="1">IF(AND(Sheet1!L223&lt;0,  Sheet1!$C$21&gt;R223),    IF(OR(Sheet1!$C$21&lt;=R224,  Sheet1!L224=""),       IF(AND(MOD(NOW(),1)&lt;TIME(9,39,0),Sheet1!$C$22=TODAY()),    Sheet1!$C$21-R223,     Sheet1!$C$21-R223-1),               R224-R223-1),    0)</f>
        <v>0</v>
      </c>
      <c r="F223" s="30"/>
      <c r="G223" s="25" t="str">
        <f>IF(LEFT(Sheet1!K224,2)="0x",Sheet1!K223,IF(AND(Sheet1!L223="",Sheet1!L222=""),"",G222))</f>
        <v/>
      </c>
      <c r="H223" s="81"/>
      <c r="I223" s="43" t="str">
        <f t="shared" si="17"/>
        <v/>
      </c>
      <c r="J223" s="29" t="str">
        <f t="shared" si="20"/>
        <v/>
      </c>
      <c r="K223" s="24" t="str">
        <f>IF(Sheet1!L223="","",IF(Sheet1!L223&gt;0,ROW(),""))</f>
        <v/>
      </c>
      <c r="L223" s="24" t="str">
        <f t="shared" ca="1" si="18"/>
        <v/>
      </c>
      <c r="M223" s="47" t="str">
        <f t="shared" ca="1" si="19"/>
        <v/>
      </c>
      <c r="N223" s="48" t="str">
        <f>IF(LEFT(Sheet1!K223,2)="0x",Sheet1!K223,IF(AND(Sheet1!L223="",Sheet1!L222=""),"",N222))</f>
        <v/>
      </c>
      <c r="O223" s="46">
        <f>IF(Sheet1!L223="",0,IF(Sheet1!O223&lt;TIME(7,39,0)+Sheet1!$E$3/24,1,0))</f>
        <v>0</v>
      </c>
      <c r="P223" s="46" t="str">
        <f ca="1">IF(AND(Sheet1!L223&lt;0, Sheet1!$C$21&gt;R223,OR(Sheet1!$C$21&lt;=R224,Sheet1!L224="")),   -1*Sheet1!L223,"")</f>
        <v/>
      </c>
    </row>
    <row r="224" spans="1:16" ht="15.75" x14ac:dyDescent="0.25">
      <c r="A224" s="456" t="str">
        <f>IF(AND(R224&lt;&gt;"",R223&lt;&gt;""),(-Sheet1!L224/Sheet1!L223)^(360/(R224-R223-1))-1,"")</f>
        <v/>
      </c>
      <c r="B224" s="41" t="str">
        <f ca="1">IF(AND(Sheet1!L224&lt;0, Sheet1!$C$21&gt;R224+1,OR(Sheet1!$C$21&lt;=R225,Sheet1!L225="")),   -1*Sheet1!L224,"")</f>
        <v/>
      </c>
      <c r="C224" s="42">
        <f ca="1">IF(Sheet3!$B$5="",0,    IF(E224&lt;1,0,  IF(B224="","",     IF(OR(Sheet3!$B$6=0,INDIRECT(ADDRESS(ROW(),Sheet3!$B$3+16))="" ),D224/E224,    IF(E224&lt;0,0,    IF(OR( INDIRECT(ADDRESS(8,Sheet3!$B$3+16))="",INDIRECT(ADDRESS(ROW(),Sheet3!$B$3+17))=""),        (INDIRECT(ADDRESS(ROW(),Sheet3!$B$3+16))+B224)*Sheet3!$Q$4,         INDIRECT(ADDRESS(ROW(),Sheet3!$B$3+17))-INDIRECT(ADDRESS(ROW(),Sheet3!$B$3+16))))))))</f>
        <v>0</v>
      </c>
      <c r="D224" s="39">
        <f ca="1">IF(Sheet3!$B$5="",0,IF(B224="","",IF(E224&lt;1,0,   IF(INDIRECT(ADDRESS(ROW(), Sheet3!$B$3+17))="",        INDIRECT(ADDRESS(ROW(), Sheet3!$B$3+16))*  (1+Sheet3!$Q$4)   +B224*Sheet3!$Q$4,       INDIRECT(ADDRESS(ROW(), Sheet3!$B$3+17))))))</f>
        <v>0</v>
      </c>
      <c r="E224" s="40">
        <f ca="1">IF(AND(Sheet1!L224&lt;0,  Sheet1!$C$21&gt;R224),    IF(OR(Sheet1!$C$21&lt;=R225,  Sheet1!L225=""),       IF(AND(MOD(NOW(),1)&lt;TIME(9,39,0),Sheet1!$C$22=TODAY()),    Sheet1!$C$21-R224,     Sheet1!$C$21-R224-1),               R225-R224-1),    0)</f>
        <v>0</v>
      </c>
      <c r="F224" s="30"/>
      <c r="G224" s="25" t="str">
        <f>IF(LEFT(Sheet1!K225,2)="0x",Sheet1!K224,IF(AND(Sheet1!L224="",Sheet1!L223=""),"",G223))</f>
        <v/>
      </c>
      <c r="H224" s="81"/>
      <c r="I224" s="43" t="str">
        <f t="shared" si="17"/>
        <v/>
      </c>
      <c r="J224" s="29" t="str">
        <f t="shared" si="20"/>
        <v/>
      </c>
      <c r="K224" s="24" t="str">
        <f>IF(Sheet1!L224="","",IF(Sheet1!L224&gt;0,ROW(),""))</f>
        <v/>
      </c>
      <c r="L224" s="24" t="str">
        <f t="shared" ca="1" si="18"/>
        <v/>
      </c>
      <c r="M224" s="47" t="str">
        <f t="shared" ca="1" si="19"/>
        <v/>
      </c>
      <c r="N224" s="48" t="str">
        <f>IF(LEFT(Sheet1!K224,2)="0x",Sheet1!K224,IF(AND(Sheet1!L224="",Sheet1!L223=""),"",N223))</f>
        <v/>
      </c>
      <c r="O224" s="46">
        <f>IF(Sheet1!L224="",0,IF(Sheet1!O224&lt;TIME(7,39,0)+Sheet1!$E$3/24,1,0))</f>
        <v>0</v>
      </c>
      <c r="P224" s="46" t="str">
        <f ca="1">IF(AND(Sheet1!L224&lt;0, Sheet1!$C$21&gt;R224,OR(Sheet1!$C$21&lt;=R225,Sheet1!L225="")),   -1*Sheet1!L224,"")</f>
        <v/>
      </c>
    </row>
    <row r="225" spans="1:16" ht="15.75" x14ac:dyDescent="0.25">
      <c r="A225" s="456" t="str">
        <f>IF(AND(R225&lt;&gt;"",R224&lt;&gt;""),(-Sheet1!L225/Sheet1!L224)^(360/(R225-R224-1))-1,"")</f>
        <v/>
      </c>
      <c r="B225" s="41" t="str">
        <f ca="1">IF(AND(Sheet1!L225&lt;0, Sheet1!$C$21&gt;R225+1,OR(Sheet1!$C$21&lt;=R226,Sheet1!L226="")),   -1*Sheet1!L225,"")</f>
        <v/>
      </c>
      <c r="C225" s="42">
        <f ca="1">IF(Sheet3!$B$5="",0,    IF(E225&lt;1,0,  IF(B225="","",     IF(OR(Sheet3!$B$6=0,INDIRECT(ADDRESS(ROW(),Sheet3!$B$3+16))="" ),D225/E225,    IF(E225&lt;0,0,    IF(OR( INDIRECT(ADDRESS(8,Sheet3!$B$3+16))="",INDIRECT(ADDRESS(ROW(),Sheet3!$B$3+17))=""),        (INDIRECT(ADDRESS(ROW(),Sheet3!$B$3+16))+B225)*Sheet3!$Q$4,         INDIRECT(ADDRESS(ROW(),Sheet3!$B$3+17))-INDIRECT(ADDRESS(ROW(),Sheet3!$B$3+16))))))))</f>
        <v>0</v>
      </c>
      <c r="D225" s="39">
        <f ca="1">IF(Sheet3!$B$5="",0,IF(B225="","",IF(E225&lt;1,0,   IF(INDIRECT(ADDRESS(ROW(), Sheet3!$B$3+17))="",        INDIRECT(ADDRESS(ROW(), Sheet3!$B$3+16))*  (1+Sheet3!$Q$4)   +B225*Sheet3!$Q$4,       INDIRECT(ADDRESS(ROW(), Sheet3!$B$3+17))))))</f>
        <v>0</v>
      </c>
      <c r="E225" s="40">
        <f ca="1">IF(AND(Sheet1!L225&lt;0,  Sheet1!$C$21&gt;R225),    IF(OR(Sheet1!$C$21&lt;=R226,  Sheet1!L226=""),       IF(AND(MOD(NOW(),1)&lt;TIME(9,39,0),Sheet1!$C$22=TODAY()),    Sheet1!$C$21-R225,     Sheet1!$C$21-R225-1),               R226-R225-1),    0)</f>
        <v>0</v>
      </c>
      <c r="F225" s="30"/>
      <c r="G225" s="25" t="str">
        <f>IF(LEFT(Sheet1!K226,2)="0x",Sheet1!K225,IF(AND(Sheet1!L225="",Sheet1!L224=""),"",G224))</f>
        <v/>
      </c>
      <c r="H225" s="81"/>
      <c r="I225" s="43" t="str">
        <f t="shared" si="17"/>
        <v/>
      </c>
      <c r="J225" s="29" t="str">
        <f t="shared" si="20"/>
        <v/>
      </c>
      <c r="K225" s="24" t="str">
        <f>IF(Sheet1!L225="","",IF(Sheet1!L225&gt;0,ROW(),""))</f>
        <v/>
      </c>
      <c r="L225" s="24" t="str">
        <f t="shared" ca="1" si="18"/>
        <v/>
      </c>
      <c r="M225" s="47" t="str">
        <f t="shared" ca="1" si="19"/>
        <v/>
      </c>
      <c r="N225" s="48" t="str">
        <f>IF(LEFT(Sheet1!K225,2)="0x",Sheet1!K225,IF(AND(Sheet1!L225="",Sheet1!L224=""),"",N224))</f>
        <v/>
      </c>
      <c r="O225" s="46">
        <f>IF(Sheet1!L225="",0,IF(Sheet1!O225&lt;TIME(7,39,0)+Sheet1!$E$3/24,1,0))</f>
        <v>0</v>
      </c>
      <c r="P225" s="46" t="str">
        <f ca="1">IF(AND(Sheet1!L225&lt;0, Sheet1!$C$21&gt;R225,OR(Sheet1!$C$21&lt;=R226,Sheet1!L226="")),   -1*Sheet1!L225,"")</f>
        <v/>
      </c>
    </row>
    <row r="226" spans="1:16" ht="15.75" x14ac:dyDescent="0.25">
      <c r="A226" s="456" t="str">
        <f>IF(AND(R226&lt;&gt;"",R225&lt;&gt;""),(-Sheet1!L226/Sheet1!L225)^(360/(R226-R225-1))-1,"")</f>
        <v/>
      </c>
      <c r="B226" s="41" t="str">
        <f ca="1">IF(AND(Sheet1!L226&lt;0, Sheet1!$C$21&gt;R226+1,OR(Sheet1!$C$21&lt;=R227,Sheet1!L227="")),   -1*Sheet1!L226,"")</f>
        <v/>
      </c>
      <c r="C226" s="42">
        <f ca="1">IF(Sheet3!$B$5="",0,    IF(E226&lt;1,0,  IF(B226="","",     IF(OR(Sheet3!$B$6=0,INDIRECT(ADDRESS(ROW(),Sheet3!$B$3+16))="" ),D226/E226,    IF(E226&lt;0,0,    IF(OR( INDIRECT(ADDRESS(8,Sheet3!$B$3+16))="",INDIRECT(ADDRESS(ROW(),Sheet3!$B$3+17))=""),        (INDIRECT(ADDRESS(ROW(),Sheet3!$B$3+16))+B226)*Sheet3!$Q$4,         INDIRECT(ADDRESS(ROW(),Sheet3!$B$3+17))-INDIRECT(ADDRESS(ROW(),Sheet3!$B$3+16))))))))</f>
        <v>0</v>
      </c>
      <c r="D226" s="39">
        <f ca="1">IF(Sheet3!$B$5="",0,IF(B226="","",IF(E226&lt;1,0,   IF(INDIRECT(ADDRESS(ROW(), Sheet3!$B$3+17))="",        INDIRECT(ADDRESS(ROW(), Sheet3!$B$3+16))*  (1+Sheet3!$Q$4)   +B226*Sheet3!$Q$4,       INDIRECT(ADDRESS(ROW(), Sheet3!$B$3+17))))))</f>
        <v>0</v>
      </c>
      <c r="E226" s="40">
        <f ca="1">IF(AND(Sheet1!L226&lt;0,  Sheet1!$C$21&gt;R226),    IF(OR(Sheet1!$C$21&lt;=R227,  Sheet1!L227=""),       IF(AND(MOD(NOW(),1)&lt;TIME(9,39,0),Sheet1!$C$22=TODAY()),    Sheet1!$C$21-R226,     Sheet1!$C$21-R226-1),               R227-R226-1),    0)</f>
        <v>0</v>
      </c>
      <c r="F226" s="30"/>
      <c r="G226" s="25" t="str">
        <f>IF(LEFT(Sheet1!K227,2)="0x",Sheet1!K226,IF(AND(Sheet1!L226="",Sheet1!L225=""),"",G225))</f>
        <v/>
      </c>
      <c r="H226" s="81"/>
      <c r="I226" s="43" t="str">
        <f t="shared" si="17"/>
        <v/>
      </c>
      <c r="J226" s="29" t="str">
        <f t="shared" si="20"/>
        <v/>
      </c>
      <c r="K226" s="24" t="str">
        <f>IF(Sheet1!L226="","",IF(Sheet1!L226&gt;0,ROW(),""))</f>
        <v/>
      </c>
      <c r="L226" s="24" t="str">
        <f t="shared" ca="1" si="18"/>
        <v/>
      </c>
      <c r="M226" s="47" t="str">
        <f t="shared" ca="1" si="19"/>
        <v/>
      </c>
      <c r="N226" s="48" t="str">
        <f>IF(LEFT(Sheet1!K226,2)="0x",Sheet1!K226,IF(AND(Sheet1!L226="",Sheet1!L225=""),"",N225))</f>
        <v/>
      </c>
      <c r="O226" s="46">
        <f>IF(Sheet1!L226="",0,IF(Sheet1!O226&lt;TIME(7,39,0)+Sheet1!$E$3/24,1,0))</f>
        <v>0</v>
      </c>
      <c r="P226" s="46" t="str">
        <f ca="1">IF(AND(Sheet1!L226&lt;0, Sheet1!$C$21&gt;R226,OR(Sheet1!$C$21&lt;=R227,Sheet1!L227="")),   -1*Sheet1!L226,"")</f>
        <v/>
      </c>
    </row>
    <row r="227" spans="1:16" ht="15.75" x14ac:dyDescent="0.25">
      <c r="A227" s="456" t="str">
        <f>IF(AND(R227&lt;&gt;"",R226&lt;&gt;""),(-Sheet1!L227/Sheet1!L226)^(360/(R227-R226-1))-1,"")</f>
        <v/>
      </c>
      <c r="B227" s="41" t="str">
        <f ca="1">IF(AND(Sheet1!L227&lt;0, Sheet1!$C$21&gt;R227+1,OR(Sheet1!$C$21&lt;=R228,Sheet1!L228="")),   -1*Sheet1!L227,"")</f>
        <v/>
      </c>
      <c r="C227" s="42">
        <f ca="1">IF(Sheet3!$B$5="",0,    IF(E227&lt;1,0,  IF(B227="","",     IF(OR(Sheet3!$B$6=0,INDIRECT(ADDRESS(ROW(),Sheet3!$B$3+16))="" ),D227/E227,    IF(E227&lt;0,0,    IF(OR( INDIRECT(ADDRESS(8,Sheet3!$B$3+16))="",INDIRECT(ADDRESS(ROW(),Sheet3!$B$3+17))=""),        (INDIRECT(ADDRESS(ROW(),Sheet3!$B$3+16))+B227)*Sheet3!$Q$4,         INDIRECT(ADDRESS(ROW(),Sheet3!$B$3+17))-INDIRECT(ADDRESS(ROW(),Sheet3!$B$3+16))))))))</f>
        <v>0</v>
      </c>
      <c r="D227" s="39">
        <f ca="1">IF(Sheet3!$B$5="",0,IF(B227="","",IF(E227&lt;1,0,   IF(INDIRECT(ADDRESS(ROW(), Sheet3!$B$3+17))="",        INDIRECT(ADDRESS(ROW(), Sheet3!$B$3+16))*  (1+Sheet3!$Q$4)   +B227*Sheet3!$Q$4,       INDIRECT(ADDRESS(ROW(), Sheet3!$B$3+17))))))</f>
        <v>0</v>
      </c>
      <c r="E227" s="40">
        <f ca="1">IF(AND(Sheet1!L227&lt;0,  Sheet1!$C$21&gt;R227),    IF(OR(Sheet1!$C$21&lt;=R228,  Sheet1!L228=""),       IF(AND(MOD(NOW(),1)&lt;TIME(9,39,0),Sheet1!$C$22=TODAY()),    Sheet1!$C$21-R227,     Sheet1!$C$21-R227-1),               R228-R227-1),    0)</f>
        <v>0</v>
      </c>
      <c r="F227" s="30"/>
      <c r="G227" s="25" t="str">
        <f>IF(LEFT(Sheet1!K228,2)="0x",Sheet1!K227,IF(AND(Sheet1!L227="",Sheet1!L226=""),"",G226))</f>
        <v/>
      </c>
      <c r="H227" s="81"/>
      <c r="I227" s="43" t="str">
        <f t="shared" si="17"/>
        <v/>
      </c>
      <c r="J227" s="29" t="str">
        <f t="shared" si="20"/>
        <v/>
      </c>
      <c r="K227" s="24" t="str">
        <f>IF(Sheet1!L227="","",IF(Sheet1!L227&gt;0,ROW(),""))</f>
        <v/>
      </c>
      <c r="L227" s="24" t="str">
        <f t="shared" ca="1" si="18"/>
        <v/>
      </c>
      <c r="M227" s="47" t="str">
        <f t="shared" ca="1" si="19"/>
        <v/>
      </c>
      <c r="N227" s="48" t="str">
        <f>IF(LEFT(Sheet1!K227,2)="0x",Sheet1!K227,IF(AND(Sheet1!L227="",Sheet1!L226=""),"",N226))</f>
        <v/>
      </c>
      <c r="O227" s="46">
        <f>IF(Sheet1!L227="",0,IF(Sheet1!O227&lt;TIME(7,39,0)+Sheet1!$E$3/24,1,0))</f>
        <v>0</v>
      </c>
      <c r="P227" s="46" t="str">
        <f ca="1">IF(AND(Sheet1!L227&lt;0, Sheet1!$C$21&gt;R227,OR(Sheet1!$C$21&lt;=R228,Sheet1!L228="")),   -1*Sheet1!L227,"")</f>
        <v/>
      </c>
    </row>
    <row r="228" spans="1:16" ht="15.75" x14ac:dyDescent="0.25">
      <c r="A228" s="456" t="str">
        <f>IF(AND(R228&lt;&gt;"",R227&lt;&gt;""),(-Sheet1!L228/Sheet1!L227)^(360/(R228-R227-1))-1,"")</f>
        <v/>
      </c>
      <c r="B228" s="41" t="str">
        <f ca="1">IF(AND(Sheet1!L228&lt;0, Sheet1!$C$21&gt;R228+1,OR(Sheet1!$C$21&lt;=R229,Sheet1!L229="")),   -1*Sheet1!L228,"")</f>
        <v/>
      </c>
      <c r="C228" s="42">
        <f ca="1">IF(Sheet3!$B$5="",0,    IF(E228&lt;1,0,  IF(B228="","",     IF(OR(Sheet3!$B$6=0,INDIRECT(ADDRESS(ROW(),Sheet3!$B$3+16))="" ),D228/E228,    IF(E228&lt;0,0,    IF(OR( INDIRECT(ADDRESS(8,Sheet3!$B$3+16))="",INDIRECT(ADDRESS(ROW(),Sheet3!$B$3+17))=""),        (INDIRECT(ADDRESS(ROW(),Sheet3!$B$3+16))+B228)*Sheet3!$Q$4,         INDIRECT(ADDRESS(ROW(),Sheet3!$B$3+17))-INDIRECT(ADDRESS(ROW(),Sheet3!$B$3+16))))))))</f>
        <v>0</v>
      </c>
      <c r="D228" s="39">
        <f ca="1">IF(Sheet3!$B$5="",0,IF(B228="","",IF(E228&lt;1,0,   IF(INDIRECT(ADDRESS(ROW(), Sheet3!$B$3+17))="",        INDIRECT(ADDRESS(ROW(), Sheet3!$B$3+16))*  (1+Sheet3!$Q$4)   +B228*Sheet3!$Q$4,       INDIRECT(ADDRESS(ROW(), Sheet3!$B$3+17))))))</f>
        <v>0</v>
      </c>
      <c r="E228" s="40">
        <f ca="1">IF(AND(Sheet1!L228&lt;0,  Sheet1!$C$21&gt;R228),    IF(OR(Sheet1!$C$21&lt;=R229,  Sheet1!L229=""),       IF(AND(MOD(NOW(),1)&lt;TIME(9,39,0),Sheet1!$C$22=TODAY()),    Sheet1!$C$21-R228,     Sheet1!$C$21-R228-1),               R229-R228-1),    0)</f>
        <v>0</v>
      </c>
      <c r="F228" s="30"/>
      <c r="G228" s="25" t="str">
        <f>IF(LEFT(Sheet1!K229,2)="0x",Sheet1!K228,IF(AND(Sheet1!L228="",Sheet1!L227=""),"",G227))</f>
        <v/>
      </c>
      <c r="H228" s="81"/>
      <c r="I228" s="43" t="str">
        <f t="shared" si="17"/>
        <v/>
      </c>
      <c r="J228" s="29" t="str">
        <f t="shared" si="20"/>
        <v/>
      </c>
      <c r="K228" s="24" t="str">
        <f>IF(Sheet1!L228="","",IF(Sheet1!L228&gt;0,ROW(),""))</f>
        <v/>
      </c>
      <c r="L228" s="24" t="str">
        <f t="shared" ca="1" si="18"/>
        <v/>
      </c>
      <c r="M228" s="47" t="str">
        <f t="shared" ca="1" si="19"/>
        <v/>
      </c>
      <c r="N228" s="48" t="str">
        <f>IF(LEFT(Sheet1!K228,2)="0x",Sheet1!K228,IF(AND(Sheet1!L228="",Sheet1!L227=""),"",N227))</f>
        <v/>
      </c>
      <c r="O228" s="46">
        <f>IF(Sheet1!L228="",0,IF(Sheet1!O228&lt;TIME(7,39,0)+Sheet1!$E$3/24,1,0))</f>
        <v>0</v>
      </c>
      <c r="P228" s="46" t="str">
        <f ca="1">IF(AND(Sheet1!L228&lt;0, Sheet1!$C$21&gt;R228,OR(Sheet1!$C$21&lt;=R229,Sheet1!L229="")),   -1*Sheet1!L228,"")</f>
        <v/>
      </c>
    </row>
    <row r="229" spans="1:16" ht="15.75" x14ac:dyDescent="0.25">
      <c r="A229" s="456" t="str">
        <f>IF(AND(R229&lt;&gt;"",R228&lt;&gt;""),(-Sheet1!L229/Sheet1!L228)^(360/(R229-R228-1))-1,"")</f>
        <v/>
      </c>
      <c r="B229" s="41" t="str">
        <f ca="1">IF(AND(Sheet1!L229&lt;0, Sheet1!$C$21&gt;R229+1,OR(Sheet1!$C$21&lt;=R230,Sheet1!L230="")),   -1*Sheet1!L229,"")</f>
        <v/>
      </c>
      <c r="C229" s="42">
        <f ca="1">IF(Sheet3!$B$5="",0,    IF(E229&lt;1,0,  IF(B229="","",     IF(OR(Sheet3!$B$6=0,INDIRECT(ADDRESS(ROW(),Sheet3!$B$3+16))="" ),D229/E229,    IF(E229&lt;0,0,    IF(OR( INDIRECT(ADDRESS(8,Sheet3!$B$3+16))="",INDIRECT(ADDRESS(ROW(),Sheet3!$B$3+17))=""),        (INDIRECT(ADDRESS(ROW(),Sheet3!$B$3+16))+B229)*Sheet3!$Q$4,         INDIRECT(ADDRESS(ROW(),Sheet3!$B$3+17))-INDIRECT(ADDRESS(ROW(),Sheet3!$B$3+16))))))))</f>
        <v>0</v>
      </c>
      <c r="D229" s="39">
        <f ca="1">IF(Sheet3!$B$5="",0,IF(B229="","",IF(E229&lt;1,0,   IF(INDIRECT(ADDRESS(ROW(), Sheet3!$B$3+17))="",        INDIRECT(ADDRESS(ROW(), Sheet3!$B$3+16))*  (1+Sheet3!$Q$4)   +B229*Sheet3!$Q$4,       INDIRECT(ADDRESS(ROW(), Sheet3!$B$3+17))))))</f>
        <v>0</v>
      </c>
      <c r="E229" s="40">
        <f ca="1">IF(AND(Sheet1!L229&lt;0,  Sheet1!$C$21&gt;R229),    IF(OR(Sheet1!$C$21&lt;=R230,  Sheet1!L230=""),       IF(AND(MOD(NOW(),1)&lt;TIME(9,39,0),Sheet1!$C$22=TODAY()),    Sheet1!$C$21-R229,     Sheet1!$C$21-R229-1),               R230-R229-1),    0)</f>
        <v>0</v>
      </c>
      <c r="F229" s="30"/>
      <c r="G229" s="25" t="str">
        <f>IF(LEFT(Sheet1!K230,2)="0x",Sheet1!K229,IF(AND(Sheet1!L229="",Sheet1!L228=""),"",G228))</f>
        <v/>
      </c>
      <c r="H229" s="81"/>
      <c r="I229" s="43" t="str">
        <f t="shared" si="17"/>
        <v/>
      </c>
      <c r="J229" s="29" t="str">
        <f t="shared" si="20"/>
        <v/>
      </c>
      <c r="K229" s="24" t="str">
        <f>IF(Sheet1!L229="","",IF(Sheet1!L229&gt;0,ROW(),""))</f>
        <v/>
      </c>
      <c r="L229" s="24" t="str">
        <f t="shared" ca="1" si="18"/>
        <v/>
      </c>
      <c r="M229" s="47" t="str">
        <f t="shared" ca="1" si="19"/>
        <v/>
      </c>
      <c r="N229" s="48" t="str">
        <f>IF(LEFT(Sheet1!K229,2)="0x",Sheet1!K229,IF(AND(Sheet1!L229="",Sheet1!L228=""),"",N228))</f>
        <v/>
      </c>
      <c r="O229" s="46">
        <f>IF(Sheet1!L229="",0,IF(Sheet1!O229&lt;TIME(7,39,0)+Sheet1!$E$3/24,1,0))</f>
        <v>0</v>
      </c>
      <c r="P229" s="46" t="str">
        <f ca="1">IF(AND(Sheet1!L229&lt;0, Sheet1!$C$21&gt;R229,OR(Sheet1!$C$21&lt;=R230,Sheet1!L230="")),   -1*Sheet1!L229,"")</f>
        <v/>
      </c>
    </row>
    <row r="230" spans="1:16" ht="15.75" x14ac:dyDescent="0.25">
      <c r="A230" s="456" t="str">
        <f>IF(AND(R230&lt;&gt;"",R229&lt;&gt;""),(-Sheet1!L230/Sheet1!L229)^(360/(R230-R229-1))-1,"")</f>
        <v/>
      </c>
      <c r="B230" s="41" t="str">
        <f ca="1">IF(AND(Sheet1!L230&lt;0, Sheet1!$C$21&gt;R230+1,OR(Sheet1!$C$21&lt;=R231,Sheet1!L231="")),   -1*Sheet1!L230,"")</f>
        <v/>
      </c>
      <c r="C230" s="42">
        <f ca="1">IF(Sheet3!$B$5="",0,    IF(E230&lt;1,0,  IF(B230="","",     IF(OR(Sheet3!$B$6=0,INDIRECT(ADDRESS(ROW(),Sheet3!$B$3+16))="" ),D230/E230,    IF(E230&lt;0,0,    IF(OR( INDIRECT(ADDRESS(8,Sheet3!$B$3+16))="",INDIRECT(ADDRESS(ROW(),Sheet3!$B$3+17))=""),        (INDIRECT(ADDRESS(ROW(),Sheet3!$B$3+16))+B230)*Sheet3!$Q$4,         INDIRECT(ADDRESS(ROW(),Sheet3!$B$3+17))-INDIRECT(ADDRESS(ROW(),Sheet3!$B$3+16))))))))</f>
        <v>0</v>
      </c>
      <c r="D230" s="39">
        <f ca="1">IF(Sheet3!$B$5="",0,IF(B230="","",IF(E230&lt;1,0,   IF(INDIRECT(ADDRESS(ROW(), Sheet3!$B$3+17))="",        INDIRECT(ADDRESS(ROW(), Sheet3!$B$3+16))*  (1+Sheet3!$Q$4)   +B230*Sheet3!$Q$4,       INDIRECT(ADDRESS(ROW(), Sheet3!$B$3+17))))))</f>
        <v>0</v>
      </c>
      <c r="E230" s="40">
        <f ca="1">IF(AND(Sheet1!L230&lt;0,  Sheet1!$C$21&gt;R230),    IF(OR(Sheet1!$C$21&lt;=R231,  Sheet1!L231=""),       IF(AND(MOD(NOW(),1)&lt;TIME(9,39,0),Sheet1!$C$22=TODAY()),    Sheet1!$C$21-R230,     Sheet1!$C$21-R230-1),               R231-R230-1),    0)</f>
        <v>0</v>
      </c>
      <c r="F230" s="30"/>
      <c r="G230" s="25" t="str">
        <f>IF(LEFT(Sheet1!K231,2)="0x",Sheet1!K230,IF(AND(Sheet1!L230="",Sheet1!L229=""),"",G229))</f>
        <v/>
      </c>
      <c r="H230" s="81"/>
      <c r="I230" s="43" t="str">
        <f t="shared" ref="I230:I293" si="21">IFERROR(SMALL(K$6:K$117,ROW(Q193)),"")</f>
        <v/>
      </c>
      <c r="J230" s="29" t="str">
        <f t="shared" si="20"/>
        <v/>
      </c>
      <c r="K230" s="24" t="str">
        <f>IF(Sheet1!L230="","",IF(Sheet1!L230&gt;0,ROW(),""))</f>
        <v/>
      </c>
      <c r="L230" s="24" t="str">
        <f t="shared" ca="1" si="18"/>
        <v/>
      </c>
      <c r="M230" s="47" t="str">
        <f t="shared" ca="1" si="19"/>
        <v/>
      </c>
      <c r="N230" s="48" t="str">
        <f>IF(LEFT(Sheet1!K230,2)="0x",Sheet1!K230,IF(AND(Sheet1!L230="",Sheet1!L229=""),"",N229))</f>
        <v/>
      </c>
      <c r="O230" s="46">
        <f>IF(Sheet1!L230="",0,IF(Sheet1!O230&lt;TIME(7,39,0)+Sheet1!$E$3/24,1,0))</f>
        <v>0</v>
      </c>
      <c r="P230" s="46" t="str">
        <f ca="1">IF(AND(Sheet1!L230&lt;0, Sheet1!$C$21&gt;R230,OR(Sheet1!$C$21&lt;=R231,Sheet1!L231="")),   -1*Sheet1!L230,"")</f>
        <v/>
      </c>
    </row>
    <row r="231" spans="1:16" ht="15.75" x14ac:dyDescent="0.25">
      <c r="A231" s="456" t="str">
        <f>IF(AND(R231&lt;&gt;"",R230&lt;&gt;""),(-Sheet1!L231/Sheet1!L230)^(360/(R231-R230-1))-1,"")</f>
        <v/>
      </c>
      <c r="B231" s="41" t="str">
        <f ca="1">IF(AND(Sheet1!L231&lt;0, Sheet1!$C$21&gt;R231+1,OR(Sheet1!$C$21&lt;=R232,Sheet1!L232="")),   -1*Sheet1!L231,"")</f>
        <v/>
      </c>
      <c r="C231" s="42">
        <f ca="1">IF(Sheet3!$B$5="",0,    IF(E231&lt;1,0,  IF(B231="","",     IF(OR(Sheet3!$B$6=0,INDIRECT(ADDRESS(ROW(),Sheet3!$B$3+16))="" ),D231/E231,    IF(E231&lt;0,0,    IF(OR( INDIRECT(ADDRESS(8,Sheet3!$B$3+16))="",INDIRECT(ADDRESS(ROW(),Sheet3!$B$3+17))=""),        (INDIRECT(ADDRESS(ROW(),Sheet3!$B$3+16))+B231)*Sheet3!$Q$4,         INDIRECT(ADDRESS(ROW(),Sheet3!$B$3+17))-INDIRECT(ADDRESS(ROW(),Sheet3!$B$3+16))))))))</f>
        <v>0</v>
      </c>
      <c r="D231" s="39">
        <f ca="1">IF(Sheet3!$B$5="",0,IF(B231="","",IF(E231&lt;1,0,   IF(INDIRECT(ADDRESS(ROW(), Sheet3!$B$3+17))="",        INDIRECT(ADDRESS(ROW(), Sheet3!$B$3+16))*  (1+Sheet3!$Q$4)   +B231*Sheet3!$Q$4,       INDIRECT(ADDRESS(ROW(), Sheet3!$B$3+17))))))</f>
        <v>0</v>
      </c>
      <c r="E231" s="40">
        <f ca="1">IF(AND(Sheet1!L231&lt;0,  Sheet1!$C$21&gt;R231),    IF(OR(Sheet1!$C$21&lt;=R232,  Sheet1!L232=""),       IF(AND(MOD(NOW(),1)&lt;TIME(9,39,0),Sheet1!$C$22=TODAY()),    Sheet1!$C$21-R231,     Sheet1!$C$21-R231-1),               R232-R231-1),    0)</f>
        <v>0</v>
      </c>
      <c r="F231" s="30"/>
      <c r="G231" s="25" t="str">
        <f>IF(LEFT(Sheet1!K232,2)="0x",Sheet1!K231,IF(AND(Sheet1!L231="",Sheet1!L230=""),"",G230))</f>
        <v/>
      </c>
      <c r="H231" s="81"/>
      <c r="I231" s="43" t="str">
        <f t="shared" si="21"/>
        <v/>
      </c>
      <c r="J231" s="29" t="str">
        <f t="shared" si="20"/>
        <v/>
      </c>
      <c r="K231" s="24" t="str">
        <f>IF(Sheet1!L231="","",IF(Sheet1!L231&gt;0,ROW(),""))</f>
        <v/>
      </c>
      <c r="L231" s="24" t="str">
        <f t="shared" ca="1" si="18"/>
        <v/>
      </c>
      <c r="M231" s="47" t="str">
        <f t="shared" ca="1" si="19"/>
        <v/>
      </c>
      <c r="N231" s="48" t="str">
        <f>IF(LEFT(Sheet1!K231,2)="0x",Sheet1!K231,IF(AND(Sheet1!L231="",Sheet1!L230=""),"",N230))</f>
        <v/>
      </c>
      <c r="O231" s="46">
        <f>IF(Sheet1!L231="",0,IF(Sheet1!O231&lt;TIME(7,39,0)+Sheet1!$E$3/24,1,0))</f>
        <v>0</v>
      </c>
      <c r="P231" s="46" t="str">
        <f ca="1">IF(AND(Sheet1!L231&lt;0, Sheet1!$C$21&gt;R231,OR(Sheet1!$C$21&lt;=R232,Sheet1!L232="")),   -1*Sheet1!L231,"")</f>
        <v/>
      </c>
    </row>
    <row r="232" spans="1:16" ht="15.75" x14ac:dyDescent="0.25">
      <c r="A232" s="456" t="str">
        <f>IF(AND(R232&lt;&gt;"",R231&lt;&gt;""),(-Sheet1!L232/Sheet1!L231)^(360/(R232-R231-1))-1,"")</f>
        <v/>
      </c>
      <c r="B232" s="41" t="str">
        <f ca="1">IF(AND(Sheet1!L232&lt;0, Sheet1!$C$21&gt;R232+1,OR(Sheet1!$C$21&lt;=R233,Sheet1!L233="")),   -1*Sheet1!L232,"")</f>
        <v/>
      </c>
      <c r="C232" s="42">
        <f ca="1">IF(Sheet3!$B$5="",0,    IF(E232&lt;1,0,  IF(B232="","",     IF(OR(Sheet3!$B$6=0,INDIRECT(ADDRESS(ROW(),Sheet3!$B$3+16))="" ),D232/E232,    IF(E232&lt;0,0,    IF(OR( INDIRECT(ADDRESS(8,Sheet3!$B$3+16))="",INDIRECT(ADDRESS(ROW(),Sheet3!$B$3+17))=""),        (INDIRECT(ADDRESS(ROW(),Sheet3!$B$3+16))+B232)*Sheet3!$Q$4,         INDIRECT(ADDRESS(ROW(),Sheet3!$B$3+17))-INDIRECT(ADDRESS(ROW(),Sheet3!$B$3+16))))))))</f>
        <v>0</v>
      </c>
      <c r="D232" s="39">
        <f ca="1">IF(Sheet3!$B$5="",0,IF(B232="","",IF(E232&lt;1,0,   IF(INDIRECT(ADDRESS(ROW(), Sheet3!$B$3+17))="",        INDIRECT(ADDRESS(ROW(), Sheet3!$B$3+16))*  (1+Sheet3!$Q$4)   +B232*Sheet3!$Q$4,       INDIRECT(ADDRESS(ROW(), Sheet3!$B$3+17))))))</f>
        <v>0</v>
      </c>
      <c r="E232" s="40">
        <f ca="1">IF(AND(Sheet1!L232&lt;0,  Sheet1!$C$21&gt;R232),    IF(OR(Sheet1!$C$21&lt;=R233,  Sheet1!L233=""),       IF(AND(MOD(NOW(),1)&lt;TIME(9,39,0),Sheet1!$C$22=TODAY()),    Sheet1!$C$21-R232,     Sheet1!$C$21-R232-1),               R233-R232-1),    0)</f>
        <v>0</v>
      </c>
      <c r="F232" s="30"/>
      <c r="G232" s="25" t="str">
        <f>IF(LEFT(Sheet1!K233,2)="0x",Sheet1!K232,IF(AND(Sheet1!L232="",Sheet1!L231=""),"",G231))</f>
        <v/>
      </c>
      <c r="H232" s="81"/>
      <c r="I232" s="43" t="str">
        <f t="shared" si="21"/>
        <v/>
      </c>
      <c r="J232" s="29" t="str">
        <f t="shared" si="20"/>
        <v/>
      </c>
      <c r="K232" s="24" t="str">
        <f>IF(Sheet1!L232="","",IF(Sheet1!L232&gt;0,ROW(),""))</f>
        <v/>
      </c>
      <c r="L232" s="24" t="str">
        <f t="shared" ca="1" si="18"/>
        <v/>
      </c>
      <c r="M232" s="47" t="str">
        <f t="shared" ca="1" si="19"/>
        <v/>
      </c>
      <c r="N232" s="48" t="str">
        <f>IF(LEFT(Sheet1!K232,2)="0x",Sheet1!K232,IF(AND(Sheet1!L232="",Sheet1!L231=""),"",N231))</f>
        <v/>
      </c>
      <c r="O232" s="46">
        <f>IF(Sheet1!L232="",0,IF(Sheet1!O232&lt;TIME(7,39,0)+Sheet1!$E$3/24,1,0))</f>
        <v>0</v>
      </c>
      <c r="P232" s="46" t="str">
        <f ca="1">IF(AND(Sheet1!L232&lt;0, Sheet1!$C$21&gt;R232,OR(Sheet1!$C$21&lt;=R233,Sheet1!L233="")),   -1*Sheet1!L232,"")</f>
        <v/>
      </c>
    </row>
    <row r="233" spans="1:16" ht="15.75" x14ac:dyDescent="0.25">
      <c r="A233" s="456" t="str">
        <f>IF(AND(R233&lt;&gt;"",R232&lt;&gt;""),(-Sheet1!L233/Sheet1!L232)^(360/(R233-R232-1))-1,"")</f>
        <v/>
      </c>
      <c r="B233" s="41" t="str">
        <f ca="1">IF(AND(Sheet1!L233&lt;0, Sheet1!$C$21&gt;R233+1,OR(Sheet1!$C$21&lt;=R234,Sheet1!L234="")),   -1*Sheet1!L233,"")</f>
        <v/>
      </c>
      <c r="C233" s="42">
        <f ca="1">IF(Sheet3!$B$5="",0,    IF(E233&lt;1,0,  IF(B233="","",     IF(OR(Sheet3!$B$6=0,INDIRECT(ADDRESS(ROW(),Sheet3!$B$3+16))="" ),D233/E233,    IF(E233&lt;0,0,    IF(OR( INDIRECT(ADDRESS(8,Sheet3!$B$3+16))="",INDIRECT(ADDRESS(ROW(),Sheet3!$B$3+17))=""),        (INDIRECT(ADDRESS(ROW(),Sheet3!$B$3+16))+B233)*Sheet3!$Q$4,         INDIRECT(ADDRESS(ROW(),Sheet3!$B$3+17))-INDIRECT(ADDRESS(ROW(),Sheet3!$B$3+16))))))))</f>
        <v>0</v>
      </c>
      <c r="D233" s="39">
        <f ca="1">IF(Sheet3!$B$5="",0,IF(B233="","",IF(E233&lt;1,0,   IF(INDIRECT(ADDRESS(ROW(), Sheet3!$B$3+17))="",        INDIRECT(ADDRESS(ROW(), Sheet3!$B$3+16))*  (1+Sheet3!$Q$4)   +B233*Sheet3!$Q$4,       INDIRECT(ADDRESS(ROW(), Sheet3!$B$3+17))))))</f>
        <v>0</v>
      </c>
      <c r="E233" s="40">
        <f ca="1">IF(AND(Sheet1!L233&lt;0,  Sheet1!$C$21&gt;R233),    IF(OR(Sheet1!$C$21&lt;=R234,  Sheet1!L234=""),       IF(AND(MOD(NOW(),1)&lt;TIME(9,39,0),Sheet1!$C$22=TODAY()),    Sheet1!$C$21-R233,     Sheet1!$C$21-R233-1),               R234-R233-1),    0)</f>
        <v>0</v>
      </c>
      <c r="F233" s="30"/>
      <c r="G233" s="25" t="str">
        <f>IF(LEFT(Sheet1!K234,2)="0x",Sheet1!K233,IF(AND(Sheet1!L233="",Sheet1!L232=""),"",G232))</f>
        <v/>
      </c>
      <c r="H233" s="81"/>
      <c r="I233" s="43" t="str">
        <f t="shared" si="21"/>
        <v/>
      </c>
      <c r="J233" s="29" t="str">
        <f t="shared" si="20"/>
        <v/>
      </c>
      <c r="K233" s="24" t="str">
        <f>IF(Sheet1!L233="","",IF(Sheet1!L233&gt;0,ROW(),""))</f>
        <v/>
      </c>
      <c r="L233" s="24" t="str">
        <f t="shared" ca="1" si="18"/>
        <v/>
      </c>
      <c r="M233" s="47" t="str">
        <f t="shared" ca="1" si="19"/>
        <v/>
      </c>
      <c r="N233" s="48" t="str">
        <f>IF(LEFT(Sheet1!K233,2)="0x",Sheet1!K233,IF(AND(Sheet1!L233="",Sheet1!L232=""),"",N232))</f>
        <v/>
      </c>
      <c r="O233" s="46">
        <f>IF(Sheet1!L233="",0,IF(Sheet1!O233&lt;TIME(7,39,0)+Sheet1!$E$3/24,1,0))</f>
        <v>0</v>
      </c>
      <c r="P233" s="46" t="str">
        <f ca="1">IF(AND(Sheet1!L233&lt;0, Sheet1!$C$21&gt;R233,OR(Sheet1!$C$21&lt;=R234,Sheet1!L234="")),   -1*Sheet1!L233,"")</f>
        <v/>
      </c>
    </row>
    <row r="234" spans="1:16" ht="15.75" x14ac:dyDescent="0.25">
      <c r="A234" s="456" t="str">
        <f>IF(AND(R234&lt;&gt;"",R233&lt;&gt;""),(-Sheet1!L234/Sheet1!L233)^(360/(R234-R233-1))-1,"")</f>
        <v/>
      </c>
      <c r="B234" s="41" t="str">
        <f ca="1">IF(AND(Sheet1!L234&lt;0, Sheet1!$C$21&gt;R234+1,OR(Sheet1!$C$21&lt;=R235,Sheet1!L235="")),   -1*Sheet1!L234,"")</f>
        <v/>
      </c>
      <c r="C234" s="42">
        <f ca="1">IF(Sheet3!$B$5="",0,    IF(E234&lt;1,0,  IF(B234="","",     IF(OR(Sheet3!$B$6=0,INDIRECT(ADDRESS(ROW(),Sheet3!$B$3+16))="" ),D234/E234,    IF(E234&lt;0,0,    IF(OR( INDIRECT(ADDRESS(8,Sheet3!$B$3+16))="",INDIRECT(ADDRESS(ROW(),Sheet3!$B$3+17))=""),        (INDIRECT(ADDRESS(ROW(),Sheet3!$B$3+16))+B234)*Sheet3!$Q$4,         INDIRECT(ADDRESS(ROW(),Sheet3!$B$3+17))-INDIRECT(ADDRESS(ROW(),Sheet3!$B$3+16))))))))</f>
        <v>0</v>
      </c>
      <c r="D234" s="39">
        <f ca="1">IF(Sheet3!$B$5="",0,IF(B234="","",IF(E234&lt;1,0,   IF(INDIRECT(ADDRESS(ROW(), Sheet3!$B$3+17))="",        INDIRECT(ADDRESS(ROW(), Sheet3!$B$3+16))*  (1+Sheet3!$Q$4)   +B234*Sheet3!$Q$4,       INDIRECT(ADDRESS(ROW(), Sheet3!$B$3+17))))))</f>
        <v>0</v>
      </c>
      <c r="E234" s="40">
        <f ca="1">IF(AND(Sheet1!L234&lt;0,  Sheet1!$C$21&gt;R234),    IF(OR(Sheet1!$C$21&lt;=R235,  Sheet1!L235=""),       IF(AND(MOD(NOW(),1)&lt;TIME(9,39,0),Sheet1!$C$22=TODAY()),    Sheet1!$C$21-R234,     Sheet1!$C$21-R234-1),               R235-R234-1),    0)</f>
        <v>0</v>
      </c>
      <c r="F234" s="30"/>
      <c r="G234" s="25" t="str">
        <f>IF(LEFT(Sheet1!K235,2)="0x",Sheet1!K234,IF(AND(Sheet1!L234="",Sheet1!L233=""),"",G233))</f>
        <v/>
      </c>
      <c r="H234" s="81"/>
      <c r="I234" s="43" t="str">
        <f t="shared" si="21"/>
        <v/>
      </c>
      <c r="J234" s="29" t="str">
        <f t="shared" si="20"/>
        <v/>
      </c>
      <c r="K234" s="24" t="str">
        <f>IF(Sheet1!L234="","",IF(Sheet1!L234&gt;0,ROW(),""))</f>
        <v/>
      </c>
      <c r="L234" s="24" t="str">
        <f t="shared" ca="1" si="18"/>
        <v/>
      </c>
      <c r="M234" s="47" t="str">
        <f t="shared" ca="1" si="19"/>
        <v/>
      </c>
      <c r="N234" s="48" t="str">
        <f>IF(LEFT(Sheet1!K234,2)="0x",Sheet1!K234,IF(AND(Sheet1!L234="",Sheet1!L233=""),"",N233))</f>
        <v/>
      </c>
      <c r="O234" s="46">
        <f>IF(Sheet1!L234="",0,IF(Sheet1!O234&lt;TIME(7,39,0)+Sheet1!$E$3/24,1,0))</f>
        <v>0</v>
      </c>
      <c r="P234" s="46" t="str">
        <f ca="1">IF(AND(Sheet1!L234&lt;0, Sheet1!$C$21&gt;R234,OR(Sheet1!$C$21&lt;=R235,Sheet1!L235="")),   -1*Sheet1!L234,"")</f>
        <v/>
      </c>
    </row>
    <row r="235" spans="1:16" ht="15.75" x14ac:dyDescent="0.25">
      <c r="A235" s="456" t="str">
        <f>IF(AND(R235&lt;&gt;"",R234&lt;&gt;""),(-Sheet1!L235/Sheet1!L234)^(360/(R235-R234-1))-1,"")</f>
        <v/>
      </c>
      <c r="B235" s="41" t="str">
        <f ca="1">IF(AND(Sheet1!L235&lt;0, Sheet1!$C$21&gt;R235+1,OR(Sheet1!$C$21&lt;=R236,Sheet1!L236="")),   -1*Sheet1!L235,"")</f>
        <v/>
      </c>
      <c r="C235" s="42">
        <f ca="1">IF(Sheet3!$B$5="",0,    IF(E235&lt;1,0,  IF(B235="","",     IF(OR(Sheet3!$B$6=0,INDIRECT(ADDRESS(ROW(),Sheet3!$B$3+16))="" ),D235/E235,    IF(E235&lt;0,0,    IF(OR( INDIRECT(ADDRESS(8,Sheet3!$B$3+16))="",INDIRECT(ADDRESS(ROW(),Sheet3!$B$3+17))=""),        (INDIRECT(ADDRESS(ROW(),Sheet3!$B$3+16))+B235)*Sheet3!$Q$4,         INDIRECT(ADDRESS(ROW(),Sheet3!$B$3+17))-INDIRECT(ADDRESS(ROW(),Sheet3!$B$3+16))))))))</f>
        <v>0</v>
      </c>
      <c r="D235" s="39">
        <f ca="1">IF(Sheet3!$B$5="",0,IF(B235="","",IF(E235&lt;1,0,   IF(INDIRECT(ADDRESS(ROW(), Sheet3!$B$3+17))="",        INDIRECT(ADDRESS(ROW(), Sheet3!$B$3+16))*  (1+Sheet3!$Q$4)   +B235*Sheet3!$Q$4,       INDIRECT(ADDRESS(ROW(), Sheet3!$B$3+17))))))</f>
        <v>0</v>
      </c>
      <c r="E235" s="40">
        <f ca="1">IF(AND(Sheet1!L235&lt;0,  Sheet1!$C$21&gt;R235),    IF(OR(Sheet1!$C$21&lt;=R236,  Sheet1!L236=""),       IF(AND(MOD(NOW(),1)&lt;TIME(9,39,0),Sheet1!$C$22=TODAY()),    Sheet1!$C$21-R235,     Sheet1!$C$21-R235-1),               R236-R235-1),    0)</f>
        <v>0</v>
      </c>
      <c r="F235" s="30"/>
      <c r="G235" s="25" t="str">
        <f>IF(LEFT(Sheet1!K236,2)="0x",Sheet1!K235,IF(AND(Sheet1!L235="",Sheet1!L234=""),"",G234))</f>
        <v/>
      </c>
      <c r="H235" s="81"/>
      <c r="I235" s="43" t="str">
        <f t="shared" si="21"/>
        <v/>
      </c>
      <c r="J235" s="29" t="str">
        <f t="shared" si="20"/>
        <v/>
      </c>
      <c r="K235" s="24" t="str">
        <f>IF(Sheet1!L235="","",IF(Sheet1!L235&gt;0,ROW(),""))</f>
        <v/>
      </c>
      <c r="L235" s="24" t="str">
        <f t="shared" ca="1" si="18"/>
        <v/>
      </c>
      <c r="M235" s="47" t="str">
        <f t="shared" ca="1" si="19"/>
        <v/>
      </c>
      <c r="N235" s="48" t="str">
        <f>IF(LEFT(Sheet1!K235,2)="0x",Sheet1!K235,IF(AND(Sheet1!L235="",Sheet1!L234=""),"",N234))</f>
        <v/>
      </c>
      <c r="O235" s="46">
        <f>IF(Sheet1!L235="",0,IF(Sheet1!O235&lt;TIME(7,39,0)+Sheet1!$E$3/24,1,0))</f>
        <v>0</v>
      </c>
      <c r="P235" s="46" t="str">
        <f ca="1">IF(AND(Sheet1!L235&lt;0, Sheet1!$C$21&gt;R235,OR(Sheet1!$C$21&lt;=R236,Sheet1!L236="")),   -1*Sheet1!L235,"")</f>
        <v/>
      </c>
    </row>
    <row r="236" spans="1:16" ht="15.75" x14ac:dyDescent="0.25">
      <c r="A236" s="456" t="str">
        <f>IF(AND(R236&lt;&gt;"",R235&lt;&gt;""),(-Sheet1!L236/Sheet1!L235)^(360/(R236-R235-1))-1,"")</f>
        <v/>
      </c>
      <c r="B236" s="41" t="str">
        <f ca="1">IF(AND(Sheet1!L236&lt;0, Sheet1!$C$21&gt;R236+1,OR(Sheet1!$C$21&lt;=R237,Sheet1!L237="")),   -1*Sheet1!L236,"")</f>
        <v/>
      </c>
      <c r="C236" s="42">
        <f ca="1">IF(Sheet3!$B$5="",0,    IF(E236&lt;1,0,  IF(B236="","",     IF(OR(Sheet3!$B$6=0,INDIRECT(ADDRESS(ROW(),Sheet3!$B$3+16))="" ),D236/E236,    IF(E236&lt;0,0,    IF(OR( INDIRECT(ADDRESS(8,Sheet3!$B$3+16))="",INDIRECT(ADDRESS(ROW(),Sheet3!$B$3+17))=""),        (INDIRECT(ADDRESS(ROW(),Sheet3!$B$3+16))+B236)*Sheet3!$Q$4,         INDIRECT(ADDRESS(ROW(),Sheet3!$B$3+17))-INDIRECT(ADDRESS(ROW(),Sheet3!$B$3+16))))))))</f>
        <v>0</v>
      </c>
      <c r="D236" s="39">
        <f ca="1">IF(Sheet3!$B$5="",0,IF(B236="","",IF(E236&lt;1,0,   IF(INDIRECT(ADDRESS(ROW(), Sheet3!$B$3+17))="",        INDIRECT(ADDRESS(ROW(), Sheet3!$B$3+16))*  (1+Sheet3!$Q$4)   +B236*Sheet3!$Q$4,       INDIRECT(ADDRESS(ROW(), Sheet3!$B$3+17))))))</f>
        <v>0</v>
      </c>
      <c r="E236" s="40">
        <f ca="1">IF(AND(Sheet1!L236&lt;0,  Sheet1!$C$21&gt;R236),    IF(OR(Sheet1!$C$21&lt;=R237,  Sheet1!L237=""),       IF(AND(MOD(NOW(),1)&lt;TIME(9,39,0),Sheet1!$C$22=TODAY()),    Sheet1!$C$21-R236,     Sheet1!$C$21-R236-1),               R237-R236-1),    0)</f>
        <v>0</v>
      </c>
      <c r="F236" s="30"/>
      <c r="G236" s="25" t="str">
        <f>IF(LEFT(Sheet1!K237,2)="0x",Sheet1!K236,IF(AND(Sheet1!L236="",Sheet1!L235=""),"",G235))</f>
        <v/>
      </c>
      <c r="H236" s="81"/>
      <c r="I236" s="43" t="str">
        <f t="shared" si="21"/>
        <v/>
      </c>
      <c r="J236" s="29" t="str">
        <f t="shared" si="20"/>
        <v/>
      </c>
      <c r="K236" s="24" t="str">
        <f>IF(Sheet1!L236="","",IF(Sheet1!L236&gt;0,ROW(),""))</f>
        <v/>
      </c>
      <c r="L236" s="24" t="str">
        <f t="shared" ca="1" si="18"/>
        <v/>
      </c>
      <c r="M236" s="47" t="str">
        <f t="shared" ca="1" si="19"/>
        <v/>
      </c>
      <c r="N236" s="48" t="str">
        <f>IF(LEFT(Sheet1!K236,2)="0x",Sheet1!K236,IF(AND(Sheet1!L236="",Sheet1!L235=""),"",N235))</f>
        <v/>
      </c>
      <c r="O236" s="46">
        <f>IF(Sheet1!L236="",0,IF(Sheet1!O236&lt;TIME(7,39,0)+Sheet1!$E$3/24,1,0))</f>
        <v>0</v>
      </c>
      <c r="P236" s="46" t="str">
        <f ca="1">IF(AND(Sheet1!L236&lt;0, Sheet1!$C$21&gt;R236,OR(Sheet1!$C$21&lt;=R237,Sheet1!L237="")),   -1*Sheet1!L236,"")</f>
        <v/>
      </c>
    </row>
    <row r="237" spans="1:16" ht="15.75" x14ac:dyDescent="0.25">
      <c r="A237" s="456" t="str">
        <f>IF(AND(R237&lt;&gt;"",R236&lt;&gt;""),(-Sheet1!L237/Sheet1!L236)^(360/(R237-R236-1))-1,"")</f>
        <v/>
      </c>
      <c r="B237" s="41" t="str">
        <f ca="1">IF(AND(Sheet1!L237&lt;0, Sheet1!$C$21&gt;R237+1,OR(Sheet1!$C$21&lt;=R238,Sheet1!L238="")),   -1*Sheet1!L237,"")</f>
        <v/>
      </c>
      <c r="C237" s="42">
        <f ca="1">IF(Sheet3!$B$5="",0,    IF(E237&lt;1,0,  IF(B237="","",     IF(OR(Sheet3!$B$6=0,INDIRECT(ADDRESS(ROW(),Sheet3!$B$3+16))="" ),D237/E237,    IF(E237&lt;0,0,    IF(OR( INDIRECT(ADDRESS(8,Sheet3!$B$3+16))="",INDIRECT(ADDRESS(ROW(),Sheet3!$B$3+17))=""),        (INDIRECT(ADDRESS(ROW(),Sheet3!$B$3+16))+B237)*Sheet3!$Q$4,         INDIRECT(ADDRESS(ROW(),Sheet3!$B$3+17))-INDIRECT(ADDRESS(ROW(),Sheet3!$B$3+16))))))))</f>
        <v>0</v>
      </c>
      <c r="D237" s="39">
        <f ca="1">IF(Sheet3!$B$5="",0,IF(B237="","",IF(E237&lt;1,0,   IF(INDIRECT(ADDRESS(ROW(), Sheet3!$B$3+17))="",        INDIRECT(ADDRESS(ROW(), Sheet3!$B$3+16))*  (1+Sheet3!$Q$4)   +B237*Sheet3!$Q$4,       INDIRECT(ADDRESS(ROW(), Sheet3!$B$3+17))))))</f>
        <v>0</v>
      </c>
      <c r="E237" s="40">
        <f ca="1">IF(AND(Sheet1!L237&lt;0,  Sheet1!$C$21&gt;R237),    IF(OR(Sheet1!$C$21&lt;=R238,  Sheet1!L238=""),       IF(AND(MOD(NOW(),1)&lt;TIME(9,39,0),Sheet1!$C$22=TODAY()),    Sheet1!$C$21-R237,     Sheet1!$C$21-R237-1),               R238-R237-1),    0)</f>
        <v>0</v>
      </c>
      <c r="F237" s="30"/>
      <c r="G237" s="25" t="str">
        <f>IF(LEFT(Sheet1!K238,2)="0x",Sheet1!K237,IF(AND(Sheet1!L237="",Sheet1!L236=""),"",G236))</f>
        <v/>
      </c>
      <c r="H237" s="81"/>
      <c r="I237" s="43" t="str">
        <f t="shared" si="21"/>
        <v/>
      </c>
      <c r="J237" s="29" t="str">
        <f t="shared" si="20"/>
        <v/>
      </c>
      <c r="K237" s="24" t="str">
        <f>IF(Sheet1!L237="","",IF(Sheet1!L237&gt;0,ROW(),""))</f>
        <v/>
      </c>
      <c r="L237" s="24" t="str">
        <f t="shared" ca="1" si="18"/>
        <v/>
      </c>
      <c r="M237" s="47" t="str">
        <f t="shared" ca="1" si="19"/>
        <v/>
      </c>
      <c r="N237" s="48" t="str">
        <f>IF(LEFT(Sheet1!K237,2)="0x",Sheet1!K237,IF(AND(Sheet1!L237="",Sheet1!L236=""),"",N236))</f>
        <v/>
      </c>
      <c r="O237" s="46">
        <f>IF(Sheet1!L237="",0,IF(Sheet1!O237&lt;TIME(7,39,0)+Sheet1!$E$3/24,1,0))</f>
        <v>0</v>
      </c>
      <c r="P237" s="46" t="str">
        <f ca="1">IF(AND(Sheet1!L237&lt;0, Sheet1!$C$21&gt;R237,OR(Sheet1!$C$21&lt;=R238,Sheet1!L238="")),   -1*Sheet1!L237,"")</f>
        <v/>
      </c>
    </row>
    <row r="238" spans="1:16" ht="15.75" x14ac:dyDescent="0.25">
      <c r="A238" s="456" t="str">
        <f>IF(AND(R238&lt;&gt;"",R237&lt;&gt;""),(-Sheet1!L238/Sheet1!L237)^(360/(R238-R237-1))-1,"")</f>
        <v/>
      </c>
      <c r="B238" s="41" t="str">
        <f ca="1">IF(AND(Sheet1!L238&lt;0, Sheet1!$C$21&gt;R238+1,OR(Sheet1!$C$21&lt;=R239,Sheet1!L239="")),   -1*Sheet1!L238,"")</f>
        <v/>
      </c>
      <c r="C238" s="42">
        <f ca="1">IF(Sheet3!$B$5="",0,    IF(E238&lt;1,0,  IF(B238="","",     IF(OR(Sheet3!$B$6=0,INDIRECT(ADDRESS(ROW(),Sheet3!$B$3+16))="" ),D238/E238,    IF(E238&lt;0,0,    IF(OR( INDIRECT(ADDRESS(8,Sheet3!$B$3+16))="",INDIRECT(ADDRESS(ROW(),Sheet3!$B$3+17))=""),        (INDIRECT(ADDRESS(ROW(),Sheet3!$B$3+16))+B238)*Sheet3!$Q$4,         INDIRECT(ADDRESS(ROW(),Sheet3!$B$3+17))-INDIRECT(ADDRESS(ROW(),Sheet3!$B$3+16))))))))</f>
        <v>0</v>
      </c>
      <c r="D238" s="39">
        <f ca="1">IF(Sheet3!$B$5="",0,IF(B238="","",IF(E238&lt;1,0,   IF(INDIRECT(ADDRESS(ROW(), Sheet3!$B$3+17))="",        INDIRECT(ADDRESS(ROW(), Sheet3!$B$3+16))*  (1+Sheet3!$Q$4)   +B238*Sheet3!$Q$4,       INDIRECT(ADDRESS(ROW(), Sheet3!$B$3+17))))))</f>
        <v>0</v>
      </c>
      <c r="E238" s="40">
        <f ca="1">IF(AND(Sheet1!L238&lt;0,  Sheet1!$C$21&gt;R238),    IF(OR(Sheet1!$C$21&lt;=R239,  Sheet1!L239=""),       IF(AND(MOD(NOW(),1)&lt;TIME(9,39,0),Sheet1!$C$22=TODAY()),    Sheet1!$C$21-R238,     Sheet1!$C$21-R238-1),               R239-R238-1),    0)</f>
        <v>0</v>
      </c>
      <c r="F238" s="30"/>
      <c r="G238" s="25" t="str">
        <f>IF(LEFT(Sheet1!K239,2)="0x",Sheet1!K238,IF(AND(Sheet1!L238="",Sheet1!L237=""),"",G237))</f>
        <v/>
      </c>
      <c r="H238" s="81"/>
      <c r="I238" s="43" t="str">
        <f t="shared" si="21"/>
        <v/>
      </c>
      <c r="J238" s="29" t="str">
        <f t="shared" si="20"/>
        <v/>
      </c>
      <c r="K238" s="24" t="str">
        <f>IF(Sheet1!L238="","",IF(Sheet1!L238&gt;0,ROW(),""))</f>
        <v/>
      </c>
      <c r="L238" s="24" t="str">
        <f t="shared" ca="1" si="18"/>
        <v/>
      </c>
      <c r="M238" s="47" t="str">
        <f t="shared" ca="1" si="19"/>
        <v/>
      </c>
      <c r="N238" s="48" t="str">
        <f>IF(LEFT(Sheet1!K238,2)="0x",Sheet1!K238,IF(AND(Sheet1!L238="",Sheet1!L237=""),"",N237))</f>
        <v/>
      </c>
      <c r="O238" s="46">
        <f>IF(Sheet1!L238="",0,IF(Sheet1!O238&lt;TIME(7,39,0)+Sheet1!$E$3/24,1,0))</f>
        <v>0</v>
      </c>
      <c r="P238" s="46" t="str">
        <f ca="1">IF(AND(Sheet1!L238&lt;0, Sheet1!$C$21&gt;R238,OR(Sheet1!$C$21&lt;=R239,Sheet1!L239="")),   -1*Sheet1!L238,"")</f>
        <v/>
      </c>
    </row>
    <row r="239" spans="1:16" ht="15.75" x14ac:dyDescent="0.25">
      <c r="A239" s="456" t="str">
        <f>IF(AND(R239&lt;&gt;"",R238&lt;&gt;""),(-Sheet1!L239/Sheet1!L238)^(360/(R239-R238-1))-1,"")</f>
        <v/>
      </c>
      <c r="B239" s="41" t="str">
        <f ca="1">IF(AND(Sheet1!L239&lt;0, Sheet1!$C$21&gt;R239+1,OR(Sheet1!$C$21&lt;=R240,Sheet1!L240="")),   -1*Sheet1!L239,"")</f>
        <v/>
      </c>
      <c r="C239" s="42">
        <f ca="1">IF(Sheet3!$B$5="",0,    IF(E239&lt;1,0,  IF(B239="","",     IF(OR(Sheet3!$B$6=0,INDIRECT(ADDRESS(ROW(),Sheet3!$B$3+16))="" ),D239/E239,    IF(E239&lt;0,0,    IF(OR( INDIRECT(ADDRESS(8,Sheet3!$B$3+16))="",INDIRECT(ADDRESS(ROW(),Sheet3!$B$3+17))=""),        (INDIRECT(ADDRESS(ROW(),Sheet3!$B$3+16))+B239)*Sheet3!$Q$4,         INDIRECT(ADDRESS(ROW(),Sheet3!$B$3+17))-INDIRECT(ADDRESS(ROW(),Sheet3!$B$3+16))))))))</f>
        <v>0</v>
      </c>
      <c r="D239" s="39">
        <f ca="1">IF(Sheet3!$B$5="",0,IF(B239="","",IF(E239&lt;1,0,   IF(INDIRECT(ADDRESS(ROW(), Sheet3!$B$3+17))="",        INDIRECT(ADDRESS(ROW(), Sheet3!$B$3+16))*  (1+Sheet3!$Q$4)   +B239*Sheet3!$Q$4,       INDIRECT(ADDRESS(ROW(), Sheet3!$B$3+17))))))</f>
        <v>0</v>
      </c>
      <c r="E239" s="40">
        <f ca="1">IF(AND(Sheet1!L239&lt;0,  Sheet1!$C$21&gt;R239),    IF(OR(Sheet1!$C$21&lt;=R240,  Sheet1!L240=""),       IF(AND(MOD(NOW(),1)&lt;TIME(9,39,0),Sheet1!$C$22=TODAY()),    Sheet1!$C$21-R239,     Sheet1!$C$21-R239-1),               R240-R239-1),    0)</f>
        <v>0</v>
      </c>
      <c r="F239" s="30"/>
      <c r="G239" s="25" t="str">
        <f>IF(LEFT(Sheet1!K240,2)="0x",Sheet1!K239,IF(AND(Sheet1!L239="",Sheet1!L238=""),"",G238))</f>
        <v/>
      </c>
      <c r="H239" s="81"/>
      <c r="I239" s="43" t="str">
        <f t="shared" si="21"/>
        <v/>
      </c>
      <c r="J239" s="29" t="str">
        <f t="shared" si="20"/>
        <v/>
      </c>
      <c r="K239" s="24" t="str">
        <f>IF(Sheet1!L239="","",IF(Sheet1!L239&gt;0,ROW(),""))</f>
        <v/>
      </c>
      <c r="L239" s="24" t="str">
        <f t="shared" ca="1" si="18"/>
        <v/>
      </c>
      <c r="M239" s="47" t="str">
        <f t="shared" ca="1" si="19"/>
        <v/>
      </c>
      <c r="N239" s="48" t="str">
        <f>IF(LEFT(Sheet1!K239,2)="0x",Sheet1!K239,IF(AND(Sheet1!L239="",Sheet1!L238=""),"",N238))</f>
        <v/>
      </c>
      <c r="O239" s="46">
        <f>IF(Sheet1!L239="",0,IF(Sheet1!O239&lt;TIME(7,39,0)+Sheet1!$E$3/24,1,0))</f>
        <v>0</v>
      </c>
      <c r="P239" s="46" t="str">
        <f ca="1">IF(AND(Sheet1!L239&lt;0, Sheet1!$C$21&gt;R239,OR(Sheet1!$C$21&lt;=R240,Sheet1!L240="")),   -1*Sheet1!L239,"")</f>
        <v/>
      </c>
    </row>
    <row r="240" spans="1:16" ht="15.75" x14ac:dyDescent="0.25">
      <c r="A240" s="456" t="str">
        <f>IF(AND(R240&lt;&gt;"",R239&lt;&gt;""),(-Sheet1!L240/Sheet1!L239)^(360/(R240-R239-1))-1,"")</f>
        <v/>
      </c>
      <c r="B240" s="41" t="str">
        <f ca="1">IF(AND(Sheet1!L240&lt;0, Sheet1!$C$21&gt;R240+1,OR(Sheet1!$C$21&lt;=R241,Sheet1!L241="")),   -1*Sheet1!L240,"")</f>
        <v/>
      </c>
      <c r="C240" s="42">
        <f ca="1">IF(Sheet3!$B$5="",0,    IF(E240&lt;1,0,  IF(B240="","",     IF(OR(Sheet3!$B$6=0,INDIRECT(ADDRESS(ROW(),Sheet3!$B$3+16))="" ),D240/E240,    IF(E240&lt;0,0,    IF(OR( INDIRECT(ADDRESS(8,Sheet3!$B$3+16))="",INDIRECT(ADDRESS(ROW(),Sheet3!$B$3+17))=""),        (INDIRECT(ADDRESS(ROW(),Sheet3!$B$3+16))+B240)*Sheet3!$Q$4,         INDIRECT(ADDRESS(ROW(),Sheet3!$B$3+17))-INDIRECT(ADDRESS(ROW(),Sheet3!$B$3+16))))))))</f>
        <v>0</v>
      </c>
      <c r="D240" s="39">
        <f ca="1">IF(Sheet3!$B$5="",0,IF(B240="","",IF(E240&lt;1,0,   IF(INDIRECT(ADDRESS(ROW(), Sheet3!$B$3+17))="",        INDIRECT(ADDRESS(ROW(), Sheet3!$B$3+16))*  (1+Sheet3!$Q$4)   +B240*Sheet3!$Q$4,       INDIRECT(ADDRESS(ROW(), Sheet3!$B$3+17))))))</f>
        <v>0</v>
      </c>
      <c r="E240" s="40">
        <f ca="1">IF(AND(Sheet1!L240&lt;0,  Sheet1!$C$21&gt;R240),    IF(OR(Sheet1!$C$21&lt;=R241,  Sheet1!L241=""),       IF(AND(MOD(NOW(),1)&lt;TIME(9,39,0),Sheet1!$C$22=TODAY()),    Sheet1!$C$21-R240,     Sheet1!$C$21-R240-1),               R241-R240-1),    0)</f>
        <v>0</v>
      </c>
      <c r="F240" s="30"/>
      <c r="G240" s="25" t="str">
        <f>IF(LEFT(Sheet1!K241,2)="0x",Sheet1!K240,IF(AND(Sheet1!L240="",Sheet1!L239=""),"",G239))</f>
        <v/>
      </c>
      <c r="H240" s="81"/>
      <c r="I240" s="43" t="str">
        <f t="shared" si="21"/>
        <v/>
      </c>
      <c r="J240" s="29" t="str">
        <f t="shared" si="20"/>
        <v/>
      </c>
      <c r="K240" s="24" t="str">
        <f>IF(Sheet1!L240="","",IF(Sheet1!L240&gt;0,ROW(),""))</f>
        <v/>
      </c>
      <c r="L240" s="24" t="str">
        <f t="shared" ca="1" si="18"/>
        <v/>
      </c>
      <c r="M240" s="47" t="str">
        <f t="shared" ca="1" si="19"/>
        <v/>
      </c>
      <c r="N240" s="48" t="str">
        <f>IF(LEFT(Sheet1!K240,2)="0x",Sheet1!K240,IF(AND(Sheet1!L240="",Sheet1!L239=""),"",N239))</f>
        <v/>
      </c>
      <c r="O240" s="46">
        <f>IF(Sheet1!L240="",0,IF(Sheet1!O240&lt;TIME(7,39,0)+Sheet1!$E$3/24,1,0))</f>
        <v>0</v>
      </c>
      <c r="P240" s="46" t="str">
        <f ca="1">IF(AND(Sheet1!L240&lt;0, Sheet1!$C$21&gt;R240,OR(Sheet1!$C$21&lt;=R241,Sheet1!L241="")),   -1*Sheet1!L240,"")</f>
        <v/>
      </c>
    </row>
    <row r="241" spans="1:16" ht="15.75" x14ac:dyDescent="0.25">
      <c r="A241" s="456" t="str">
        <f>IF(AND(R241&lt;&gt;"",R240&lt;&gt;""),(-Sheet1!L241/Sheet1!L240)^(360/(R241-R240-1))-1,"")</f>
        <v/>
      </c>
      <c r="B241" s="41" t="str">
        <f ca="1">IF(AND(Sheet1!L241&lt;0, Sheet1!$C$21&gt;R241+1,OR(Sheet1!$C$21&lt;=R242,Sheet1!L242="")),   -1*Sheet1!L241,"")</f>
        <v/>
      </c>
      <c r="C241" s="42">
        <f ca="1">IF(Sheet3!$B$5="",0,    IF(E241&lt;1,0,  IF(B241="","",     IF(OR(Sheet3!$B$6=0,INDIRECT(ADDRESS(ROW(),Sheet3!$B$3+16))="" ),D241/E241,    IF(E241&lt;0,0,    IF(OR( INDIRECT(ADDRESS(8,Sheet3!$B$3+16))="",INDIRECT(ADDRESS(ROW(),Sheet3!$B$3+17))=""),        (INDIRECT(ADDRESS(ROW(),Sheet3!$B$3+16))+B241)*Sheet3!$Q$4,         INDIRECT(ADDRESS(ROW(),Sheet3!$B$3+17))-INDIRECT(ADDRESS(ROW(),Sheet3!$B$3+16))))))))</f>
        <v>0</v>
      </c>
      <c r="D241" s="39">
        <f ca="1">IF(Sheet3!$B$5="",0,IF(B241="","",IF(E241&lt;1,0,   IF(INDIRECT(ADDRESS(ROW(), Sheet3!$B$3+17))="",        INDIRECT(ADDRESS(ROW(), Sheet3!$B$3+16))*  (1+Sheet3!$Q$4)   +B241*Sheet3!$Q$4,       INDIRECT(ADDRESS(ROW(), Sheet3!$B$3+17))))))</f>
        <v>0</v>
      </c>
      <c r="E241" s="40">
        <f ca="1">IF(AND(Sheet1!L241&lt;0,  Sheet1!$C$21&gt;R241),    IF(OR(Sheet1!$C$21&lt;=R242,  Sheet1!L242=""),       IF(AND(MOD(NOW(),1)&lt;TIME(9,39,0),Sheet1!$C$22=TODAY()),    Sheet1!$C$21-R241,     Sheet1!$C$21-R241-1),               R242-R241-1),    0)</f>
        <v>0</v>
      </c>
      <c r="F241" s="30"/>
      <c r="G241" s="25" t="str">
        <f>IF(LEFT(Sheet1!K242,2)="0x",Sheet1!K241,IF(AND(Sheet1!L241="",Sheet1!L240=""),"",G240))</f>
        <v/>
      </c>
      <c r="H241" s="81"/>
      <c r="I241" s="43" t="str">
        <f t="shared" si="21"/>
        <v/>
      </c>
      <c r="J241" s="29" t="str">
        <f t="shared" si="20"/>
        <v/>
      </c>
      <c r="K241" s="24" t="str">
        <f>IF(Sheet1!L241="","",IF(Sheet1!L241&gt;0,ROW(),""))</f>
        <v/>
      </c>
      <c r="L241" s="24" t="str">
        <f t="shared" ca="1" si="18"/>
        <v/>
      </c>
      <c r="M241" s="47" t="str">
        <f t="shared" ca="1" si="19"/>
        <v/>
      </c>
      <c r="N241" s="48" t="str">
        <f>IF(LEFT(Sheet1!K241,2)="0x",Sheet1!K241,IF(AND(Sheet1!L241="",Sheet1!L240=""),"",N240))</f>
        <v/>
      </c>
      <c r="O241" s="46">
        <f>IF(Sheet1!L241="",0,IF(Sheet1!O241&lt;TIME(7,39,0)+Sheet1!$E$3/24,1,0))</f>
        <v>0</v>
      </c>
      <c r="P241" s="46" t="str">
        <f ca="1">IF(AND(Sheet1!L241&lt;0, Sheet1!$C$21&gt;R241,OR(Sheet1!$C$21&lt;=R242,Sheet1!L242="")),   -1*Sheet1!L241,"")</f>
        <v/>
      </c>
    </row>
    <row r="242" spans="1:16" ht="15.75" x14ac:dyDescent="0.25">
      <c r="A242" s="456" t="str">
        <f>IF(AND(R242&lt;&gt;"",R241&lt;&gt;""),(-Sheet1!L242/Sheet1!L241)^(360/(R242-R241-1))-1,"")</f>
        <v/>
      </c>
      <c r="B242" s="41" t="str">
        <f ca="1">IF(AND(Sheet1!L242&lt;0, Sheet1!$C$21&gt;R242+1,OR(Sheet1!$C$21&lt;=R243,Sheet1!L243="")),   -1*Sheet1!L242,"")</f>
        <v/>
      </c>
      <c r="C242" s="42">
        <f ca="1">IF(Sheet3!$B$5="",0,    IF(E242&lt;1,0,  IF(B242="","",     IF(OR(Sheet3!$B$6=0,INDIRECT(ADDRESS(ROW(),Sheet3!$B$3+16))="" ),D242/E242,    IF(E242&lt;0,0,    IF(OR( INDIRECT(ADDRESS(8,Sheet3!$B$3+16))="",INDIRECT(ADDRESS(ROW(),Sheet3!$B$3+17))=""),        (INDIRECT(ADDRESS(ROW(),Sheet3!$B$3+16))+B242)*Sheet3!$Q$4,         INDIRECT(ADDRESS(ROW(),Sheet3!$B$3+17))-INDIRECT(ADDRESS(ROW(),Sheet3!$B$3+16))))))))</f>
        <v>0</v>
      </c>
      <c r="D242" s="39">
        <f ca="1">IF(Sheet3!$B$5="",0,IF(B242="","",IF(E242&lt;1,0,   IF(INDIRECT(ADDRESS(ROW(), Sheet3!$B$3+17))="",        INDIRECT(ADDRESS(ROW(), Sheet3!$B$3+16))*  (1+Sheet3!$Q$4)   +B242*Sheet3!$Q$4,       INDIRECT(ADDRESS(ROW(), Sheet3!$B$3+17))))))</f>
        <v>0</v>
      </c>
      <c r="E242" s="40">
        <f ca="1">IF(AND(Sheet1!L242&lt;0,  Sheet1!$C$21&gt;R242),    IF(OR(Sheet1!$C$21&lt;=R243,  Sheet1!L243=""),       IF(AND(MOD(NOW(),1)&lt;TIME(9,39,0),Sheet1!$C$22=TODAY()),    Sheet1!$C$21-R242,     Sheet1!$C$21-R242-1),               R243-R242-1),    0)</f>
        <v>0</v>
      </c>
      <c r="F242" s="30"/>
      <c r="G242" s="25" t="str">
        <f>IF(LEFT(Sheet1!K243,2)="0x",Sheet1!K242,IF(AND(Sheet1!L242="",Sheet1!L241=""),"",G241))</f>
        <v/>
      </c>
      <c r="H242" s="81"/>
      <c r="I242" s="43" t="str">
        <f t="shared" si="21"/>
        <v/>
      </c>
      <c r="J242" s="29" t="str">
        <f t="shared" si="20"/>
        <v/>
      </c>
      <c r="K242" s="24" t="str">
        <f>IF(Sheet1!L242="","",IF(Sheet1!L242&gt;0,ROW(),""))</f>
        <v/>
      </c>
      <c r="L242" s="24" t="str">
        <f t="shared" ca="1" si="18"/>
        <v/>
      </c>
      <c r="M242" s="47" t="str">
        <f t="shared" ca="1" si="19"/>
        <v/>
      </c>
      <c r="N242" s="48" t="str">
        <f>IF(LEFT(Sheet1!K242,2)="0x",Sheet1!K242,IF(AND(Sheet1!L242="",Sheet1!L241=""),"",N241))</f>
        <v/>
      </c>
      <c r="O242" s="46">
        <f>IF(Sheet1!L242="",0,IF(Sheet1!O242&lt;TIME(7,39,0)+Sheet1!$E$3/24,1,0))</f>
        <v>0</v>
      </c>
      <c r="P242" s="46" t="str">
        <f ca="1">IF(AND(Sheet1!L242&lt;0, Sheet1!$C$21&gt;R242,OR(Sheet1!$C$21&lt;=R243,Sheet1!L243="")),   -1*Sheet1!L242,"")</f>
        <v/>
      </c>
    </row>
    <row r="243" spans="1:16" ht="15.75" x14ac:dyDescent="0.25">
      <c r="A243" s="456" t="str">
        <f>IF(AND(R243&lt;&gt;"",R242&lt;&gt;""),(-Sheet1!L243/Sheet1!L242)^(360/(R243-R242-1))-1,"")</f>
        <v/>
      </c>
      <c r="B243" s="41" t="str">
        <f ca="1">IF(AND(Sheet1!L243&lt;0, Sheet1!$C$21&gt;R243+1,OR(Sheet1!$C$21&lt;=R244,Sheet1!L244="")),   -1*Sheet1!L243,"")</f>
        <v/>
      </c>
      <c r="C243" s="42">
        <f ca="1">IF(Sheet3!$B$5="",0,    IF(E243&lt;1,0,  IF(B243="","",     IF(OR(Sheet3!$B$6=0,INDIRECT(ADDRESS(ROW(),Sheet3!$B$3+16))="" ),D243/E243,    IF(E243&lt;0,0,    IF(OR( INDIRECT(ADDRESS(8,Sheet3!$B$3+16))="",INDIRECT(ADDRESS(ROW(),Sheet3!$B$3+17))=""),        (INDIRECT(ADDRESS(ROW(),Sheet3!$B$3+16))+B243)*Sheet3!$Q$4,         INDIRECT(ADDRESS(ROW(),Sheet3!$B$3+17))-INDIRECT(ADDRESS(ROW(),Sheet3!$B$3+16))))))))</f>
        <v>0</v>
      </c>
      <c r="D243" s="39">
        <f ca="1">IF(Sheet3!$B$5="",0,IF(B243="","",IF(E243&lt;1,0,   IF(INDIRECT(ADDRESS(ROW(), Sheet3!$B$3+17))="",        INDIRECT(ADDRESS(ROW(), Sheet3!$B$3+16))*  (1+Sheet3!$Q$4)   +B243*Sheet3!$Q$4,       INDIRECT(ADDRESS(ROW(), Sheet3!$B$3+17))))))</f>
        <v>0</v>
      </c>
      <c r="E243" s="40">
        <f ca="1">IF(AND(Sheet1!L243&lt;0,  Sheet1!$C$21&gt;R243),    IF(OR(Sheet1!$C$21&lt;=R244,  Sheet1!L244=""),       IF(AND(MOD(NOW(),1)&lt;TIME(9,39,0),Sheet1!$C$22=TODAY()),    Sheet1!$C$21-R243,     Sheet1!$C$21-R243-1),               R244-R243-1),    0)</f>
        <v>0</v>
      </c>
      <c r="F243" s="30"/>
      <c r="G243" s="25" t="str">
        <f>IF(LEFT(Sheet1!K244,2)="0x",Sheet1!K243,IF(AND(Sheet1!L243="",Sheet1!L242=""),"",G242))</f>
        <v/>
      </c>
      <c r="H243" s="81"/>
      <c r="I243" s="43" t="str">
        <f t="shared" si="21"/>
        <v/>
      </c>
      <c r="J243" s="29" t="str">
        <f t="shared" si="20"/>
        <v/>
      </c>
      <c r="K243" s="24" t="str">
        <f>IF(Sheet1!L243="","",IF(Sheet1!L243&gt;0,ROW(),""))</f>
        <v/>
      </c>
      <c r="L243" s="24" t="str">
        <f t="shared" ca="1" si="18"/>
        <v/>
      </c>
      <c r="M243" s="47" t="str">
        <f t="shared" ca="1" si="19"/>
        <v/>
      </c>
      <c r="N243" s="48" t="str">
        <f>IF(LEFT(Sheet1!K243,2)="0x",Sheet1!K243,IF(AND(Sheet1!L243="",Sheet1!L242=""),"",N242))</f>
        <v/>
      </c>
      <c r="O243" s="46">
        <f>IF(Sheet1!L243="",0,IF(Sheet1!O243&lt;TIME(7,39,0)+Sheet1!$E$3/24,1,0))</f>
        <v>0</v>
      </c>
      <c r="P243" s="46" t="str">
        <f ca="1">IF(AND(Sheet1!L243&lt;0, Sheet1!$C$21&gt;R243,OR(Sheet1!$C$21&lt;=R244,Sheet1!L244="")),   -1*Sheet1!L243,"")</f>
        <v/>
      </c>
    </row>
    <row r="244" spans="1:16" ht="15.75" x14ac:dyDescent="0.25">
      <c r="A244" s="456" t="str">
        <f>IF(AND(R244&lt;&gt;"",R243&lt;&gt;""),(-Sheet1!L244/Sheet1!L243)^(360/(R244-R243-1))-1,"")</f>
        <v/>
      </c>
      <c r="B244" s="41" t="str">
        <f ca="1">IF(AND(Sheet1!L244&lt;0, Sheet1!$C$21&gt;R244+1,OR(Sheet1!$C$21&lt;=R245,Sheet1!L245="")),   -1*Sheet1!L244,"")</f>
        <v/>
      </c>
      <c r="C244" s="42">
        <f ca="1">IF(Sheet3!$B$5="",0,    IF(E244&lt;1,0,  IF(B244="","",     IF(OR(Sheet3!$B$6=0,INDIRECT(ADDRESS(ROW(),Sheet3!$B$3+16))="" ),D244/E244,    IF(E244&lt;0,0,    IF(OR( INDIRECT(ADDRESS(8,Sheet3!$B$3+16))="",INDIRECT(ADDRESS(ROW(),Sheet3!$B$3+17))=""),        (INDIRECT(ADDRESS(ROW(),Sheet3!$B$3+16))+B244)*Sheet3!$Q$4,         INDIRECT(ADDRESS(ROW(),Sheet3!$B$3+17))-INDIRECT(ADDRESS(ROW(),Sheet3!$B$3+16))))))))</f>
        <v>0</v>
      </c>
      <c r="D244" s="39">
        <f ca="1">IF(Sheet3!$B$5="",0,IF(B244="","",IF(E244&lt;1,0,   IF(INDIRECT(ADDRESS(ROW(), Sheet3!$B$3+17))="",        INDIRECT(ADDRESS(ROW(), Sheet3!$B$3+16))*  (1+Sheet3!$Q$4)   +B244*Sheet3!$Q$4,       INDIRECT(ADDRESS(ROW(), Sheet3!$B$3+17))))))</f>
        <v>0</v>
      </c>
      <c r="E244" s="40">
        <f ca="1">IF(AND(Sheet1!L244&lt;0,  Sheet1!$C$21&gt;R244),    IF(OR(Sheet1!$C$21&lt;=R245,  Sheet1!L245=""),       IF(AND(MOD(NOW(),1)&lt;TIME(9,39,0),Sheet1!$C$22=TODAY()),    Sheet1!$C$21-R244,     Sheet1!$C$21-R244-1),               R245-R244-1),    0)</f>
        <v>0</v>
      </c>
      <c r="F244" s="30"/>
      <c r="G244" s="25" t="str">
        <f>IF(LEFT(Sheet1!K245,2)="0x",Sheet1!K244,IF(AND(Sheet1!L244="",Sheet1!L243=""),"",G243))</f>
        <v/>
      </c>
      <c r="H244" s="81"/>
      <c r="I244" s="43" t="str">
        <f t="shared" si="21"/>
        <v/>
      </c>
      <c r="J244" s="29" t="str">
        <f t="shared" si="20"/>
        <v/>
      </c>
      <c r="K244" s="24" t="str">
        <f>IF(Sheet1!L244="","",IF(Sheet1!L244&gt;0,ROW(),""))</f>
        <v/>
      </c>
      <c r="L244" s="24" t="str">
        <f t="shared" ca="1" si="18"/>
        <v/>
      </c>
      <c r="M244" s="47" t="str">
        <f t="shared" ca="1" si="19"/>
        <v/>
      </c>
      <c r="N244" s="48" t="str">
        <f>IF(LEFT(Sheet1!K244,2)="0x",Sheet1!K244,IF(AND(Sheet1!L244="",Sheet1!L243=""),"",N243))</f>
        <v/>
      </c>
      <c r="O244" s="46">
        <f>IF(Sheet1!L244="",0,IF(Sheet1!O244&lt;TIME(7,39,0)+Sheet1!$E$3/24,1,0))</f>
        <v>0</v>
      </c>
      <c r="P244" s="46" t="str">
        <f ca="1">IF(AND(Sheet1!L244&lt;0, Sheet1!$C$21&gt;R244,OR(Sheet1!$C$21&lt;=R245,Sheet1!L245="")),   -1*Sheet1!L244,"")</f>
        <v/>
      </c>
    </row>
    <row r="245" spans="1:16" ht="15.75" x14ac:dyDescent="0.25">
      <c r="A245" s="456" t="str">
        <f>IF(AND(R245&lt;&gt;"",R244&lt;&gt;""),(-Sheet1!L245/Sheet1!L244)^(360/(R245-R244-1))-1,"")</f>
        <v/>
      </c>
      <c r="B245" s="41" t="str">
        <f ca="1">IF(AND(Sheet1!L245&lt;0, Sheet1!$C$21&gt;R245+1,OR(Sheet1!$C$21&lt;=R246,Sheet1!L246="")),   -1*Sheet1!L245,"")</f>
        <v/>
      </c>
      <c r="C245" s="42">
        <f ca="1">IF(Sheet3!$B$5="",0,    IF(E245&lt;1,0,  IF(B245="","",     IF(OR(Sheet3!$B$6=0,INDIRECT(ADDRESS(ROW(),Sheet3!$B$3+16))="" ),D245/E245,    IF(E245&lt;0,0,    IF(OR( INDIRECT(ADDRESS(8,Sheet3!$B$3+16))="",INDIRECT(ADDRESS(ROW(),Sheet3!$B$3+17))=""),        (INDIRECT(ADDRESS(ROW(),Sheet3!$B$3+16))+B245)*Sheet3!$Q$4,         INDIRECT(ADDRESS(ROW(),Sheet3!$B$3+17))-INDIRECT(ADDRESS(ROW(),Sheet3!$B$3+16))))))))</f>
        <v>0</v>
      </c>
      <c r="D245" s="39">
        <f ca="1">IF(Sheet3!$B$5="",0,IF(B245="","",IF(E245&lt;1,0,   IF(INDIRECT(ADDRESS(ROW(), Sheet3!$B$3+17))="",        INDIRECT(ADDRESS(ROW(), Sheet3!$B$3+16))*  (1+Sheet3!$Q$4)   +B245*Sheet3!$Q$4,       INDIRECT(ADDRESS(ROW(), Sheet3!$B$3+17))))))</f>
        <v>0</v>
      </c>
      <c r="E245" s="40">
        <f ca="1">IF(AND(Sheet1!L245&lt;0,  Sheet1!$C$21&gt;R245),    IF(OR(Sheet1!$C$21&lt;=R246,  Sheet1!L246=""),       IF(AND(MOD(NOW(),1)&lt;TIME(9,39,0),Sheet1!$C$22=TODAY()),    Sheet1!$C$21-R245,     Sheet1!$C$21-R245-1),               R246-R245-1),    0)</f>
        <v>0</v>
      </c>
      <c r="F245" s="30"/>
      <c r="G245" s="25" t="str">
        <f>IF(LEFT(Sheet1!K246,2)="0x",Sheet1!K245,IF(AND(Sheet1!L245="",Sheet1!L244=""),"",G244))</f>
        <v/>
      </c>
      <c r="H245" s="81"/>
      <c r="I245" s="43" t="str">
        <f t="shared" si="21"/>
        <v/>
      </c>
      <c r="J245" s="29" t="str">
        <f t="shared" si="20"/>
        <v/>
      </c>
      <c r="K245" s="24" t="str">
        <f>IF(Sheet1!L245="","",IF(Sheet1!L245&gt;0,ROW(),""))</f>
        <v/>
      </c>
      <c r="L245" s="24" t="str">
        <f t="shared" ca="1" si="18"/>
        <v/>
      </c>
      <c r="M245" s="47" t="str">
        <f t="shared" ca="1" si="19"/>
        <v/>
      </c>
      <c r="N245" s="48" t="str">
        <f>IF(LEFT(Sheet1!K245,2)="0x",Sheet1!K245,IF(AND(Sheet1!L245="",Sheet1!L244=""),"",N244))</f>
        <v/>
      </c>
      <c r="O245" s="46">
        <f>IF(Sheet1!L245="",0,IF(Sheet1!O245&lt;TIME(7,39,0)+Sheet1!$E$3/24,1,0))</f>
        <v>0</v>
      </c>
      <c r="P245" s="46" t="str">
        <f ca="1">IF(AND(Sheet1!L245&lt;0, Sheet1!$C$21&gt;R245,OR(Sheet1!$C$21&lt;=R246,Sheet1!L246="")),   -1*Sheet1!L245,"")</f>
        <v/>
      </c>
    </row>
    <row r="246" spans="1:16" ht="15.75" x14ac:dyDescent="0.25">
      <c r="A246" s="456" t="str">
        <f>IF(AND(R246&lt;&gt;"",R245&lt;&gt;""),(-Sheet1!L246/Sheet1!L245)^(360/(R246-R245-1))-1,"")</f>
        <v/>
      </c>
      <c r="B246" s="41" t="str">
        <f ca="1">IF(AND(Sheet1!L246&lt;0, Sheet1!$C$21&gt;R246+1,OR(Sheet1!$C$21&lt;=R247,Sheet1!L247="")),   -1*Sheet1!L246,"")</f>
        <v/>
      </c>
      <c r="C246" s="42">
        <f ca="1">IF(Sheet3!$B$5="",0,    IF(E246&lt;1,0,  IF(B246="","",     IF(OR(Sheet3!$B$6=0,INDIRECT(ADDRESS(ROW(),Sheet3!$B$3+16))="" ),D246/E246,    IF(E246&lt;0,0,    IF(OR( INDIRECT(ADDRESS(8,Sheet3!$B$3+16))="",INDIRECT(ADDRESS(ROW(),Sheet3!$B$3+17))=""),        (INDIRECT(ADDRESS(ROW(),Sheet3!$B$3+16))+B246)*Sheet3!$Q$4,         INDIRECT(ADDRESS(ROW(),Sheet3!$B$3+17))-INDIRECT(ADDRESS(ROW(),Sheet3!$B$3+16))))))))</f>
        <v>0</v>
      </c>
      <c r="D246" s="39">
        <f ca="1">IF(Sheet3!$B$5="",0,IF(B246="","",IF(E246&lt;1,0,   IF(INDIRECT(ADDRESS(ROW(), Sheet3!$B$3+17))="",        INDIRECT(ADDRESS(ROW(), Sheet3!$B$3+16))*  (1+Sheet3!$Q$4)   +B246*Sheet3!$Q$4,       INDIRECT(ADDRESS(ROW(), Sheet3!$B$3+17))))))</f>
        <v>0</v>
      </c>
      <c r="E246" s="40">
        <f ca="1">IF(AND(Sheet1!L246&lt;0,  Sheet1!$C$21&gt;R246),    IF(OR(Sheet1!$C$21&lt;=R247,  Sheet1!L247=""),       IF(AND(MOD(NOW(),1)&lt;TIME(9,39,0),Sheet1!$C$22=TODAY()),    Sheet1!$C$21-R246,     Sheet1!$C$21-R246-1),               R247-R246-1),    0)</f>
        <v>0</v>
      </c>
      <c r="F246" s="30"/>
      <c r="G246" s="25" t="str">
        <f>IF(LEFT(Sheet1!K247,2)="0x",Sheet1!K246,IF(AND(Sheet1!L246="",Sheet1!L245=""),"",G245))</f>
        <v/>
      </c>
      <c r="H246" s="81"/>
      <c r="I246" s="43" t="str">
        <f t="shared" si="21"/>
        <v/>
      </c>
      <c r="J246" s="29" t="str">
        <f t="shared" si="20"/>
        <v/>
      </c>
      <c r="K246" s="24" t="str">
        <f>IF(Sheet1!L246="","",IF(Sheet1!L246&gt;0,ROW(),""))</f>
        <v/>
      </c>
      <c r="L246" s="24" t="str">
        <f t="shared" ca="1" si="18"/>
        <v/>
      </c>
      <c r="M246" s="47" t="str">
        <f t="shared" ca="1" si="19"/>
        <v/>
      </c>
      <c r="N246" s="48" t="str">
        <f>IF(LEFT(Sheet1!K246,2)="0x",Sheet1!K246,IF(AND(Sheet1!L246="",Sheet1!L245=""),"",N245))</f>
        <v/>
      </c>
      <c r="O246" s="46">
        <f>IF(Sheet1!L246="",0,IF(Sheet1!O246&lt;TIME(7,39,0)+Sheet1!$E$3/24,1,0))</f>
        <v>0</v>
      </c>
      <c r="P246" s="46" t="str">
        <f ca="1">IF(AND(Sheet1!L246&lt;0, Sheet1!$C$21&gt;R246,OR(Sheet1!$C$21&lt;=R247,Sheet1!L247="")),   -1*Sheet1!L246,"")</f>
        <v/>
      </c>
    </row>
    <row r="247" spans="1:16" ht="15.75" x14ac:dyDescent="0.25">
      <c r="A247" s="456" t="str">
        <f>IF(AND(R247&lt;&gt;"",R246&lt;&gt;""),(-Sheet1!L247/Sheet1!L246)^(360/(R247-R246-1))-1,"")</f>
        <v/>
      </c>
      <c r="B247" s="41" t="str">
        <f ca="1">IF(AND(Sheet1!L247&lt;0, Sheet1!$C$21&gt;R247+1,OR(Sheet1!$C$21&lt;=R248,Sheet1!L248="")),   -1*Sheet1!L247,"")</f>
        <v/>
      </c>
      <c r="C247" s="42">
        <f ca="1">IF(Sheet3!$B$5="",0,    IF(E247&lt;1,0,  IF(B247="","",     IF(OR(Sheet3!$B$6=0,INDIRECT(ADDRESS(ROW(),Sheet3!$B$3+16))="" ),D247/E247,    IF(E247&lt;0,0,    IF(OR( INDIRECT(ADDRESS(8,Sheet3!$B$3+16))="",INDIRECT(ADDRESS(ROW(),Sheet3!$B$3+17))=""),        (INDIRECT(ADDRESS(ROW(),Sheet3!$B$3+16))+B247)*Sheet3!$Q$4,         INDIRECT(ADDRESS(ROW(),Sheet3!$B$3+17))-INDIRECT(ADDRESS(ROW(),Sheet3!$B$3+16))))))))</f>
        <v>0</v>
      </c>
      <c r="D247" s="39">
        <f ca="1">IF(Sheet3!$B$5="",0,IF(B247="","",IF(E247&lt;1,0,   IF(INDIRECT(ADDRESS(ROW(), Sheet3!$B$3+17))="",        INDIRECT(ADDRESS(ROW(), Sheet3!$B$3+16))*  (1+Sheet3!$Q$4)   +B247*Sheet3!$Q$4,       INDIRECT(ADDRESS(ROW(), Sheet3!$B$3+17))))))</f>
        <v>0</v>
      </c>
      <c r="E247" s="40">
        <f ca="1">IF(AND(Sheet1!L247&lt;0,  Sheet1!$C$21&gt;R247),    IF(OR(Sheet1!$C$21&lt;=R248,  Sheet1!L248=""),       IF(AND(MOD(NOW(),1)&lt;TIME(9,39,0),Sheet1!$C$22=TODAY()),    Sheet1!$C$21-R247,     Sheet1!$C$21-R247-1),               R248-R247-1),    0)</f>
        <v>0</v>
      </c>
      <c r="F247" s="30"/>
      <c r="G247" s="25" t="str">
        <f>IF(LEFT(Sheet1!K248,2)="0x",Sheet1!K247,IF(AND(Sheet1!L247="",Sheet1!L246=""),"",G246))</f>
        <v/>
      </c>
      <c r="H247" s="81"/>
      <c r="I247" s="43" t="str">
        <f t="shared" si="21"/>
        <v/>
      </c>
      <c r="J247" s="29" t="str">
        <f t="shared" si="20"/>
        <v/>
      </c>
      <c r="K247" s="24" t="str">
        <f>IF(Sheet1!L247="","",IF(Sheet1!L247&gt;0,ROW(),""))</f>
        <v/>
      </c>
      <c r="L247" s="24" t="str">
        <f t="shared" ca="1" si="18"/>
        <v/>
      </c>
      <c r="M247" s="47" t="str">
        <f t="shared" ca="1" si="19"/>
        <v/>
      </c>
      <c r="N247" s="48" t="str">
        <f>IF(LEFT(Sheet1!K247,2)="0x",Sheet1!K247,IF(AND(Sheet1!L247="",Sheet1!L246=""),"",N246))</f>
        <v/>
      </c>
      <c r="O247" s="46">
        <f>IF(Sheet1!L247="",0,IF(Sheet1!O247&lt;TIME(7,39,0)+Sheet1!$E$3/24,1,0))</f>
        <v>0</v>
      </c>
      <c r="P247" s="46" t="str">
        <f ca="1">IF(AND(Sheet1!L247&lt;0, Sheet1!$C$21&gt;R247,OR(Sheet1!$C$21&lt;=R248,Sheet1!L248="")),   -1*Sheet1!L247,"")</f>
        <v/>
      </c>
    </row>
    <row r="248" spans="1:16" ht="15.75" x14ac:dyDescent="0.25">
      <c r="A248" s="456" t="str">
        <f>IF(AND(R248&lt;&gt;"",R247&lt;&gt;""),(-Sheet1!L248/Sheet1!L247)^(360/(R248-R247-1))-1,"")</f>
        <v/>
      </c>
      <c r="B248" s="41" t="str">
        <f ca="1">IF(AND(Sheet1!L248&lt;0, Sheet1!$C$21&gt;R248+1,OR(Sheet1!$C$21&lt;=R249,Sheet1!L249="")),   -1*Sheet1!L248,"")</f>
        <v/>
      </c>
      <c r="C248" s="42">
        <f ca="1">IF(Sheet3!$B$5="",0,    IF(E248&lt;1,0,  IF(B248="","",     IF(OR(Sheet3!$B$6=0,INDIRECT(ADDRESS(ROW(),Sheet3!$B$3+16))="" ),D248/E248,    IF(E248&lt;0,0,    IF(OR( INDIRECT(ADDRESS(8,Sheet3!$B$3+16))="",INDIRECT(ADDRESS(ROW(),Sheet3!$B$3+17))=""),        (INDIRECT(ADDRESS(ROW(),Sheet3!$B$3+16))+B248)*Sheet3!$Q$4,         INDIRECT(ADDRESS(ROW(),Sheet3!$B$3+17))-INDIRECT(ADDRESS(ROW(),Sheet3!$B$3+16))))))))</f>
        <v>0</v>
      </c>
      <c r="D248" s="39">
        <f ca="1">IF(Sheet3!$B$5="",0,IF(B248="","",IF(E248&lt;1,0,   IF(INDIRECT(ADDRESS(ROW(), Sheet3!$B$3+17))="",        INDIRECT(ADDRESS(ROW(), Sheet3!$B$3+16))*  (1+Sheet3!$Q$4)   +B248*Sheet3!$Q$4,       INDIRECT(ADDRESS(ROW(), Sheet3!$B$3+17))))))</f>
        <v>0</v>
      </c>
      <c r="E248" s="40">
        <f ca="1">IF(AND(Sheet1!L248&lt;0,  Sheet1!$C$21&gt;R248),    IF(OR(Sheet1!$C$21&lt;=R249,  Sheet1!L249=""),       IF(AND(MOD(NOW(),1)&lt;TIME(9,39,0),Sheet1!$C$22=TODAY()),    Sheet1!$C$21-R248,     Sheet1!$C$21-R248-1),               R249-R248-1),    0)</f>
        <v>0</v>
      </c>
      <c r="F248" s="30"/>
      <c r="G248" s="25" t="str">
        <f>IF(LEFT(Sheet1!K249,2)="0x",Sheet1!K248,IF(AND(Sheet1!L248="",Sheet1!L247=""),"",G247))</f>
        <v/>
      </c>
      <c r="H248" s="81"/>
      <c r="I248" s="43" t="str">
        <f t="shared" si="21"/>
        <v/>
      </c>
      <c r="J248" s="29" t="str">
        <f t="shared" si="20"/>
        <v/>
      </c>
      <c r="K248" s="24" t="str">
        <f>IF(Sheet1!L248="","",IF(Sheet1!L248&gt;0,ROW(),""))</f>
        <v/>
      </c>
      <c r="L248" s="24" t="str">
        <f t="shared" ca="1" si="18"/>
        <v/>
      </c>
      <c r="M248" s="47" t="str">
        <f t="shared" ca="1" si="19"/>
        <v/>
      </c>
      <c r="N248" s="48" t="str">
        <f>IF(LEFT(Sheet1!K248,2)="0x",Sheet1!K248,IF(AND(Sheet1!L248="",Sheet1!L247=""),"",N247))</f>
        <v/>
      </c>
      <c r="O248" s="46">
        <f>IF(Sheet1!L248="",0,IF(Sheet1!O248&lt;TIME(7,39,0)+Sheet1!$E$3/24,1,0))</f>
        <v>0</v>
      </c>
      <c r="P248" s="46" t="str">
        <f ca="1">IF(AND(Sheet1!L248&lt;0, Sheet1!$C$21&gt;R248,OR(Sheet1!$C$21&lt;=R249,Sheet1!L249="")),   -1*Sheet1!L248,"")</f>
        <v/>
      </c>
    </row>
    <row r="249" spans="1:16" ht="15.75" x14ac:dyDescent="0.25">
      <c r="A249" s="456" t="str">
        <f>IF(AND(R249&lt;&gt;"",R248&lt;&gt;""),(-Sheet1!L249/Sheet1!L248)^(360/(R249-R248-1))-1,"")</f>
        <v/>
      </c>
      <c r="B249" s="41" t="str">
        <f ca="1">IF(AND(Sheet1!L249&lt;0, Sheet1!$C$21&gt;R249+1,OR(Sheet1!$C$21&lt;=R250,Sheet1!L250="")),   -1*Sheet1!L249,"")</f>
        <v/>
      </c>
      <c r="C249" s="42">
        <f ca="1">IF(Sheet3!$B$5="",0,    IF(E249&lt;1,0,  IF(B249="","",     IF(OR(Sheet3!$B$6=0,INDIRECT(ADDRESS(ROW(),Sheet3!$B$3+16))="" ),D249/E249,    IF(E249&lt;0,0,    IF(OR( INDIRECT(ADDRESS(8,Sheet3!$B$3+16))="",INDIRECT(ADDRESS(ROW(),Sheet3!$B$3+17))=""),        (INDIRECT(ADDRESS(ROW(),Sheet3!$B$3+16))+B249)*Sheet3!$Q$4,         INDIRECT(ADDRESS(ROW(),Sheet3!$B$3+17))-INDIRECT(ADDRESS(ROW(),Sheet3!$B$3+16))))))))</f>
        <v>0</v>
      </c>
      <c r="D249" s="39">
        <f ca="1">IF(Sheet3!$B$5="",0,IF(B249="","",IF(E249&lt;1,0,   IF(INDIRECT(ADDRESS(ROW(), Sheet3!$B$3+17))="",        INDIRECT(ADDRESS(ROW(), Sheet3!$B$3+16))*  (1+Sheet3!$Q$4)   +B249*Sheet3!$Q$4,       INDIRECT(ADDRESS(ROW(), Sheet3!$B$3+17))))))</f>
        <v>0</v>
      </c>
      <c r="E249" s="40">
        <f ca="1">IF(AND(Sheet1!L249&lt;0,  Sheet1!$C$21&gt;R249),    IF(OR(Sheet1!$C$21&lt;=R250,  Sheet1!L250=""),       IF(AND(MOD(NOW(),1)&lt;TIME(9,39,0),Sheet1!$C$22=TODAY()),    Sheet1!$C$21-R249,     Sheet1!$C$21-R249-1),               R250-R249-1),    0)</f>
        <v>0</v>
      </c>
      <c r="F249" s="30"/>
      <c r="G249" s="25" t="str">
        <f>IF(LEFT(Sheet1!K250,2)="0x",Sheet1!K249,IF(AND(Sheet1!L249="",Sheet1!L248=""),"",G248))</f>
        <v/>
      </c>
      <c r="H249" s="81"/>
      <c r="I249" s="43" t="str">
        <f t="shared" si="21"/>
        <v/>
      </c>
      <c r="J249" s="29" t="str">
        <f t="shared" si="20"/>
        <v/>
      </c>
      <c r="K249" s="24" t="str">
        <f>IF(Sheet1!L249="","",IF(Sheet1!L249&gt;0,ROW(),""))</f>
        <v/>
      </c>
      <c r="L249" s="24" t="str">
        <f t="shared" ca="1" si="18"/>
        <v/>
      </c>
      <c r="M249" s="47" t="str">
        <f t="shared" ca="1" si="19"/>
        <v/>
      </c>
      <c r="N249" s="48" t="str">
        <f>IF(LEFT(Sheet1!K249,2)="0x",Sheet1!K249,IF(AND(Sheet1!L249="",Sheet1!L248=""),"",N248))</f>
        <v/>
      </c>
      <c r="O249" s="46">
        <f>IF(Sheet1!L249="",0,IF(Sheet1!O249&lt;TIME(7,39,0)+Sheet1!$E$3/24,1,0))</f>
        <v>0</v>
      </c>
      <c r="P249" s="46" t="str">
        <f ca="1">IF(AND(Sheet1!L249&lt;0, Sheet1!$C$21&gt;R249,OR(Sheet1!$C$21&lt;=R250,Sheet1!L250="")),   -1*Sheet1!L249,"")</f>
        <v/>
      </c>
    </row>
    <row r="250" spans="1:16" ht="15.75" x14ac:dyDescent="0.25">
      <c r="A250" s="456" t="str">
        <f>IF(AND(R250&lt;&gt;"",R249&lt;&gt;""),(-Sheet1!L250/Sheet1!L249)^(360/(R250-R249-1))-1,"")</f>
        <v/>
      </c>
      <c r="B250" s="41" t="str">
        <f ca="1">IF(AND(Sheet1!L250&lt;0, Sheet1!$C$21&gt;R250+1,OR(Sheet1!$C$21&lt;=R251,Sheet1!L251="")),   -1*Sheet1!L250,"")</f>
        <v/>
      </c>
      <c r="C250" s="42">
        <f ca="1">IF(Sheet3!$B$5="",0,    IF(E250&lt;1,0,  IF(B250="","",     IF(OR(Sheet3!$B$6=0,INDIRECT(ADDRESS(ROW(),Sheet3!$B$3+16))="" ),D250/E250,    IF(E250&lt;0,0,    IF(OR( INDIRECT(ADDRESS(8,Sheet3!$B$3+16))="",INDIRECT(ADDRESS(ROW(),Sheet3!$B$3+17))=""),        (INDIRECT(ADDRESS(ROW(),Sheet3!$B$3+16))+B250)*Sheet3!$Q$4,         INDIRECT(ADDRESS(ROW(),Sheet3!$B$3+17))-INDIRECT(ADDRESS(ROW(),Sheet3!$B$3+16))))))))</f>
        <v>0</v>
      </c>
      <c r="D250" s="39">
        <f ca="1">IF(Sheet3!$B$5="",0,IF(B250="","",IF(E250&lt;1,0,   IF(INDIRECT(ADDRESS(ROW(), Sheet3!$B$3+17))="",        INDIRECT(ADDRESS(ROW(), Sheet3!$B$3+16))*  (1+Sheet3!$Q$4)   +B250*Sheet3!$Q$4,       INDIRECT(ADDRESS(ROW(), Sheet3!$B$3+17))))))</f>
        <v>0</v>
      </c>
      <c r="E250" s="40">
        <f ca="1">IF(AND(Sheet1!L250&lt;0,  Sheet1!$C$21&gt;R250),    IF(OR(Sheet1!$C$21&lt;=R251,  Sheet1!L251=""),       IF(AND(MOD(NOW(),1)&lt;TIME(9,39,0),Sheet1!$C$22=TODAY()),    Sheet1!$C$21-R250,     Sheet1!$C$21-R250-1),               R251-R250-1),    0)</f>
        <v>0</v>
      </c>
      <c r="F250" s="30"/>
      <c r="G250" s="25" t="str">
        <f>IF(LEFT(Sheet1!K251,2)="0x",Sheet1!K250,IF(AND(Sheet1!L250="",Sheet1!L249=""),"",G249))</f>
        <v/>
      </c>
      <c r="H250" s="81"/>
      <c r="I250" s="43" t="str">
        <f t="shared" si="21"/>
        <v/>
      </c>
      <c r="J250" s="29" t="str">
        <f t="shared" si="20"/>
        <v/>
      </c>
      <c r="K250" s="24" t="str">
        <f>IF(Sheet1!L250="","",IF(Sheet1!L250&gt;0,ROW(),""))</f>
        <v/>
      </c>
      <c r="L250" s="24" t="str">
        <f t="shared" ca="1" si="18"/>
        <v/>
      </c>
      <c r="M250" s="47" t="str">
        <f t="shared" ca="1" si="19"/>
        <v/>
      </c>
      <c r="N250" s="48" t="str">
        <f>IF(LEFT(Sheet1!K250,2)="0x",Sheet1!K250,IF(AND(Sheet1!L250="",Sheet1!L249=""),"",N249))</f>
        <v/>
      </c>
      <c r="O250" s="46">
        <f>IF(Sheet1!L250="",0,IF(Sheet1!O250&lt;TIME(7,39,0)+Sheet1!$E$3/24,1,0))</f>
        <v>0</v>
      </c>
      <c r="P250" s="46" t="str">
        <f ca="1">IF(AND(Sheet1!L250&lt;0, Sheet1!$C$21&gt;R250,OR(Sheet1!$C$21&lt;=R251,Sheet1!L251="")),   -1*Sheet1!L250,"")</f>
        <v/>
      </c>
    </row>
    <row r="251" spans="1:16" ht="15.75" x14ac:dyDescent="0.25">
      <c r="A251" s="456" t="str">
        <f>IF(AND(R251&lt;&gt;"",R250&lt;&gt;""),(-Sheet1!L251/Sheet1!L250)^(360/(R251-R250-1))-1,"")</f>
        <v/>
      </c>
      <c r="B251" s="41" t="str">
        <f ca="1">IF(AND(Sheet1!L251&lt;0, Sheet1!$C$21&gt;R251+1,OR(Sheet1!$C$21&lt;=R252,Sheet1!L252="")),   -1*Sheet1!L251,"")</f>
        <v/>
      </c>
      <c r="C251" s="42">
        <f ca="1">IF(Sheet3!$B$5="",0,    IF(E251&lt;1,0,  IF(B251="","",     IF(OR(Sheet3!$B$6=0,INDIRECT(ADDRESS(ROW(),Sheet3!$B$3+16))="" ),D251/E251,    IF(E251&lt;0,0,    IF(OR( INDIRECT(ADDRESS(8,Sheet3!$B$3+16))="",INDIRECT(ADDRESS(ROW(),Sheet3!$B$3+17))=""),        (INDIRECT(ADDRESS(ROW(),Sheet3!$B$3+16))+B251)*Sheet3!$Q$4,         INDIRECT(ADDRESS(ROW(),Sheet3!$B$3+17))-INDIRECT(ADDRESS(ROW(),Sheet3!$B$3+16))))))))</f>
        <v>0</v>
      </c>
      <c r="D251" s="39">
        <f ca="1">IF(Sheet3!$B$5="",0,IF(B251="","",IF(E251&lt;1,0,   IF(INDIRECT(ADDRESS(ROW(), Sheet3!$B$3+17))="",        INDIRECT(ADDRESS(ROW(), Sheet3!$B$3+16))*  (1+Sheet3!$Q$4)   +B251*Sheet3!$Q$4,       INDIRECT(ADDRESS(ROW(), Sheet3!$B$3+17))))))</f>
        <v>0</v>
      </c>
      <c r="E251" s="40">
        <f ca="1">IF(AND(Sheet1!L251&lt;0,  Sheet1!$C$21&gt;R251),    IF(OR(Sheet1!$C$21&lt;=R252,  Sheet1!L252=""),       IF(AND(MOD(NOW(),1)&lt;TIME(9,39,0),Sheet1!$C$22=TODAY()),    Sheet1!$C$21-R251,     Sheet1!$C$21-R251-1),               R252-R251-1),    0)</f>
        <v>0</v>
      </c>
      <c r="F251" s="30"/>
      <c r="G251" s="25" t="str">
        <f>IF(LEFT(Sheet1!K252,2)="0x",Sheet1!K251,IF(AND(Sheet1!L251="",Sheet1!L250=""),"",G250))</f>
        <v/>
      </c>
      <c r="H251" s="81"/>
      <c r="I251" s="43" t="str">
        <f t="shared" si="21"/>
        <v/>
      </c>
      <c r="J251" s="29" t="str">
        <f t="shared" si="20"/>
        <v/>
      </c>
      <c r="K251" s="24" t="str">
        <f>IF(Sheet1!L251="","",IF(Sheet1!L251&gt;0,ROW(),""))</f>
        <v/>
      </c>
      <c r="L251" s="24" t="str">
        <f t="shared" ca="1" si="18"/>
        <v/>
      </c>
      <c r="M251" s="47" t="str">
        <f t="shared" ca="1" si="19"/>
        <v/>
      </c>
      <c r="N251" s="48" t="str">
        <f>IF(LEFT(Sheet1!K251,2)="0x",Sheet1!K251,IF(AND(Sheet1!L251="",Sheet1!L250=""),"",N250))</f>
        <v/>
      </c>
      <c r="O251" s="46">
        <f>IF(Sheet1!L251="",0,IF(Sheet1!O251&lt;TIME(7,39,0)+Sheet1!$E$3/24,1,0))</f>
        <v>0</v>
      </c>
      <c r="P251" s="46" t="str">
        <f ca="1">IF(AND(Sheet1!L251&lt;0, Sheet1!$C$21&gt;R251,OR(Sheet1!$C$21&lt;=R252,Sheet1!L252="")),   -1*Sheet1!L251,"")</f>
        <v/>
      </c>
    </row>
    <row r="252" spans="1:16" ht="15.75" x14ac:dyDescent="0.25">
      <c r="A252" s="456" t="str">
        <f>IF(AND(R252&lt;&gt;"",R251&lt;&gt;""),(-Sheet1!L252/Sheet1!L251)^(360/(R252-R251-1))-1,"")</f>
        <v/>
      </c>
      <c r="B252" s="41" t="str">
        <f ca="1">IF(AND(Sheet1!L252&lt;0, Sheet1!$C$21&gt;R252+1,OR(Sheet1!$C$21&lt;=R253,Sheet1!L253="")),   -1*Sheet1!L252,"")</f>
        <v/>
      </c>
      <c r="C252" s="42">
        <f ca="1">IF(Sheet3!$B$5="",0,    IF(E252&lt;1,0,  IF(B252="","",     IF(OR(Sheet3!$B$6=0,INDIRECT(ADDRESS(ROW(),Sheet3!$B$3+16))="" ),D252/E252,    IF(E252&lt;0,0,    IF(OR( INDIRECT(ADDRESS(8,Sheet3!$B$3+16))="",INDIRECT(ADDRESS(ROW(),Sheet3!$B$3+17))=""),        (INDIRECT(ADDRESS(ROW(),Sheet3!$B$3+16))+B252)*Sheet3!$Q$4,         INDIRECT(ADDRESS(ROW(),Sheet3!$B$3+17))-INDIRECT(ADDRESS(ROW(),Sheet3!$B$3+16))))))))</f>
        <v>0</v>
      </c>
      <c r="D252" s="39">
        <f ca="1">IF(Sheet3!$B$5="",0,IF(B252="","",IF(E252&lt;1,0,   IF(INDIRECT(ADDRESS(ROW(), Sheet3!$B$3+17))="",        INDIRECT(ADDRESS(ROW(), Sheet3!$B$3+16))*  (1+Sheet3!$Q$4)   +B252*Sheet3!$Q$4,       INDIRECT(ADDRESS(ROW(), Sheet3!$B$3+17))))))</f>
        <v>0</v>
      </c>
      <c r="E252" s="40">
        <f ca="1">IF(AND(Sheet1!L252&lt;0,  Sheet1!$C$21&gt;R252),    IF(OR(Sheet1!$C$21&lt;=R253,  Sheet1!L253=""),       IF(AND(MOD(NOW(),1)&lt;TIME(9,39,0),Sheet1!$C$22=TODAY()),    Sheet1!$C$21-R252,     Sheet1!$C$21-R252-1),               R253-R252-1),    0)</f>
        <v>0</v>
      </c>
      <c r="F252" s="30"/>
      <c r="G252" s="25" t="str">
        <f>IF(LEFT(Sheet1!K253,2)="0x",Sheet1!K252,IF(AND(Sheet1!L252="",Sheet1!L251=""),"",G251))</f>
        <v/>
      </c>
      <c r="H252" s="81"/>
      <c r="I252" s="43" t="str">
        <f t="shared" si="21"/>
        <v/>
      </c>
      <c r="J252" s="29" t="str">
        <f t="shared" si="20"/>
        <v/>
      </c>
      <c r="K252" s="24" t="str">
        <f>IF(Sheet1!L252="","",IF(Sheet1!L252&gt;0,ROW(),""))</f>
        <v/>
      </c>
      <c r="L252" s="24" t="str">
        <f t="shared" ca="1" si="18"/>
        <v/>
      </c>
      <c r="M252" s="47" t="str">
        <f t="shared" ca="1" si="19"/>
        <v/>
      </c>
      <c r="N252" s="48" t="str">
        <f>IF(LEFT(Sheet1!K252,2)="0x",Sheet1!K252,IF(AND(Sheet1!L252="",Sheet1!L251=""),"",N251))</f>
        <v/>
      </c>
      <c r="O252" s="46">
        <f>IF(Sheet1!L252="",0,IF(Sheet1!O252&lt;TIME(7,39,0)+Sheet1!$E$3/24,1,0))</f>
        <v>0</v>
      </c>
      <c r="P252" s="46" t="str">
        <f ca="1">IF(AND(Sheet1!L252&lt;0, Sheet1!$C$21&gt;R252,OR(Sheet1!$C$21&lt;=R253,Sheet1!L253="")),   -1*Sheet1!L252,"")</f>
        <v/>
      </c>
    </row>
    <row r="253" spans="1:16" ht="15.75" x14ac:dyDescent="0.25">
      <c r="A253" s="456" t="str">
        <f>IF(AND(R253&lt;&gt;"",R252&lt;&gt;""),(-Sheet1!L253/Sheet1!L252)^(360/(R253-R252-1))-1,"")</f>
        <v/>
      </c>
      <c r="B253" s="41" t="str">
        <f ca="1">IF(AND(Sheet1!L253&lt;0, Sheet1!$C$21&gt;R253+1,OR(Sheet1!$C$21&lt;=R254,Sheet1!L254="")),   -1*Sheet1!L253,"")</f>
        <v/>
      </c>
      <c r="C253" s="42">
        <f ca="1">IF(Sheet3!$B$5="",0,    IF(E253&lt;1,0,  IF(B253="","",     IF(OR(Sheet3!$B$6=0,INDIRECT(ADDRESS(ROW(),Sheet3!$B$3+16))="" ),D253/E253,    IF(E253&lt;0,0,    IF(OR( INDIRECT(ADDRESS(8,Sheet3!$B$3+16))="",INDIRECT(ADDRESS(ROW(),Sheet3!$B$3+17))=""),        (INDIRECT(ADDRESS(ROW(),Sheet3!$B$3+16))+B253)*Sheet3!$Q$4,         INDIRECT(ADDRESS(ROW(),Sheet3!$B$3+17))-INDIRECT(ADDRESS(ROW(),Sheet3!$B$3+16))))))))</f>
        <v>0</v>
      </c>
      <c r="D253" s="39">
        <f ca="1">IF(Sheet3!$B$5="",0,IF(B253="","",IF(E253&lt;1,0,   IF(INDIRECT(ADDRESS(ROW(), Sheet3!$B$3+17))="",        INDIRECT(ADDRESS(ROW(), Sheet3!$B$3+16))*  (1+Sheet3!$Q$4)   +B253*Sheet3!$Q$4,       INDIRECT(ADDRESS(ROW(), Sheet3!$B$3+17))))))</f>
        <v>0</v>
      </c>
      <c r="E253" s="40">
        <f ca="1">IF(AND(Sheet1!L253&lt;0,  Sheet1!$C$21&gt;R253),    IF(OR(Sheet1!$C$21&lt;=R254,  Sheet1!L254=""),       IF(AND(MOD(NOW(),1)&lt;TIME(9,39,0),Sheet1!$C$22=TODAY()),    Sheet1!$C$21-R253,     Sheet1!$C$21-R253-1),               R254-R253-1),    0)</f>
        <v>0</v>
      </c>
      <c r="F253" s="30"/>
      <c r="G253" s="25" t="str">
        <f>IF(LEFT(Sheet1!K254,2)="0x",Sheet1!K253,IF(AND(Sheet1!L253="",Sheet1!L252=""),"",G252))</f>
        <v/>
      </c>
      <c r="H253" s="81"/>
      <c r="I253" s="43" t="str">
        <f t="shared" si="21"/>
        <v/>
      </c>
      <c r="J253" s="29" t="str">
        <f t="shared" si="20"/>
        <v/>
      </c>
      <c r="K253" s="24" t="str">
        <f>IF(Sheet1!L253="","",IF(Sheet1!L253&gt;0,ROW(),""))</f>
        <v/>
      </c>
      <c r="L253" s="24" t="str">
        <f t="shared" ca="1" si="18"/>
        <v/>
      </c>
      <c r="M253" s="47" t="str">
        <f t="shared" ca="1" si="19"/>
        <v/>
      </c>
      <c r="N253" s="48" t="str">
        <f>IF(LEFT(Sheet1!K253,2)="0x",Sheet1!K253,IF(AND(Sheet1!L253="",Sheet1!L252=""),"",N252))</f>
        <v/>
      </c>
      <c r="O253" s="46">
        <f>IF(Sheet1!L253="",0,IF(Sheet1!O253&lt;TIME(7,39,0)+Sheet1!$E$3/24,1,0))</f>
        <v>0</v>
      </c>
      <c r="P253" s="46" t="str">
        <f ca="1">IF(AND(Sheet1!L253&lt;0, Sheet1!$C$21&gt;R253,OR(Sheet1!$C$21&lt;=R254,Sheet1!L254="")),   -1*Sheet1!L253,"")</f>
        <v/>
      </c>
    </row>
    <row r="254" spans="1:16" ht="15.75" x14ac:dyDescent="0.25">
      <c r="A254" s="456" t="str">
        <f>IF(AND(R254&lt;&gt;"",R253&lt;&gt;""),(-Sheet1!L254/Sheet1!L253)^(360/(R254-R253-1))-1,"")</f>
        <v/>
      </c>
      <c r="B254" s="41" t="str">
        <f ca="1">IF(AND(Sheet1!L254&lt;0, Sheet1!$C$21&gt;R254+1,OR(Sheet1!$C$21&lt;=R255,Sheet1!L255="")),   -1*Sheet1!L254,"")</f>
        <v/>
      </c>
      <c r="C254" s="42">
        <f ca="1">IF(Sheet3!$B$5="",0,    IF(E254&lt;1,0,  IF(B254="","",     IF(OR(Sheet3!$B$6=0,INDIRECT(ADDRESS(ROW(),Sheet3!$B$3+16))="" ),D254/E254,    IF(E254&lt;0,0,    IF(OR( INDIRECT(ADDRESS(8,Sheet3!$B$3+16))="",INDIRECT(ADDRESS(ROW(),Sheet3!$B$3+17))=""),        (INDIRECT(ADDRESS(ROW(),Sheet3!$B$3+16))+B254)*Sheet3!$Q$4,         INDIRECT(ADDRESS(ROW(),Sheet3!$B$3+17))-INDIRECT(ADDRESS(ROW(),Sheet3!$B$3+16))))))))</f>
        <v>0</v>
      </c>
      <c r="D254" s="39">
        <f ca="1">IF(Sheet3!$B$5="",0,IF(B254="","",IF(E254&lt;1,0,   IF(INDIRECT(ADDRESS(ROW(), Sheet3!$B$3+17))="",        INDIRECT(ADDRESS(ROW(), Sheet3!$B$3+16))*  (1+Sheet3!$Q$4)   +B254*Sheet3!$Q$4,       INDIRECT(ADDRESS(ROW(), Sheet3!$B$3+17))))))</f>
        <v>0</v>
      </c>
      <c r="E254" s="40">
        <f ca="1">IF(AND(Sheet1!L254&lt;0,  Sheet1!$C$21&gt;R254),    IF(OR(Sheet1!$C$21&lt;=R255,  Sheet1!L255=""),       IF(AND(MOD(NOW(),1)&lt;TIME(9,39,0),Sheet1!$C$22=TODAY()),    Sheet1!$C$21-R254,     Sheet1!$C$21-R254-1),               R255-R254-1),    0)</f>
        <v>0</v>
      </c>
      <c r="F254" s="30"/>
      <c r="G254" s="25" t="str">
        <f>IF(LEFT(Sheet1!K255,2)="0x",Sheet1!K254,IF(AND(Sheet1!L254="",Sheet1!L253=""),"",G253))</f>
        <v/>
      </c>
      <c r="H254" s="81"/>
      <c r="I254" s="43" t="str">
        <f t="shared" si="21"/>
        <v/>
      </c>
      <c r="J254" s="29" t="str">
        <f t="shared" si="20"/>
        <v/>
      </c>
      <c r="K254" s="24" t="str">
        <f>IF(Sheet1!L254="","",IF(Sheet1!L254&gt;0,ROW(),""))</f>
        <v/>
      </c>
      <c r="L254" s="24" t="str">
        <f t="shared" ca="1" si="18"/>
        <v/>
      </c>
      <c r="M254" s="47" t="str">
        <f t="shared" ca="1" si="19"/>
        <v/>
      </c>
      <c r="N254" s="48" t="str">
        <f>IF(LEFT(Sheet1!K254,2)="0x",Sheet1!K254,IF(AND(Sheet1!L254="",Sheet1!L253=""),"",N253))</f>
        <v/>
      </c>
      <c r="O254" s="46">
        <f>IF(Sheet1!L254="",0,IF(Sheet1!O254&lt;TIME(7,39,0)+Sheet1!$E$3/24,1,0))</f>
        <v>0</v>
      </c>
      <c r="P254" s="46" t="str">
        <f ca="1">IF(AND(Sheet1!L254&lt;0, Sheet1!$C$21&gt;R254,OR(Sheet1!$C$21&lt;=R255,Sheet1!L255="")),   -1*Sheet1!L254,"")</f>
        <v/>
      </c>
    </row>
    <row r="255" spans="1:16" ht="15.75" x14ac:dyDescent="0.25">
      <c r="A255" s="456" t="str">
        <f>IF(AND(R255&lt;&gt;"",R254&lt;&gt;""),(-Sheet1!L255/Sheet1!L254)^(360/(R255-R254-1))-1,"")</f>
        <v/>
      </c>
      <c r="B255" s="41" t="str">
        <f ca="1">IF(AND(Sheet1!L255&lt;0, Sheet1!$C$21&gt;R255+1,OR(Sheet1!$C$21&lt;=R256,Sheet1!L256="")),   -1*Sheet1!L255,"")</f>
        <v/>
      </c>
      <c r="C255" s="42">
        <f ca="1">IF(Sheet3!$B$5="",0,    IF(E255&lt;1,0,  IF(B255="","",     IF(OR(Sheet3!$B$6=0,INDIRECT(ADDRESS(ROW(),Sheet3!$B$3+16))="" ),D255/E255,    IF(E255&lt;0,0,    IF(OR( INDIRECT(ADDRESS(8,Sheet3!$B$3+16))="",INDIRECT(ADDRESS(ROW(),Sheet3!$B$3+17))=""),        (INDIRECT(ADDRESS(ROW(),Sheet3!$B$3+16))+B255)*Sheet3!$Q$4,         INDIRECT(ADDRESS(ROW(),Sheet3!$B$3+17))-INDIRECT(ADDRESS(ROW(),Sheet3!$B$3+16))))))))</f>
        <v>0</v>
      </c>
      <c r="D255" s="39">
        <f ca="1">IF(Sheet3!$B$5="",0,IF(B255="","",IF(E255&lt;1,0,   IF(INDIRECT(ADDRESS(ROW(), Sheet3!$B$3+17))="",        INDIRECT(ADDRESS(ROW(), Sheet3!$B$3+16))*  (1+Sheet3!$Q$4)   +B255*Sheet3!$Q$4,       INDIRECT(ADDRESS(ROW(), Sheet3!$B$3+17))))))</f>
        <v>0</v>
      </c>
      <c r="E255" s="40">
        <f ca="1">IF(AND(Sheet1!L255&lt;0,  Sheet1!$C$21&gt;R255),    IF(OR(Sheet1!$C$21&lt;=R256,  Sheet1!L256=""),       IF(AND(MOD(NOW(),1)&lt;TIME(9,39,0),Sheet1!$C$22=TODAY()),    Sheet1!$C$21-R255,     Sheet1!$C$21-R255-1),               R256-R255-1),    0)</f>
        <v>0</v>
      </c>
      <c r="F255" s="30"/>
      <c r="G255" s="25" t="str">
        <f>IF(LEFT(Sheet1!K256,2)="0x",Sheet1!K255,IF(AND(Sheet1!L255="",Sheet1!L254=""),"",G254))</f>
        <v/>
      </c>
      <c r="H255" s="81"/>
      <c r="I255" s="43" t="str">
        <f t="shared" si="21"/>
        <v/>
      </c>
      <c r="J255" s="29" t="str">
        <f t="shared" si="20"/>
        <v/>
      </c>
      <c r="K255" s="24" t="str">
        <f>IF(Sheet1!L255="","",IF(Sheet1!L255&gt;0,ROW(),""))</f>
        <v/>
      </c>
      <c r="L255" s="24" t="str">
        <f t="shared" ca="1" si="18"/>
        <v/>
      </c>
      <c r="M255" s="47" t="str">
        <f t="shared" ca="1" si="19"/>
        <v/>
      </c>
      <c r="N255" s="48" t="str">
        <f>IF(LEFT(Sheet1!K255,2)="0x",Sheet1!K255,IF(AND(Sheet1!L255="",Sheet1!L254=""),"",N254))</f>
        <v/>
      </c>
      <c r="O255" s="46">
        <f>IF(Sheet1!L255="",0,IF(Sheet1!O255&lt;TIME(7,39,0)+Sheet1!$E$3/24,1,0))</f>
        <v>0</v>
      </c>
      <c r="P255" s="46" t="str">
        <f ca="1">IF(AND(Sheet1!L255&lt;0, Sheet1!$C$21&gt;R255,OR(Sheet1!$C$21&lt;=R256,Sheet1!L256="")),   -1*Sheet1!L255,"")</f>
        <v/>
      </c>
    </row>
    <row r="256" spans="1:16" ht="15.75" x14ac:dyDescent="0.25">
      <c r="A256" s="456" t="str">
        <f>IF(AND(R256&lt;&gt;"",R255&lt;&gt;""),(-Sheet1!L256/Sheet1!L255)^(360/(R256-R255-1))-1,"")</f>
        <v/>
      </c>
      <c r="B256" s="41" t="str">
        <f ca="1">IF(AND(Sheet1!L256&lt;0, Sheet1!$C$21&gt;R256+1,OR(Sheet1!$C$21&lt;=R257,Sheet1!L257="")),   -1*Sheet1!L256,"")</f>
        <v/>
      </c>
      <c r="C256" s="42">
        <f ca="1">IF(Sheet3!$B$5="",0,    IF(E256&lt;1,0,  IF(B256="","",     IF(OR(Sheet3!$B$6=0,INDIRECT(ADDRESS(ROW(),Sheet3!$B$3+16))="" ),D256/E256,    IF(E256&lt;0,0,    IF(OR( INDIRECT(ADDRESS(8,Sheet3!$B$3+16))="",INDIRECT(ADDRESS(ROW(),Sheet3!$B$3+17))=""),        (INDIRECT(ADDRESS(ROW(),Sheet3!$B$3+16))+B256)*Sheet3!$Q$4,         INDIRECT(ADDRESS(ROW(),Sheet3!$B$3+17))-INDIRECT(ADDRESS(ROW(),Sheet3!$B$3+16))))))))</f>
        <v>0</v>
      </c>
      <c r="D256" s="39">
        <f ca="1">IF(Sheet3!$B$5="",0,IF(B256="","",IF(E256&lt;1,0,   IF(INDIRECT(ADDRESS(ROW(), Sheet3!$B$3+17))="",        INDIRECT(ADDRESS(ROW(), Sheet3!$B$3+16))*  (1+Sheet3!$Q$4)   +B256*Sheet3!$Q$4,       INDIRECT(ADDRESS(ROW(), Sheet3!$B$3+17))))))</f>
        <v>0</v>
      </c>
      <c r="E256" s="40">
        <f ca="1">IF(AND(Sheet1!L256&lt;0,  Sheet1!$C$21&gt;R256),    IF(OR(Sheet1!$C$21&lt;=R257,  Sheet1!L257=""),       IF(AND(MOD(NOW(),1)&lt;TIME(9,39,0),Sheet1!$C$22=TODAY()),    Sheet1!$C$21-R256,     Sheet1!$C$21-R256-1),               R257-R256-1),    0)</f>
        <v>0</v>
      </c>
      <c r="F256" s="30"/>
      <c r="G256" s="25" t="str">
        <f>IF(LEFT(Sheet1!K257,2)="0x",Sheet1!K256,IF(AND(Sheet1!L256="",Sheet1!L255=""),"",G255))</f>
        <v/>
      </c>
      <c r="H256" s="81"/>
      <c r="I256" s="43" t="str">
        <f t="shared" si="21"/>
        <v/>
      </c>
      <c r="J256" s="29" t="str">
        <f t="shared" si="20"/>
        <v/>
      </c>
      <c r="K256" s="24" t="str">
        <f>IF(Sheet1!L256="","",IF(Sheet1!L256&gt;0,ROW(),""))</f>
        <v/>
      </c>
      <c r="L256" s="24" t="str">
        <f t="shared" ca="1" si="18"/>
        <v/>
      </c>
      <c r="M256" s="47" t="str">
        <f t="shared" ca="1" si="19"/>
        <v/>
      </c>
      <c r="N256" s="48" t="str">
        <f>IF(LEFT(Sheet1!K256,2)="0x",Sheet1!K256,IF(AND(Sheet1!L256="",Sheet1!L255=""),"",N255))</f>
        <v/>
      </c>
      <c r="O256" s="46">
        <f>IF(Sheet1!L256="",0,IF(Sheet1!O256&lt;TIME(7,39,0)+Sheet1!$E$3/24,1,0))</f>
        <v>0</v>
      </c>
      <c r="P256" s="46" t="str">
        <f ca="1">IF(AND(Sheet1!L256&lt;0, Sheet1!$C$21&gt;R256,OR(Sheet1!$C$21&lt;=R257,Sheet1!L257="")),   -1*Sheet1!L256,"")</f>
        <v/>
      </c>
    </row>
    <row r="257" spans="1:16" ht="15.75" x14ac:dyDescent="0.25">
      <c r="A257" s="456" t="str">
        <f>IF(AND(R257&lt;&gt;"",R256&lt;&gt;""),(-Sheet1!L257/Sheet1!L256)^(360/(R257-R256-1))-1,"")</f>
        <v/>
      </c>
      <c r="B257" s="41" t="str">
        <f ca="1">IF(AND(Sheet1!L257&lt;0, Sheet1!$C$21&gt;R257+1,OR(Sheet1!$C$21&lt;=R258,Sheet1!L258="")),   -1*Sheet1!L257,"")</f>
        <v/>
      </c>
      <c r="C257" s="42">
        <f ca="1">IF(Sheet3!$B$5="",0,    IF(E257&lt;1,0,  IF(B257="","",     IF(OR(Sheet3!$B$6=0,INDIRECT(ADDRESS(ROW(),Sheet3!$B$3+16))="" ),D257/E257,    IF(E257&lt;0,0,    IF(OR( INDIRECT(ADDRESS(8,Sheet3!$B$3+16))="",INDIRECT(ADDRESS(ROW(),Sheet3!$B$3+17))=""),        (INDIRECT(ADDRESS(ROW(),Sheet3!$B$3+16))+B257)*Sheet3!$Q$4,         INDIRECT(ADDRESS(ROW(),Sheet3!$B$3+17))-INDIRECT(ADDRESS(ROW(),Sheet3!$B$3+16))))))))</f>
        <v>0</v>
      </c>
      <c r="D257" s="39">
        <f ca="1">IF(Sheet3!$B$5="",0,IF(B257="","",IF(E257&lt;1,0,   IF(INDIRECT(ADDRESS(ROW(), Sheet3!$B$3+17))="",        INDIRECT(ADDRESS(ROW(), Sheet3!$B$3+16))*  (1+Sheet3!$Q$4)   +B257*Sheet3!$Q$4,       INDIRECT(ADDRESS(ROW(), Sheet3!$B$3+17))))))</f>
        <v>0</v>
      </c>
      <c r="E257" s="40">
        <f ca="1">IF(AND(Sheet1!L257&lt;0,  Sheet1!$C$21&gt;R257),    IF(OR(Sheet1!$C$21&lt;=R258,  Sheet1!L258=""),       IF(AND(MOD(NOW(),1)&lt;TIME(9,39,0),Sheet1!$C$22=TODAY()),    Sheet1!$C$21-R257,     Sheet1!$C$21-R257-1),               R258-R257-1),    0)</f>
        <v>0</v>
      </c>
      <c r="F257" s="30"/>
      <c r="G257" s="25" t="str">
        <f>IF(LEFT(Sheet1!K258,2)="0x",Sheet1!K257,IF(AND(Sheet1!L257="",Sheet1!L256=""),"",G256))</f>
        <v/>
      </c>
      <c r="H257" s="81"/>
      <c r="I257" s="43" t="str">
        <f t="shared" si="21"/>
        <v/>
      </c>
      <c r="J257" s="29" t="str">
        <f t="shared" si="20"/>
        <v/>
      </c>
      <c r="K257" s="24" t="str">
        <f>IF(Sheet1!L257="","",IF(Sheet1!L257&gt;0,ROW(),""))</f>
        <v/>
      </c>
      <c r="L257" s="24" t="str">
        <f t="shared" ca="1" si="18"/>
        <v/>
      </c>
      <c r="M257" s="47" t="str">
        <f t="shared" ca="1" si="19"/>
        <v/>
      </c>
      <c r="N257" s="48" t="str">
        <f>IF(LEFT(Sheet1!K257,2)="0x",Sheet1!K257,IF(AND(Sheet1!L257="",Sheet1!L256=""),"",N256))</f>
        <v/>
      </c>
      <c r="O257" s="46">
        <f>IF(Sheet1!L257="",0,IF(Sheet1!O257&lt;TIME(7,39,0)+Sheet1!$E$3/24,1,0))</f>
        <v>0</v>
      </c>
      <c r="P257" s="46" t="str">
        <f ca="1">IF(AND(Sheet1!L257&lt;0, Sheet1!$C$21&gt;R257,OR(Sheet1!$C$21&lt;=R258,Sheet1!L258="")),   -1*Sheet1!L257,"")</f>
        <v/>
      </c>
    </row>
    <row r="258" spans="1:16" ht="15.75" x14ac:dyDescent="0.25">
      <c r="A258" s="456" t="str">
        <f>IF(AND(R258&lt;&gt;"",R257&lt;&gt;""),(-Sheet1!L258/Sheet1!L257)^(360/(R258-R257-1))-1,"")</f>
        <v/>
      </c>
      <c r="B258" s="41" t="str">
        <f ca="1">IF(AND(Sheet1!L258&lt;0, Sheet1!$C$21&gt;R258+1,OR(Sheet1!$C$21&lt;=R259,Sheet1!L259="")),   -1*Sheet1!L258,"")</f>
        <v/>
      </c>
      <c r="C258" s="42">
        <f ca="1">IF(Sheet3!$B$5="",0,    IF(E258&lt;1,0,  IF(B258="","",     IF(OR(Sheet3!$B$6=0,INDIRECT(ADDRESS(ROW(),Sheet3!$B$3+16))="" ),D258/E258,    IF(E258&lt;0,0,    IF(OR( INDIRECT(ADDRESS(8,Sheet3!$B$3+16))="",INDIRECT(ADDRESS(ROW(),Sheet3!$B$3+17))=""),        (INDIRECT(ADDRESS(ROW(),Sheet3!$B$3+16))+B258)*Sheet3!$Q$4,         INDIRECT(ADDRESS(ROW(),Sheet3!$B$3+17))-INDIRECT(ADDRESS(ROW(),Sheet3!$B$3+16))))))))</f>
        <v>0</v>
      </c>
      <c r="D258" s="39">
        <f ca="1">IF(Sheet3!$B$5="",0,IF(B258="","",IF(E258&lt;1,0,   IF(INDIRECT(ADDRESS(ROW(), Sheet3!$B$3+17))="",        INDIRECT(ADDRESS(ROW(), Sheet3!$B$3+16))*  (1+Sheet3!$Q$4)   +B258*Sheet3!$Q$4,       INDIRECT(ADDRESS(ROW(), Sheet3!$B$3+17))))))</f>
        <v>0</v>
      </c>
      <c r="E258" s="40">
        <f ca="1">IF(AND(Sheet1!L258&lt;0,  Sheet1!$C$21&gt;R258),    IF(OR(Sheet1!$C$21&lt;=R259,  Sheet1!L259=""),       IF(AND(MOD(NOW(),1)&lt;TIME(9,39,0),Sheet1!$C$22=TODAY()),    Sheet1!$C$21-R258,     Sheet1!$C$21-R258-1),               R259-R258-1),    0)</f>
        <v>0</v>
      </c>
      <c r="F258" s="30"/>
      <c r="G258" s="25" t="str">
        <f>IF(LEFT(Sheet1!K259,2)="0x",Sheet1!K258,IF(AND(Sheet1!L258="",Sheet1!L257=""),"",G257))</f>
        <v/>
      </c>
      <c r="H258" s="81"/>
      <c r="I258" s="43" t="str">
        <f t="shared" si="21"/>
        <v/>
      </c>
      <c r="J258" s="29" t="str">
        <f t="shared" si="20"/>
        <v/>
      </c>
      <c r="K258" s="24" t="str">
        <f>IF(Sheet1!L258="","",IF(Sheet1!L258&gt;0,ROW(),""))</f>
        <v/>
      </c>
      <c r="L258" s="24" t="str">
        <f t="shared" ca="1" si="18"/>
        <v/>
      </c>
      <c r="M258" s="47" t="str">
        <f t="shared" ca="1" si="19"/>
        <v/>
      </c>
      <c r="N258" s="48" t="str">
        <f>IF(LEFT(Sheet1!K258,2)="0x",Sheet1!K258,IF(AND(Sheet1!L258="",Sheet1!L257=""),"",N257))</f>
        <v/>
      </c>
      <c r="O258" s="46">
        <f>IF(Sheet1!L258="",0,IF(Sheet1!O258&lt;TIME(7,39,0)+Sheet1!$E$3/24,1,0))</f>
        <v>0</v>
      </c>
      <c r="P258" s="46" t="str">
        <f ca="1">IF(AND(Sheet1!L258&lt;0, Sheet1!$C$21&gt;R258,OR(Sheet1!$C$21&lt;=R259,Sheet1!L259="")),   -1*Sheet1!L258,"")</f>
        <v/>
      </c>
    </row>
    <row r="259" spans="1:16" ht="15.75" x14ac:dyDescent="0.25">
      <c r="A259" s="456" t="str">
        <f>IF(AND(R259&lt;&gt;"",R258&lt;&gt;""),(-Sheet1!L259/Sheet1!L258)^(360/(R259-R258-1))-1,"")</f>
        <v/>
      </c>
      <c r="B259" s="41" t="str">
        <f ca="1">IF(AND(Sheet1!L259&lt;0, Sheet1!$C$21&gt;R259+1,OR(Sheet1!$C$21&lt;=R260,Sheet1!L260="")),   -1*Sheet1!L259,"")</f>
        <v/>
      </c>
      <c r="C259" s="42">
        <f ca="1">IF(Sheet3!$B$5="",0,    IF(E259&lt;1,0,  IF(B259="","",     IF(OR(Sheet3!$B$6=0,INDIRECT(ADDRESS(ROW(),Sheet3!$B$3+16))="" ),D259/E259,    IF(E259&lt;0,0,    IF(OR( INDIRECT(ADDRESS(8,Sheet3!$B$3+16))="",INDIRECT(ADDRESS(ROW(),Sheet3!$B$3+17))=""),        (INDIRECT(ADDRESS(ROW(),Sheet3!$B$3+16))+B259)*Sheet3!$Q$4,         INDIRECT(ADDRESS(ROW(),Sheet3!$B$3+17))-INDIRECT(ADDRESS(ROW(),Sheet3!$B$3+16))))))))</f>
        <v>0</v>
      </c>
      <c r="D259" s="39">
        <f ca="1">IF(Sheet3!$B$5="",0,IF(B259="","",IF(E259&lt;1,0,   IF(INDIRECT(ADDRESS(ROW(), Sheet3!$B$3+17))="",        INDIRECT(ADDRESS(ROW(), Sheet3!$B$3+16))*  (1+Sheet3!$Q$4)   +B259*Sheet3!$Q$4,       INDIRECT(ADDRESS(ROW(), Sheet3!$B$3+17))))))</f>
        <v>0</v>
      </c>
      <c r="E259" s="40">
        <f ca="1">IF(AND(Sheet1!L259&lt;0,  Sheet1!$C$21&gt;R259),    IF(OR(Sheet1!$C$21&lt;=R260,  Sheet1!L260=""),       IF(AND(MOD(NOW(),1)&lt;TIME(9,39,0),Sheet1!$C$22=TODAY()),    Sheet1!$C$21-R259,     Sheet1!$C$21-R259-1),               R260-R259-1),    0)</f>
        <v>0</v>
      </c>
      <c r="F259" s="30"/>
      <c r="G259" s="25" t="str">
        <f>IF(LEFT(Sheet1!K260,2)="0x",Sheet1!K259,IF(AND(Sheet1!L259="",Sheet1!L258=""),"",G258))</f>
        <v/>
      </c>
      <c r="H259" s="81"/>
      <c r="I259" s="43" t="str">
        <f t="shared" si="21"/>
        <v/>
      </c>
      <c r="J259" s="29" t="str">
        <f t="shared" si="20"/>
        <v/>
      </c>
      <c r="K259" s="24" t="str">
        <f>IF(Sheet1!L259="","",IF(Sheet1!L259&gt;0,ROW(),""))</f>
        <v/>
      </c>
      <c r="L259" s="24" t="str">
        <f t="shared" ca="1" si="18"/>
        <v/>
      </c>
      <c r="M259" s="47" t="str">
        <f t="shared" ca="1" si="19"/>
        <v/>
      </c>
      <c r="N259" s="48" t="str">
        <f>IF(LEFT(Sheet1!K259,2)="0x",Sheet1!K259,IF(AND(Sheet1!L259="",Sheet1!L258=""),"",N258))</f>
        <v/>
      </c>
      <c r="O259" s="46">
        <f>IF(Sheet1!L259="",0,IF(Sheet1!O259&lt;TIME(7,39,0)+Sheet1!$E$3/24,1,0))</f>
        <v>0</v>
      </c>
      <c r="P259" s="46" t="str">
        <f ca="1">IF(AND(Sheet1!L259&lt;0, Sheet1!$C$21&gt;R259,OR(Sheet1!$C$21&lt;=R260,Sheet1!L260="")),   -1*Sheet1!L259,"")</f>
        <v/>
      </c>
    </row>
    <row r="260" spans="1:16" ht="15.75" x14ac:dyDescent="0.25">
      <c r="A260" s="456" t="str">
        <f>IF(AND(R260&lt;&gt;"",R259&lt;&gt;""),(-Sheet1!L260/Sheet1!L259)^(360/(R260-R259-1))-1,"")</f>
        <v/>
      </c>
      <c r="B260" s="41" t="str">
        <f ca="1">IF(AND(Sheet1!L260&lt;0, Sheet1!$C$21&gt;R260+1,OR(Sheet1!$C$21&lt;=R261,Sheet1!L261="")),   -1*Sheet1!L260,"")</f>
        <v/>
      </c>
      <c r="C260" s="42">
        <f ca="1">IF(Sheet3!$B$5="",0,    IF(E260&lt;1,0,  IF(B260="","",     IF(OR(Sheet3!$B$6=0,INDIRECT(ADDRESS(ROW(),Sheet3!$B$3+16))="" ),D260/E260,    IF(E260&lt;0,0,    IF(OR( INDIRECT(ADDRESS(8,Sheet3!$B$3+16))="",INDIRECT(ADDRESS(ROW(),Sheet3!$B$3+17))=""),        (INDIRECT(ADDRESS(ROW(),Sheet3!$B$3+16))+B260)*Sheet3!$Q$4,         INDIRECT(ADDRESS(ROW(),Sheet3!$B$3+17))-INDIRECT(ADDRESS(ROW(),Sheet3!$B$3+16))))))))</f>
        <v>0</v>
      </c>
      <c r="D260" s="39">
        <f ca="1">IF(Sheet3!$B$5="",0,IF(B260="","",IF(E260&lt;1,0,   IF(INDIRECT(ADDRESS(ROW(), Sheet3!$B$3+17))="",        INDIRECT(ADDRESS(ROW(), Sheet3!$B$3+16))*  (1+Sheet3!$Q$4)   +B260*Sheet3!$Q$4,       INDIRECT(ADDRESS(ROW(), Sheet3!$B$3+17))))))</f>
        <v>0</v>
      </c>
      <c r="E260" s="40">
        <f ca="1">IF(AND(Sheet1!L260&lt;0,  Sheet1!$C$21&gt;R260),    IF(OR(Sheet1!$C$21&lt;=R261,  Sheet1!L261=""),       IF(AND(MOD(NOW(),1)&lt;TIME(9,39,0),Sheet1!$C$22=TODAY()),    Sheet1!$C$21-R260,     Sheet1!$C$21-R260-1),               R261-R260-1),    0)</f>
        <v>0</v>
      </c>
      <c r="F260" s="30"/>
      <c r="G260" s="25" t="str">
        <f>IF(LEFT(Sheet1!K261,2)="0x",Sheet1!K260,IF(AND(Sheet1!L260="",Sheet1!L259=""),"",G259))</f>
        <v/>
      </c>
      <c r="H260" s="81"/>
      <c r="I260" s="43" t="str">
        <f t="shared" si="21"/>
        <v/>
      </c>
      <c r="J260" s="29" t="str">
        <f t="shared" si="20"/>
        <v/>
      </c>
      <c r="K260" s="24" t="str">
        <f>IF(Sheet1!L260="","",IF(Sheet1!L260&gt;0,ROW(),""))</f>
        <v/>
      </c>
      <c r="L260" s="24" t="str">
        <f t="shared" ca="1" si="18"/>
        <v/>
      </c>
      <c r="M260" s="47" t="str">
        <f t="shared" ca="1" si="19"/>
        <v/>
      </c>
      <c r="N260" s="48" t="str">
        <f>IF(LEFT(Sheet1!K260,2)="0x",Sheet1!K260,IF(AND(Sheet1!L260="",Sheet1!L259=""),"",N259))</f>
        <v/>
      </c>
      <c r="O260" s="46">
        <f>IF(Sheet1!L260="",0,IF(Sheet1!O260&lt;TIME(7,39,0)+Sheet1!$E$3/24,1,0))</f>
        <v>0</v>
      </c>
      <c r="P260" s="46" t="str">
        <f ca="1">IF(AND(Sheet1!L260&lt;0, Sheet1!$C$21&gt;R260,OR(Sheet1!$C$21&lt;=R261,Sheet1!L261="")),   -1*Sheet1!L260,"")</f>
        <v/>
      </c>
    </row>
    <row r="261" spans="1:16" ht="15.75" x14ac:dyDescent="0.25">
      <c r="A261" s="456" t="str">
        <f>IF(AND(R261&lt;&gt;"",R260&lt;&gt;""),(-Sheet1!L261/Sheet1!L260)^(360/(R261-R260-1))-1,"")</f>
        <v/>
      </c>
      <c r="B261" s="41" t="str">
        <f ca="1">IF(AND(Sheet1!L261&lt;0, Sheet1!$C$21&gt;R261+1,OR(Sheet1!$C$21&lt;=R262,Sheet1!L262="")),   -1*Sheet1!L261,"")</f>
        <v/>
      </c>
      <c r="C261" s="42">
        <f ca="1">IF(Sheet3!$B$5="",0,    IF(E261&lt;1,0,  IF(B261="","",     IF(OR(Sheet3!$B$6=0,INDIRECT(ADDRESS(ROW(),Sheet3!$B$3+16))="" ),D261/E261,    IF(E261&lt;0,0,    IF(OR( INDIRECT(ADDRESS(8,Sheet3!$B$3+16))="",INDIRECT(ADDRESS(ROW(),Sheet3!$B$3+17))=""),        (INDIRECT(ADDRESS(ROW(),Sheet3!$B$3+16))+B261)*Sheet3!$Q$4,         INDIRECT(ADDRESS(ROW(),Sheet3!$B$3+17))-INDIRECT(ADDRESS(ROW(),Sheet3!$B$3+16))))))))</f>
        <v>0</v>
      </c>
      <c r="D261" s="39">
        <f ca="1">IF(Sheet3!$B$5="",0,IF(B261="","",IF(E261&lt;1,0,   IF(INDIRECT(ADDRESS(ROW(), Sheet3!$B$3+17))="",        INDIRECT(ADDRESS(ROW(), Sheet3!$B$3+16))*  (1+Sheet3!$Q$4)   +B261*Sheet3!$Q$4,       INDIRECT(ADDRESS(ROW(), Sheet3!$B$3+17))))))</f>
        <v>0</v>
      </c>
      <c r="E261" s="40">
        <f ca="1">IF(AND(Sheet1!L261&lt;0,  Sheet1!$C$21&gt;R261),    IF(OR(Sheet1!$C$21&lt;=R262,  Sheet1!L262=""),       IF(AND(MOD(NOW(),1)&lt;TIME(9,39,0),Sheet1!$C$22=TODAY()),    Sheet1!$C$21-R261,     Sheet1!$C$21-R261-1),               R262-R261-1),    0)</f>
        <v>0</v>
      </c>
      <c r="F261" s="30"/>
      <c r="G261" s="25" t="str">
        <f>IF(LEFT(Sheet1!K262,2)="0x",Sheet1!K261,IF(AND(Sheet1!L261="",Sheet1!L260=""),"",G260))</f>
        <v/>
      </c>
      <c r="H261" s="81"/>
      <c r="I261" s="43" t="str">
        <f t="shared" si="21"/>
        <v/>
      </c>
      <c r="J261" s="29" t="str">
        <f t="shared" si="20"/>
        <v/>
      </c>
      <c r="K261" s="24" t="str">
        <f>IF(Sheet1!L261="","",IF(Sheet1!L261&gt;0,ROW(),""))</f>
        <v/>
      </c>
      <c r="L261" s="24" t="str">
        <f t="shared" ca="1" si="18"/>
        <v/>
      </c>
      <c r="M261" s="47" t="str">
        <f t="shared" ca="1" si="19"/>
        <v/>
      </c>
      <c r="N261" s="48" t="str">
        <f>IF(LEFT(Sheet1!K261,2)="0x",Sheet1!K261,IF(AND(Sheet1!L261="",Sheet1!L260=""),"",N260))</f>
        <v/>
      </c>
      <c r="O261" s="46">
        <f>IF(Sheet1!L261="",0,IF(Sheet1!O261&lt;TIME(7,39,0)+Sheet1!$E$3/24,1,0))</f>
        <v>0</v>
      </c>
      <c r="P261" s="46" t="str">
        <f ca="1">IF(AND(Sheet1!L261&lt;0, Sheet1!$C$21&gt;R261,OR(Sheet1!$C$21&lt;=R262,Sheet1!L262="")),   -1*Sheet1!L261,"")</f>
        <v/>
      </c>
    </row>
    <row r="262" spans="1:16" ht="15.75" x14ac:dyDescent="0.25">
      <c r="A262" s="456" t="str">
        <f>IF(AND(R262&lt;&gt;"",R261&lt;&gt;""),(-Sheet1!L262/Sheet1!L261)^(360/(R262-R261-1))-1,"")</f>
        <v/>
      </c>
      <c r="B262" s="41" t="str">
        <f ca="1">IF(AND(Sheet1!L262&lt;0, Sheet1!$C$21&gt;R262+1,OR(Sheet1!$C$21&lt;=R263,Sheet1!L263="")),   -1*Sheet1!L262,"")</f>
        <v/>
      </c>
      <c r="C262" s="42">
        <f ca="1">IF(Sheet3!$B$5="",0,    IF(E262&lt;1,0,  IF(B262="","",     IF(OR(Sheet3!$B$6=0,INDIRECT(ADDRESS(ROW(),Sheet3!$B$3+16))="" ),D262/E262,    IF(E262&lt;0,0,    IF(OR( INDIRECT(ADDRESS(8,Sheet3!$B$3+16))="",INDIRECT(ADDRESS(ROW(),Sheet3!$B$3+17))=""),        (INDIRECT(ADDRESS(ROW(),Sheet3!$B$3+16))+B262)*Sheet3!$Q$4,         INDIRECT(ADDRESS(ROW(),Sheet3!$B$3+17))-INDIRECT(ADDRESS(ROW(),Sheet3!$B$3+16))))))))</f>
        <v>0</v>
      </c>
      <c r="D262" s="39">
        <f ca="1">IF(Sheet3!$B$5="",0,IF(B262="","",IF(E262&lt;1,0,   IF(INDIRECT(ADDRESS(ROW(), Sheet3!$B$3+17))="",        INDIRECT(ADDRESS(ROW(), Sheet3!$B$3+16))*  (1+Sheet3!$Q$4)   +B262*Sheet3!$Q$4,       INDIRECT(ADDRESS(ROW(), Sheet3!$B$3+17))))))</f>
        <v>0</v>
      </c>
      <c r="E262" s="40">
        <f ca="1">IF(AND(Sheet1!L262&lt;0,  Sheet1!$C$21&gt;R262),    IF(OR(Sheet1!$C$21&lt;=R263,  Sheet1!L263=""),       IF(AND(MOD(NOW(),1)&lt;TIME(9,39,0),Sheet1!$C$22=TODAY()),    Sheet1!$C$21-R262,     Sheet1!$C$21-R262-1),               R263-R262-1),    0)</f>
        <v>0</v>
      </c>
      <c r="F262" s="30"/>
      <c r="G262" s="25" t="str">
        <f>IF(LEFT(Sheet1!K263,2)="0x",Sheet1!K262,IF(AND(Sheet1!L262="",Sheet1!L261=""),"",G261))</f>
        <v/>
      </c>
      <c r="H262" s="81"/>
      <c r="I262" s="43" t="str">
        <f t="shared" si="21"/>
        <v/>
      </c>
      <c r="J262" s="29" t="str">
        <f t="shared" si="20"/>
        <v/>
      </c>
      <c r="K262" s="24" t="str">
        <f>IF(Sheet1!L262="","",IF(Sheet1!L262&gt;0,ROW(),""))</f>
        <v/>
      </c>
      <c r="L262" s="24" t="str">
        <f t="shared" ca="1" si="18"/>
        <v/>
      </c>
      <c r="M262" s="47" t="str">
        <f t="shared" ca="1" si="19"/>
        <v/>
      </c>
      <c r="N262" s="48" t="str">
        <f>IF(LEFT(Sheet1!K262,2)="0x",Sheet1!K262,IF(AND(Sheet1!L262="",Sheet1!L261=""),"",N261))</f>
        <v/>
      </c>
      <c r="O262" s="46">
        <f>IF(Sheet1!L262="",0,IF(Sheet1!O262&lt;TIME(7,39,0)+Sheet1!$E$3/24,1,0))</f>
        <v>0</v>
      </c>
      <c r="P262" s="46" t="str">
        <f ca="1">IF(AND(Sheet1!L262&lt;0, Sheet1!$C$21&gt;R262,OR(Sheet1!$C$21&lt;=R263,Sheet1!L263="")),   -1*Sheet1!L262,"")</f>
        <v/>
      </c>
    </row>
    <row r="263" spans="1:16" ht="15.75" x14ac:dyDescent="0.25">
      <c r="A263" s="456" t="str">
        <f>IF(AND(R263&lt;&gt;"",R262&lt;&gt;""),(-Sheet1!L263/Sheet1!L262)^(360/(R263-R262-1))-1,"")</f>
        <v/>
      </c>
      <c r="B263" s="41" t="str">
        <f ca="1">IF(AND(Sheet1!L263&lt;0, Sheet1!$C$21&gt;R263+1,OR(Sheet1!$C$21&lt;=R264,Sheet1!L264="")),   -1*Sheet1!L263,"")</f>
        <v/>
      </c>
      <c r="C263" s="42">
        <f ca="1">IF(Sheet3!$B$5="",0,    IF(E263&lt;1,0,  IF(B263="","",     IF(OR(Sheet3!$B$6=0,INDIRECT(ADDRESS(ROW(),Sheet3!$B$3+16))="" ),D263/E263,    IF(E263&lt;0,0,    IF(OR( INDIRECT(ADDRESS(8,Sheet3!$B$3+16))="",INDIRECT(ADDRESS(ROW(),Sheet3!$B$3+17))=""),        (INDIRECT(ADDRESS(ROW(),Sheet3!$B$3+16))+B263)*Sheet3!$Q$4,         INDIRECT(ADDRESS(ROW(),Sheet3!$B$3+17))-INDIRECT(ADDRESS(ROW(),Sheet3!$B$3+16))))))))</f>
        <v>0</v>
      </c>
      <c r="D263" s="39">
        <f ca="1">IF(Sheet3!$B$5="",0,IF(B263="","",IF(E263&lt;1,0,   IF(INDIRECT(ADDRESS(ROW(), Sheet3!$B$3+17))="",        INDIRECT(ADDRESS(ROW(), Sheet3!$B$3+16))*  (1+Sheet3!$Q$4)   +B263*Sheet3!$Q$4,       INDIRECT(ADDRESS(ROW(), Sheet3!$B$3+17))))))</f>
        <v>0</v>
      </c>
      <c r="E263" s="40">
        <f ca="1">IF(AND(Sheet1!L263&lt;0,  Sheet1!$C$21&gt;R263),    IF(OR(Sheet1!$C$21&lt;=R264,  Sheet1!L264=""),       IF(AND(MOD(NOW(),1)&lt;TIME(9,39,0),Sheet1!$C$22=TODAY()),    Sheet1!$C$21-R263,     Sheet1!$C$21-R263-1),               R264-R263-1),    0)</f>
        <v>0</v>
      </c>
      <c r="F263" s="30"/>
      <c r="G263" s="25" t="str">
        <f>IF(LEFT(Sheet1!K264,2)="0x",Sheet1!K263,IF(AND(Sheet1!L263="",Sheet1!L262=""),"",G262))</f>
        <v/>
      </c>
      <c r="H263" s="81"/>
      <c r="I263" s="43" t="str">
        <f t="shared" si="21"/>
        <v/>
      </c>
      <c r="J263" s="29" t="str">
        <f t="shared" si="20"/>
        <v/>
      </c>
      <c r="K263" s="24" t="str">
        <f>IF(Sheet1!L263="","",IF(Sheet1!L263&gt;0,ROW(),""))</f>
        <v/>
      </c>
      <c r="L263" s="24" t="str">
        <f t="shared" ca="1" si="18"/>
        <v/>
      </c>
      <c r="M263" s="47" t="str">
        <f t="shared" ca="1" si="19"/>
        <v/>
      </c>
      <c r="N263" s="48" t="str">
        <f>IF(LEFT(Sheet1!K263,2)="0x",Sheet1!K263,IF(AND(Sheet1!L263="",Sheet1!L262=""),"",N262))</f>
        <v/>
      </c>
      <c r="O263" s="46">
        <f>IF(Sheet1!L263="",0,IF(Sheet1!O263&lt;TIME(7,39,0)+Sheet1!$E$3/24,1,0))</f>
        <v>0</v>
      </c>
      <c r="P263" s="46" t="str">
        <f ca="1">IF(AND(Sheet1!L263&lt;0, Sheet1!$C$21&gt;R263,OR(Sheet1!$C$21&lt;=R264,Sheet1!L264="")),   -1*Sheet1!L263,"")</f>
        <v/>
      </c>
    </row>
    <row r="264" spans="1:16" ht="15.75" x14ac:dyDescent="0.25">
      <c r="A264" s="456" t="str">
        <f>IF(AND(R264&lt;&gt;"",R263&lt;&gt;""),(-Sheet1!L264/Sheet1!L263)^(360/(R264-R263-1))-1,"")</f>
        <v/>
      </c>
      <c r="B264" s="41" t="str">
        <f ca="1">IF(AND(Sheet1!L264&lt;0, Sheet1!$C$21&gt;R264+1,OR(Sheet1!$C$21&lt;=R265,Sheet1!L265="")),   -1*Sheet1!L264,"")</f>
        <v/>
      </c>
      <c r="C264" s="42">
        <f ca="1">IF(Sheet3!$B$5="",0,    IF(E264&lt;1,0,  IF(B264="","",     IF(OR(Sheet3!$B$6=0,INDIRECT(ADDRESS(ROW(),Sheet3!$B$3+16))="" ),D264/E264,    IF(E264&lt;0,0,    IF(OR( INDIRECT(ADDRESS(8,Sheet3!$B$3+16))="",INDIRECT(ADDRESS(ROW(),Sheet3!$B$3+17))=""),        (INDIRECT(ADDRESS(ROW(),Sheet3!$B$3+16))+B264)*Sheet3!$Q$4,         INDIRECT(ADDRESS(ROW(),Sheet3!$B$3+17))-INDIRECT(ADDRESS(ROW(),Sheet3!$B$3+16))))))))</f>
        <v>0</v>
      </c>
      <c r="D264" s="39">
        <f ca="1">IF(Sheet3!$B$5="",0,IF(B264="","",IF(E264&lt;1,0,   IF(INDIRECT(ADDRESS(ROW(), Sheet3!$B$3+17))="",        INDIRECT(ADDRESS(ROW(), Sheet3!$B$3+16))*  (1+Sheet3!$Q$4)   +B264*Sheet3!$Q$4,       INDIRECT(ADDRESS(ROW(), Sheet3!$B$3+17))))))</f>
        <v>0</v>
      </c>
      <c r="E264" s="40">
        <f ca="1">IF(AND(Sheet1!L264&lt;0,  Sheet1!$C$21&gt;R264),    IF(OR(Sheet1!$C$21&lt;=R265,  Sheet1!L265=""),       IF(AND(MOD(NOW(),1)&lt;TIME(9,39,0),Sheet1!$C$22=TODAY()),    Sheet1!$C$21-R264,     Sheet1!$C$21-R264-1),               R265-R264-1),    0)</f>
        <v>0</v>
      </c>
      <c r="F264" s="30"/>
      <c r="G264" s="25" t="str">
        <f>IF(LEFT(Sheet1!K265,2)="0x",Sheet1!K264,IF(AND(Sheet1!L264="",Sheet1!L263=""),"",G263))</f>
        <v/>
      </c>
      <c r="H264" s="81"/>
      <c r="I264" s="43" t="str">
        <f t="shared" si="21"/>
        <v/>
      </c>
      <c r="J264" s="29" t="str">
        <f t="shared" si="20"/>
        <v/>
      </c>
      <c r="K264" s="24" t="str">
        <f>IF(Sheet1!L264="","",IF(Sheet1!L264&gt;0,ROW(),""))</f>
        <v/>
      </c>
      <c r="L264" s="24" t="str">
        <f t="shared" ca="1" si="18"/>
        <v/>
      </c>
      <c r="M264" s="47" t="str">
        <f t="shared" ca="1" si="19"/>
        <v/>
      </c>
      <c r="N264" s="48" t="str">
        <f>IF(LEFT(Sheet1!K264,2)="0x",Sheet1!K264,IF(AND(Sheet1!L264="",Sheet1!L263=""),"",N263))</f>
        <v/>
      </c>
      <c r="O264" s="46">
        <f>IF(Sheet1!L264="",0,IF(Sheet1!O264&lt;TIME(7,39,0)+Sheet1!$E$3/24,1,0))</f>
        <v>0</v>
      </c>
      <c r="P264" s="46" t="str">
        <f ca="1">IF(AND(Sheet1!L264&lt;0, Sheet1!$C$21&gt;R264,OR(Sheet1!$C$21&lt;=R265,Sheet1!L265="")),   -1*Sheet1!L264,"")</f>
        <v/>
      </c>
    </row>
    <row r="265" spans="1:16" ht="15.75" x14ac:dyDescent="0.25">
      <c r="A265" s="456" t="str">
        <f>IF(AND(R265&lt;&gt;"",R264&lt;&gt;""),(-Sheet1!L265/Sheet1!L264)^(360/(R265-R264-1))-1,"")</f>
        <v/>
      </c>
      <c r="B265" s="41" t="str">
        <f ca="1">IF(AND(Sheet1!L265&lt;0, Sheet1!$C$21&gt;R265+1,OR(Sheet1!$C$21&lt;=R266,Sheet1!L266="")),   -1*Sheet1!L265,"")</f>
        <v/>
      </c>
      <c r="C265" s="42">
        <f ca="1">IF(Sheet3!$B$5="",0,    IF(E265&lt;1,0,  IF(B265="","",     IF(OR(Sheet3!$B$6=0,INDIRECT(ADDRESS(ROW(),Sheet3!$B$3+16))="" ),D265/E265,    IF(E265&lt;0,0,    IF(OR( INDIRECT(ADDRESS(8,Sheet3!$B$3+16))="",INDIRECT(ADDRESS(ROW(),Sheet3!$B$3+17))=""),        (INDIRECT(ADDRESS(ROW(),Sheet3!$B$3+16))+B265)*Sheet3!$Q$4,         INDIRECT(ADDRESS(ROW(),Sheet3!$B$3+17))-INDIRECT(ADDRESS(ROW(),Sheet3!$B$3+16))))))))</f>
        <v>0</v>
      </c>
      <c r="D265" s="39">
        <f ca="1">IF(Sheet3!$B$5="",0,IF(B265="","",IF(E265&lt;1,0,   IF(INDIRECT(ADDRESS(ROW(), Sheet3!$B$3+17))="",        INDIRECT(ADDRESS(ROW(), Sheet3!$B$3+16))*  (1+Sheet3!$Q$4)   +B265*Sheet3!$Q$4,       INDIRECT(ADDRESS(ROW(), Sheet3!$B$3+17))))))</f>
        <v>0</v>
      </c>
      <c r="E265" s="40">
        <f ca="1">IF(AND(Sheet1!L265&lt;0,  Sheet1!$C$21&gt;R265),    IF(OR(Sheet1!$C$21&lt;=R266,  Sheet1!L266=""),       IF(AND(MOD(NOW(),1)&lt;TIME(9,39,0),Sheet1!$C$22=TODAY()),    Sheet1!$C$21-R265,     Sheet1!$C$21-R265-1),               R266-R265-1),    0)</f>
        <v>0</v>
      </c>
      <c r="F265" s="30"/>
      <c r="G265" s="25" t="str">
        <f>IF(LEFT(Sheet1!K266,2)="0x",Sheet1!K265,IF(AND(Sheet1!L265="",Sheet1!L264=""),"",G264))</f>
        <v/>
      </c>
      <c r="H265" s="81"/>
      <c r="I265" s="43" t="str">
        <f t="shared" si="21"/>
        <v/>
      </c>
      <c r="J265" s="29" t="str">
        <f t="shared" si="20"/>
        <v/>
      </c>
      <c r="K265" s="24" t="str">
        <f>IF(Sheet1!L265="","",IF(Sheet1!L265&gt;0,ROW(),""))</f>
        <v/>
      </c>
      <c r="L265" s="24" t="str">
        <f t="shared" ca="1" si="18"/>
        <v/>
      </c>
      <c r="M265" s="47" t="str">
        <f t="shared" ca="1" si="19"/>
        <v/>
      </c>
      <c r="N265" s="48" t="str">
        <f>IF(LEFT(Sheet1!K265,2)="0x",Sheet1!K265,IF(AND(Sheet1!L265="",Sheet1!L264=""),"",N264))</f>
        <v/>
      </c>
      <c r="O265" s="46">
        <f>IF(Sheet1!L265="",0,IF(Sheet1!O265&lt;TIME(7,39,0)+Sheet1!$E$3/24,1,0))</f>
        <v>0</v>
      </c>
      <c r="P265" s="46" t="str">
        <f ca="1">IF(AND(Sheet1!L265&lt;0, Sheet1!$C$21&gt;R265,OR(Sheet1!$C$21&lt;=R266,Sheet1!L266="")),   -1*Sheet1!L265,"")</f>
        <v/>
      </c>
    </row>
    <row r="266" spans="1:16" ht="15.75" x14ac:dyDescent="0.25">
      <c r="A266" s="456" t="str">
        <f>IF(AND(R266&lt;&gt;"",R265&lt;&gt;""),(-Sheet1!L266/Sheet1!L265)^(360/(R266-R265-1))-1,"")</f>
        <v/>
      </c>
      <c r="B266" s="41" t="str">
        <f ca="1">IF(AND(Sheet1!L266&lt;0, Sheet1!$C$21&gt;R266+1,OR(Sheet1!$C$21&lt;=R267,Sheet1!L267="")),   -1*Sheet1!L266,"")</f>
        <v/>
      </c>
      <c r="C266" s="42">
        <f ca="1">IF(Sheet3!$B$5="",0,    IF(E266&lt;1,0,  IF(B266="","",     IF(OR(Sheet3!$B$6=0,INDIRECT(ADDRESS(ROW(),Sheet3!$B$3+16))="" ),D266/E266,    IF(E266&lt;0,0,    IF(OR( INDIRECT(ADDRESS(8,Sheet3!$B$3+16))="",INDIRECT(ADDRESS(ROW(),Sheet3!$B$3+17))=""),        (INDIRECT(ADDRESS(ROW(),Sheet3!$B$3+16))+B266)*Sheet3!$Q$4,         INDIRECT(ADDRESS(ROW(),Sheet3!$B$3+17))-INDIRECT(ADDRESS(ROW(),Sheet3!$B$3+16))))))))</f>
        <v>0</v>
      </c>
      <c r="D266" s="39">
        <f ca="1">IF(Sheet3!$B$5="",0,IF(B266="","",IF(E266&lt;1,0,   IF(INDIRECT(ADDRESS(ROW(), Sheet3!$B$3+17))="",        INDIRECT(ADDRESS(ROW(), Sheet3!$B$3+16))*  (1+Sheet3!$Q$4)   +B266*Sheet3!$Q$4,       INDIRECT(ADDRESS(ROW(), Sheet3!$B$3+17))))))</f>
        <v>0</v>
      </c>
      <c r="E266" s="40">
        <f ca="1">IF(AND(Sheet1!L266&lt;0,  Sheet1!$C$21&gt;R266),    IF(OR(Sheet1!$C$21&lt;=R267,  Sheet1!L267=""),       IF(AND(MOD(NOW(),1)&lt;TIME(9,39,0),Sheet1!$C$22=TODAY()),    Sheet1!$C$21-R266,     Sheet1!$C$21-R266-1),               R267-R266-1),    0)</f>
        <v>0</v>
      </c>
      <c r="F266" s="30"/>
      <c r="G266" s="25" t="str">
        <f>IF(LEFT(Sheet1!K267,2)="0x",Sheet1!K266,IF(AND(Sheet1!L266="",Sheet1!L265=""),"",G265))</f>
        <v/>
      </c>
      <c r="H266" s="81"/>
      <c r="I266" s="43" t="str">
        <f t="shared" si="21"/>
        <v/>
      </c>
      <c r="J266" s="29" t="str">
        <f t="shared" si="20"/>
        <v/>
      </c>
      <c r="K266" s="24" t="str">
        <f>IF(Sheet1!L266="","",IF(Sheet1!L266&gt;0,ROW(),""))</f>
        <v/>
      </c>
      <c r="L266" s="24" t="str">
        <f t="shared" ca="1" si="18"/>
        <v/>
      </c>
      <c r="M266" s="47" t="str">
        <f t="shared" ca="1" si="19"/>
        <v/>
      </c>
      <c r="N266" s="48" t="str">
        <f>IF(LEFT(Sheet1!K266,2)="0x",Sheet1!K266,IF(AND(Sheet1!L266="",Sheet1!L265=""),"",N265))</f>
        <v/>
      </c>
      <c r="O266" s="46">
        <f>IF(Sheet1!L266="",0,IF(Sheet1!O266&lt;TIME(7,39,0)+Sheet1!$E$3/24,1,0))</f>
        <v>0</v>
      </c>
      <c r="P266" s="46" t="str">
        <f ca="1">IF(AND(Sheet1!L266&lt;0, Sheet1!$C$21&gt;R266,OR(Sheet1!$C$21&lt;=R267,Sheet1!L267="")),   -1*Sheet1!L266,"")</f>
        <v/>
      </c>
    </row>
    <row r="267" spans="1:16" ht="15.75" x14ac:dyDescent="0.25">
      <c r="A267" s="456" t="str">
        <f>IF(AND(R267&lt;&gt;"",R266&lt;&gt;""),(-Sheet1!L267/Sheet1!L266)^(360/(R267-R266-1))-1,"")</f>
        <v/>
      </c>
      <c r="B267" s="41" t="str">
        <f ca="1">IF(AND(Sheet1!L267&lt;0, Sheet1!$C$21&gt;R267+1,OR(Sheet1!$C$21&lt;=R268,Sheet1!L268="")),   -1*Sheet1!L267,"")</f>
        <v/>
      </c>
      <c r="C267" s="42">
        <f ca="1">IF(Sheet3!$B$5="",0,    IF(E267&lt;1,0,  IF(B267="","",     IF(OR(Sheet3!$B$6=0,INDIRECT(ADDRESS(ROW(),Sheet3!$B$3+16))="" ),D267/E267,    IF(E267&lt;0,0,    IF(OR( INDIRECT(ADDRESS(8,Sheet3!$B$3+16))="",INDIRECT(ADDRESS(ROW(),Sheet3!$B$3+17))=""),        (INDIRECT(ADDRESS(ROW(),Sheet3!$B$3+16))+B267)*Sheet3!$Q$4,         INDIRECT(ADDRESS(ROW(),Sheet3!$B$3+17))-INDIRECT(ADDRESS(ROW(),Sheet3!$B$3+16))))))))</f>
        <v>0</v>
      </c>
      <c r="D267" s="39">
        <f ca="1">IF(Sheet3!$B$5="",0,IF(B267="","",IF(E267&lt;1,0,   IF(INDIRECT(ADDRESS(ROW(), Sheet3!$B$3+17))="",        INDIRECT(ADDRESS(ROW(), Sheet3!$B$3+16))*  (1+Sheet3!$Q$4)   +B267*Sheet3!$Q$4,       INDIRECT(ADDRESS(ROW(), Sheet3!$B$3+17))))))</f>
        <v>0</v>
      </c>
      <c r="E267" s="40">
        <f ca="1">IF(AND(Sheet1!L267&lt;0,  Sheet1!$C$21&gt;R267),    IF(OR(Sheet1!$C$21&lt;=R268,  Sheet1!L268=""),       IF(AND(MOD(NOW(),1)&lt;TIME(9,39,0),Sheet1!$C$22=TODAY()),    Sheet1!$C$21-R267,     Sheet1!$C$21-R267-1),               R268-R267-1),    0)</f>
        <v>0</v>
      </c>
      <c r="F267" s="30"/>
      <c r="G267" s="25" t="str">
        <f>IF(LEFT(Sheet1!K268,2)="0x",Sheet1!K267,IF(AND(Sheet1!L267="",Sheet1!L266=""),"",G266))</f>
        <v/>
      </c>
      <c r="H267" s="81"/>
      <c r="I267" s="43" t="str">
        <f t="shared" si="21"/>
        <v/>
      </c>
      <c r="J267" s="29" t="str">
        <f t="shared" si="20"/>
        <v/>
      </c>
      <c r="K267" s="24" t="str">
        <f>IF(Sheet1!L267="","",IF(Sheet1!L267&gt;0,ROW(),""))</f>
        <v/>
      </c>
      <c r="L267" s="24" t="str">
        <f t="shared" ca="1" si="18"/>
        <v/>
      </c>
      <c r="M267" s="47" t="str">
        <f t="shared" ca="1" si="19"/>
        <v/>
      </c>
      <c r="N267" s="48" t="str">
        <f>IF(LEFT(Sheet1!K267,2)="0x",Sheet1!K267,IF(AND(Sheet1!L267="",Sheet1!L266=""),"",N266))</f>
        <v/>
      </c>
      <c r="O267" s="46">
        <f>IF(Sheet1!L267="",0,IF(Sheet1!O267&lt;TIME(7,39,0)+Sheet1!$E$3/24,1,0))</f>
        <v>0</v>
      </c>
      <c r="P267" s="46" t="str">
        <f ca="1">IF(AND(Sheet1!L267&lt;0, Sheet1!$C$21&gt;R267,OR(Sheet1!$C$21&lt;=R268,Sheet1!L268="")),   -1*Sheet1!L267,"")</f>
        <v/>
      </c>
    </row>
    <row r="268" spans="1:16" ht="15.75" x14ac:dyDescent="0.25">
      <c r="A268" s="456" t="str">
        <f>IF(AND(R268&lt;&gt;"",R267&lt;&gt;""),(-Sheet1!L268/Sheet1!L267)^(360/(R268-R267-1))-1,"")</f>
        <v/>
      </c>
      <c r="B268" s="41" t="str">
        <f ca="1">IF(AND(Sheet1!L268&lt;0, Sheet1!$C$21&gt;R268+1,OR(Sheet1!$C$21&lt;=R269,Sheet1!L269="")),   -1*Sheet1!L268,"")</f>
        <v/>
      </c>
      <c r="C268" s="42">
        <f ca="1">IF(Sheet3!$B$5="",0,    IF(E268&lt;1,0,  IF(B268="","",     IF(OR(Sheet3!$B$6=0,INDIRECT(ADDRESS(ROW(),Sheet3!$B$3+16))="" ),D268/E268,    IF(E268&lt;0,0,    IF(OR( INDIRECT(ADDRESS(8,Sheet3!$B$3+16))="",INDIRECT(ADDRESS(ROW(),Sheet3!$B$3+17))=""),        (INDIRECT(ADDRESS(ROW(),Sheet3!$B$3+16))+B268)*Sheet3!$Q$4,         INDIRECT(ADDRESS(ROW(),Sheet3!$B$3+17))-INDIRECT(ADDRESS(ROW(),Sheet3!$B$3+16))))))))</f>
        <v>0</v>
      </c>
      <c r="D268" s="39">
        <f ca="1">IF(Sheet3!$B$5="",0,IF(B268="","",IF(E268&lt;1,0,   IF(INDIRECT(ADDRESS(ROW(), Sheet3!$B$3+17))="",        INDIRECT(ADDRESS(ROW(), Sheet3!$B$3+16))*  (1+Sheet3!$Q$4)   +B268*Sheet3!$Q$4,       INDIRECT(ADDRESS(ROW(), Sheet3!$B$3+17))))))</f>
        <v>0</v>
      </c>
      <c r="E268" s="40">
        <f ca="1">IF(AND(Sheet1!L268&lt;0,  Sheet1!$C$21&gt;R268),    IF(OR(Sheet1!$C$21&lt;=R269,  Sheet1!L269=""),       IF(AND(MOD(NOW(),1)&lt;TIME(9,39,0),Sheet1!$C$22=TODAY()),    Sheet1!$C$21-R268,     Sheet1!$C$21-R268-1),               R269-R268-1),    0)</f>
        <v>0</v>
      </c>
      <c r="F268" s="30"/>
      <c r="G268" s="25" t="str">
        <f>IF(LEFT(Sheet1!K269,2)="0x",Sheet1!K268,IF(AND(Sheet1!L268="",Sheet1!L267=""),"",G267))</f>
        <v/>
      </c>
      <c r="H268" s="81"/>
      <c r="I268" s="43" t="str">
        <f t="shared" si="21"/>
        <v/>
      </c>
      <c r="J268" s="29" t="str">
        <f t="shared" si="20"/>
        <v/>
      </c>
      <c r="K268" s="24" t="str">
        <f>IF(Sheet1!L268="","",IF(Sheet1!L268&gt;0,ROW(),""))</f>
        <v/>
      </c>
      <c r="L268" s="24" t="str">
        <f t="shared" ca="1" si="18"/>
        <v/>
      </c>
      <c r="M268" s="47" t="str">
        <f t="shared" ca="1" si="19"/>
        <v/>
      </c>
      <c r="N268" s="48" t="str">
        <f>IF(LEFT(Sheet1!K268,2)="0x",Sheet1!K268,IF(AND(Sheet1!L268="",Sheet1!L267=""),"",N267))</f>
        <v/>
      </c>
      <c r="O268" s="46">
        <f>IF(Sheet1!L268="",0,IF(Sheet1!O268&lt;TIME(7,39,0)+Sheet1!$E$3/24,1,0))</f>
        <v>0</v>
      </c>
      <c r="P268" s="46" t="str">
        <f ca="1">IF(AND(Sheet1!L268&lt;0, Sheet1!$C$21&gt;R268,OR(Sheet1!$C$21&lt;=R269,Sheet1!L269="")),   -1*Sheet1!L268,"")</f>
        <v/>
      </c>
    </row>
    <row r="269" spans="1:16" ht="15.75" x14ac:dyDescent="0.25">
      <c r="A269" s="456" t="str">
        <f>IF(AND(R269&lt;&gt;"",R268&lt;&gt;""),(-Sheet1!L269/Sheet1!L268)^(360/(R269-R268-1))-1,"")</f>
        <v/>
      </c>
      <c r="B269" s="41" t="str">
        <f ca="1">IF(AND(Sheet1!L269&lt;0, Sheet1!$C$21&gt;R269+1,OR(Sheet1!$C$21&lt;=R270,Sheet1!L270="")),   -1*Sheet1!L269,"")</f>
        <v/>
      </c>
      <c r="C269" s="42">
        <f ca="1">IF(Sheet3!$B$5="",0,    IF(E269&lt;1,0,  IF(B269="","",     IF(OR(Sheet3!$B$6=0,INDIRECT(ADDRESS(ROW(),Sheet3!$B$3+16))="" ),D269/E269,    IF(E269&lt;0,0,    IF(OR( INDIRECT(ADDRESS(8,Sheet3!$B$3+16))="",INDIRECT(ADDRESS(ROW(),Sheet3!$B$3+17))=""),        (INDIRECT(ADDRESS(ROW(),Sheet3!$B$3+16))+B269)*Sheet3!$Q$4,         INDIRECT(ADDRESS(ROW(),Sheet3!$B$3+17))-INDIRECT(ADDRESS(ROW(),Sheet3!$B$3+16))))))))</f>
        <v>0</v>
      </c>
      <c r="D269" s="39">
        <f ca="1">IF(Sheet3!$B$5="",0,IF(B269="","",IF(E269&lt;1,0,   IF(INDIRECT(ADDRESS(ROW(), Sheet3!$B$3+17))="",        INDIRECT(ADDRESS(ROW(), Sheet3!$B$3+16))*  (1+Sheet3!$Q$4)   +B269*Sheet3!$Q$4,       INDIRECT(ADDRESS(ROW(), Sheet3!$B$3+17))))))</f>
        <v>0</v>
      </c>
      <c r="E269" s="40">
        <f ca="1">IF(AND(Sheet1!L269&lt;0,  Sheet1!$C$21&gt;R269),    IF(OR(Sheet1!$C$21&lt;=R270,  Sheet1!L270=""),       IF(AND(MOD(NOW(),1)&lt;TIME(9,39,0),Sheet1!$C$22=TODAY()),    Sheet1!$C$21-R269,     Sheet1!$C$21-R269-1),               R270-R269-1),    0)</f>
        <v>0</v>
      </c>
      <c r="F269" s="30"/>
      <c r="G269" s="25" t="str">
        <f>IF(LEFT(Sheet1!K270,2)="0x",Sheet1!K269,IF(AND(Sheet1!L269="",Sheet1!L268=""),"",G268))</f>
        <v/>
      </c>
      <c r="H269" s="81"/>
      <c r="I269" s="43" t="str">
        <f t="shared" si="21"/>
        <v/>
      </c>
      <c r="J269" s="29" t="str">
        <f t="shared" si="20"/>
        <v/>
      </c>
      <c r="K269" s="24" t="str">
        <f>IF(Sheet1!L269="","",IF(Sheet1!L269&gt;0,ROW(),""))</f>
        <v/>
      </c>
      <c r="L269" s="24" t="str">
        <f t="shared" ca="1" si="18"/>
        <v/>
      </c>
      <c r="M269" s="47" t="str">
        <f t="shared" ca="1" si="19"/>
        <v/>
      </c>
      <c r="N269" s="48" t="str">
        <f>IF(LEFT(Sheet1!K269,2)="0x",Sheet1!K269,IF(AND(Sheet1!L269="",Sheet1!L268=""),"",N268))</f>
        <v/>
      </c>
      <c r="O269" s="46">
        <f>IF(Sheet1!L269="",0,IF(Sheet1!O269&lt;TIME(7,39,0)+Sheet1!$E$3/24,1,0))</f>
        <v>0</v>
      </c>
      <c r="P269" s="46" t="str">
        <f ca="1">IF(AND(Sheet1!L269&lt;0, Sheet1!$C$21&gt;R269,OR(Sheet1!$C$21&lt;=R270,Sheet1!L270="")),   -1*Sheet1!L269,"")</f>
        <v/>
      </c>
    </row>
    <row r="270" spans="1:16" ht="15.75" x14ac:dyDescent="0.25">
      <c r="A270" s="456" t="str">
        <f>IF(AND(R270&lt;&gt;"",R269&lt;&gt;""),(-Sheet1!L270/Sheet1!L269)^(360/(R270-R269-1))-1,"")</f>
        <v/>
      </c>
      <c r="B270" s="41" t="str">
        <f ca="1">IF(AND(Sheet1!L270&lt;0, Sheet1!$C$21&gt;R270+1,OR(Sheet1!$C$21&lt;=R271,Sheet1!L271="")),   -1*Sheet1!L270,"")</f>
        <v/>
      </c>
      <c r="C270" s="42">
        <f ca="1">IF(Sheet3!$B$5="",0,    IF(E270&lt;1,0,  IF(B270="","",     IF(OR(Sheet3!$B$6=0,INDIRECT(ADDRESS(ROW(),Sheet3!$B$3+16))="" ),D270/E270,    IF(E270&lt;0,0,    IF(OR( INDIRECT(ADDRESS(8,Sheet3!$B$3+16))="",INDIRECT(ADDRESS(ROW(),Sheet3!$B$3+17))=""),        (INDIRECT(ADDRESS(ROW(),Sheet3!$B$3+16))+B270)*Sheet3!$Q$4,         INDIRECT(ADDRESS(ROW(),Sheet3!$B$3+17))-INDIRECT(ADDRESS(ROW(),Sheet3!$B$3+16))))))))</f>
        <v>0</v>
      </c>
      <c r="D270" s="39">
        <f ca="1">IF(Sheet3!$B$5="",0,IF(B270="","",IF(E270&lt;1,0,   IF(INDIRECT(ADDRESS(ROW(), Sheet3!$B$3+17))="",        INDIRECT(ADDRESS(ROW(), Sheet3!$B$3+16))*  (1+Sheet3!$Q$4)   +B270*Sheet3!$Q$4,       INDIRECT(ADDRESS(ROW(), Sheet3!$B$3+17))))))</f>
        <v>0</v>
      </c>
      <c r="E270" s="40">
        <f ca="1">IF(AND(Sheet1!L270&lt;0,  Sheet1!$C$21&gt;R270),    IF(OR(Sheet1!$C$21&lt;=R271,  Sheet1!L271=""),       IF(AND(MOD(NOW(),1)&lt;TIME(9,39,0),Sheet1!$C$22=TODAY()),    Sheet1!$C$21-R270,     Sheet1!$C$21-R270-1),               R271-R270-1),    0)</f>
        <v>0</v>
      </c>
      <c r="F270" s="30"/>
      <c r="G270" s="25" t="str">
        <f>IF(LEFT(Sheet1!K271,2)="0x",Sheet1!K270,IF(AND(Sheet1!L270="",Sheet1!L269=""),"",G269))</f>
        <v/>
      </c>
      <c r="H270" s="81"/>
      <c r="I270" s="43" t="str">
        <f t="shared" si="21"/>
        <v/>
      </c>
      <c r="J270" s="29" t="str">
        <f t="shared" si="20"/>
        <v/>
      </c>
      <c r="K270" s="24" t="str">
        <f>IF(Sheet1!L270="","",IF(Sheet1!L270&gt;0,ROW(),""))</f>
        <v/>
      </c>
      <c r="L270" s="24" t="str">
        <f t="shared" ref="L270:L333" ca="1" si="22">IF(B270&lt;&gt;"",ROW(),"")</f>
        <v/>
      </c>
      <c r="M270" s="47" t="str">
        <f t="shared" ref="M270:M333" ca="1" si="23">IF(P270&lt;&gt;"",ROW(),"")</f>
        <v/>
      </c>
      <c r="N270" s="48" t="str">
        <f>IF(LEFT(Sheet1!K270,2)="0x",Sheet1!K270,IF(AND(Sheet1!L270="",Sheet1!L269=""),"",N269))</f>
        <v/>
      </c>
      <c r="O270" s="46">
        <f>IF(Sheet1!L270="",0,IF(Sheet1!O270&lt;TIME(7,39,0)+Sheet1!$E$3/24,1,0))</f>
        <v>0</v>
      </c>
      <c r="P270" s="46" t="str">
        <f ca="1">IF(AND(Sheet1!L270&lt;0, Sheet1!$C$21&gt;R270,OR(Sheet1!$C$21&lt;=R271,Sheet1!L271="")),   -1*Sheet1!L270,"")</f>
        <v/>
      </c>
    </row>
    <row r="271" spans="1:16" ht="15.75" x14ac:dyDescent="0.25">
      <c r="A271" s="456" t="str">
        <f>IF(AND(R271&lt;&gt;"",R270&lt;&gt;""),(-Sheet1!L271/Sheet1!L270)^(360/(R271-R270-1))-1,"")</f>
        <v/>
      </c>
      <c r="B271" s="41" t="str">
        <f ca="1">IF(AND(Sheet1!L271&lt;0, Sheet1!$C$21&gt;R271+1,OR(Sheet1!$C$21&lt;=R272,Sheet1!L272="")),   -1*Sheet1!L271,"")</f>
        <v/>
      </c>
      <c r="C271" s="42">
        <f ca="1">IF(Sheet3!$B$5="",0,    IF(E271&lt;1,0,  IF(B271="","",     IF(OR(Sheet3!$B$6=0,INDIRECT(ADDRESS(ROW(),Sheet3!$B$3+16))="" ),D271/E271,    IF(E271&lt;0,0,    IF(OR( INDIRECT(ADDRESS(8,Sheet3!$B$3+16))="",INDIRECT(ADDRESS(ROW(),Sheet3!$B$3+17))=""),        (INDIRECT(ADDRESS(ROW(),Sheet3!$B$3+16))+B271)*Sheet3!$Q$4,         INDIRECT(ADDRESS(ROW(),Sheet3!$B$3+17))-INDIRECT(ADDRESS(ROW(),Sheet3!$B$3+16))))))))</f>
        <v>0</v>
      </c>
      <c r="D271" s="39">
        <f ca="1">IF(Sheet3!$B$5="",0,IF(B271="","",IF(E271&lt;1,0,   IF(INDIRECT(ADDRESS(ROW(), Sheet3!$B$3+17))="",        INDIRECT(ADDRESS(ROW(), Sheet3!$B$3+16))*  (1+Sheet3!$Q$4)   +B271*Sheet3!$Q$4,       INDIRECT(ADDRESS(ROW(), Sheet3!$B$3+17))))))</f>
        <v>0</v>
      </c>
      <c r="E271" s="40">
        <f ca="1">IF(AND(Sheet1!L271&lt;0,  Sheet1!$C$21&gt;R271),    IF(OR(Sheet1!$C$21&lt;=R272,  Sheet1!L272=""),       IF(AND(MOD(NOW(),1)&lt;TIME(9,39,0),Sheet1!$C$22=TODAY()),    Sheet1!$C$21-R271,     Sheet1!$C$21-R271-1),               R272-R271-1),    0)</f>
        <v>0</v>
      </c>
      <c r="F271" s="30"/>
      <c r="G271" s="25" t="str">
        <f>IF(LEFT(Sheet1!K272,2)="0x",Sheet1!K271,IF(AND(Sheet1!L271="",Sheet1!L270=""),"",G270))</f>
        <v/>
      </c>
      <c r="H271" s="81"/>
      <c r="I271" s="43" t="str">
        <f t="shared" si="21"/>
        <v/>
      </c>
      <c r="J271" s="29" t="str">
        <f t="shared" si="20"/>
        <v/>
      </c>
      <c r="K271" s="24" t="str">
        <f>IF(Sheet1!L271="","",IF(Sheet1!L271&gt;0,ROW(),""))</f>
        <v/>
      </c>
      <c r="L271" s="24" t="str">
        <f t="shared" ca="1" si="22"/>
        <v/>
      </c>
      <c r="M271" s="47" t="str">
        <f t="shared" ca="1" si="23"/>
        <v/>
      </c>
      <c r="N271" s="48" t="str">
        <f>IF(LEFT(Sheet1!K271,2)="0x",Sheet1!K271,IF(AND(Sheet1!L271="",Sheet1!L270=""),"",N270))</f>
        <v/>
      </c>
      <c r="O271" s="46">
        <f>IF(Sheet1!L271="",0,IF(Sheet1!O271&lt;TIME(7,39,0)+Sheet1!$E$3/24,1,0))</f>
        <v>0</v>
      </c>
      <c r="P271" s="46" t="str">
        <f ca="1">IF(AND(Sheet1!L271&lt;0, Sheet1!$C$21&gt;R271,OR(Sheet1!$C$21&lt;=R272,Sheet1!L272="")),   -1*Sheet1!L271,"")</f>
        <v/>
      </c>
    </row>
    <row r="272" spans="1:16" ht="15.75" x14ac:dyDescent="0.25">
      <c r="A272" s="456" t="str">
        <f>IF(AND(R272&lt;&gt;"",R271&lt;&gt;""),(-Sheet1!L272/Sheet1!L271)^(360/(R272-R271-1))-1,"")</f>
        <v/>
      </c>
      <c r="B272" s="41" t="str">
        <f ca="1">IF(AND(Sheet1!L272&lt;0, Sheet1!$C$21&gt;R272+1,OR(Sheet1!$C$21&lt;=R273,Sheet1!L273="")),   -1*Sheet1!L272,"")</f>
        <v/>
      </c>
      <c r="C272" s="42">
        <f ca="1">IF(Sheet3!$B$5="",0,    IF(E272&lt;1,0,  IF(B272="","",     IF(OR(Sheet3!$B$6=0,INDIRECT(ADDRESS(ROW(),Sheet3!$B$3+16))="" ),D272/E272,    IF(E272&lt;0,0,    IF(OR( INDIRECT(ADDRESS(8,Sheet3!$B$3+16))="",INDIRECT(ADDRESS(ROW(),Sheet3!$B$3+17))=""),        (INDIRECT(ADDRESS(ROW(),Sheet3!$B$3+16))+B272)*Sheet3!$Q$4,         INDIRECT(ADDRESS(ROW(),Sheet3!$B$3+17))-INDIRECT(ADDRESS(ROW(),Sheet3!$B$3+16))))))))</f>
        <v>0</v>
      </c>
      <c r="D272" s="39">
        <f ca="1">IF(Sheet3!$B$5="",0,IF(B272="","",IF(E272&lt;1,0,   IF(INDIRECT(ADDRESS(ROW(), Sheet3!$B$3+17))="",        INDIRECT(ADDRESS(ROW(), Sheet3!$B$3+16))*  (1+Sheet3!$Q$4)   +B272*Sheet3!$Q$4,       INDIRECT(ADDRESS(ROW(), Sheet3!$B$3+17))))))</f>
        <v>0</v>
      </c>
      <c r="E272" s="40">
        <f ca="1">IF(AND(Sheet1!L272&lt;0,  Sheet1!$C$21&gt;R272),    IF(OR(Sheet1!$C$21&lt;=R273,  Sheet1!L273=""),       IF(AND(MOD(NOW(),1)&lt;TIME(9,39,0),Sheet1!$C$22=TODAY()),    Sheet1!$C$21-R272,     Sheet1!$C$21-R272-1),               R273-R272-1),    0)</f>
        <v>0</v>
      </c>
      <c r="F272" s="30"/>
      <c r="G272" s="25" t="str">
        <f>IF(LEFT(Sheet1!K273,2)="0x",Sheet1!K272,IF(AND(Sheet1!L272="",Sheet1!L271=""),"",G271))</f>
        <v/>
      </c>
      <c r="H272" s="81"/>
      <c r="I272" s="43" t="str">
        <f t="shared" si="21"/>
        <v/>
      </c>
      <c r="J272" s="29" t="str">
        <f t="shared" si="20"/>
        <v/>
      </c>
      <c r="K272" s="24" t="str">
        <f>IF(Sheet1!L272="","",IF(Sheet1!L272&gt;0,ROW(),""))</f>
        <v/>
      </c>
      <c r="L272" s="24" t="str">
        <f t="shared" ca="1" si="22"/>
        <v/>
      </c>
      <c r="M272" s="47" t="str">
        <f t="shared" ca="1" si="23"/>
        <v/>
      </c>
      <c r="N272" s="48" t="str">
        <f>IF(LEFT(Sheet1!K272,2)="0x",Sheet1!K272,IF(AND(Sheet1!L272="",Sheet1!L271=""),"",N271))</f>
        <v/>
      </c>
      <c r="O272" s="46">
        <f>IF(Sheet1!L272="",0,IF(Sheet1!O272&lt;TIME(7,39,0)+Sheet1!$E$3/24,1,0))</f>
        <v>0</v>
      </c>
      <c r="P272" s="46" t="str">
        <f ca="1">IF(AND(Sheet1!L272&lt;0, Sheet1!$C$21&gt;R272,OR(Sheet1!$C$21&lt;=R273,Sheet1!L273="")),   -1*Sheet1!L272,"")</f>
        <v/>
      </c>
    </row>
    <row r="273" spans="1:16" ht="15.75" x14ac:dyDescent="0.25">
      <c r="A273" s="456" t="str">
        <f>IF(AND(R273&lt;&gt;"",R272&lt;&gt;""),(-Sheet1!L273/Sheet1!L272)^(360/(R273-R272-1))-1,"")</f>
        <v/>
      </c>
      <c r="B273" s="41" t="str">
        <f ca="1">IF(AND(Sheet1!L273&lt;0, Sheet1!$C$21&gt;R273+1,OR(Sheet1!$C$21&lt;=R274,Sheet1!L274="")),   -1*Sheet1!L273,"")</f>
        <v/>
      </c>
      <c r="C273" s="42">
        <f ca="1">IF(Sheet3!$B$5="",0,    IF(E273&lt;1,0,  IF(B273="","",     IF(OR(Sheet3!$B$6=0,INDIRECT(ADDRESS(ROW(),Sheet3!$B$3+16))="" ),D273/E273,    IF(E273&lt;0,0,    IF(OR( INDIRECT(ADDRESS(8,Sheet3!$B$3+16))="",INDIRECT(ADDRESS(ROW(),Sheet3!$B$3+17))=""),        (INDIRECT(ADDRESS(ROW(),Sheet3!$B$3+16))+B273)*Sheet3!$Q$4,         INDIRECT(ADDRESS(ROW(),Sheet3!$B$3+17))-INDIRECT(ADDRESS(ROW(),Sheet3!$B$3+16))))))))</f>
        <v>0</v>
      </c>
      <c r="D273" s="39">
        <f ca="1">IF(Sheet3!$B$5="",0,IF(B273="","",IF(E273&lt;1,0,   IF(INDIRECT(ADDRESS(ROW(), Sheet3!$B$3+17))="",        INDIRECT(ADDRESS(ROW(), Sheet3!$B$3+16))*  (1+Sheet3!$Q$4)   +B273*Sheet3!$Q$4,       INDIRECT(ADDRESS(ROW(), Sheet3!$B$3+17))))))</f>
        <v>0</v>
      </c>
      <c r="E273" s="40">
        <f ca="1">IF(AND(Sheet1!L273&lt;0,  Sheet1!$C$21&gt;R273),    IF(OR(Sheet1!$C$21&lt;=R274,  Sheet1!L274=""),       IF(AND(MOD(NOW(),1)&lt;TIME(9,39,0),Sheet1!$C$22=TODAY()),    Sheet1!$C$21-R273,     Sheet1!$C$21-R273-1),               R274-R273-1),    0)</f>
        <v>0</v>
      </c>
      <c r="F273" s="30"/>
      <c r="G273" s="25" t="str">
        <f>IF(LEFT(Sheet1!K274,2)="0x",Sheet1!K273,IF(AND(Sheet1!L273="",Sheet1!L272=""),"",G272))</f>
        <v/>
      </c>
      <c r="H273" s="81"/>
      <c r="I273" s="43" t="str">
        <f t="shared" si="21"/>
        <v/>
      </c>
      <c r="J273" s="29" t="str">
        <f t="shared" si="20"/>
        <v/>
      </c>
      <c r="K273" s="24" t="str">
        <f>IF(Sheet1!L273="","",IF(Sheet1!L273&gt;0,ROW(),""))</f>
        <v/>
      </c>
      <c r="L273" s="24" t="str">
        <f t="shared" ca="1" si="22"/>
        <v/>
      </c>
      <c r="M273" s="47" t="str">
        <f t="shared" ca="1" si="23"/>
        <v/>
      </c>
      <c r="N273" s="48" t="str">
        <f>IF(LEFT(Sheet1!K273,2)="0x",Sheet1!K273,IF(AND(Sheet1!L273="",Sheet1!L272=""),"",N272))</f>
        <v/>
      </c>
      <c r="O273" s="46">
        <f>IF(Sheet1!L273="",0,IF(Sheet1!O273&lt;TIME(7,39,0)+Sheet1!$E$3/24,1,0))</f>
        <v>0</v>
      </c>
      <c r="P273" s="46" t="str">
        <f ca="1">IF(AND(Sheet1!L273&lt;0, Sheet1!$C$21&gt;R273,OR(Sheet1!$C$21&lt;=R274,Sheet1!L274="")),   -1*Sheet1!L273,"")</f>
        <v/>
      </c>
    </row>
    <row r="274" spans="1:16" ht="15.75" x14ac:dyDescent="0.25">
      <c r="A274" s="456" t="str">
        <f>IF(AND(R274&lt;&gt;"",R273&lt;&gt;""),(-Sheet1!L274/Sheet1!L273)^(360/(R274-R273-1))-1,"")</f>
        <v/>
      </c>
      <c r="B274" s="41" t="str">
        <f ca="1">IF(AND(Sheet1!L274&lt;0, Sheet1!$C$21&gt;R274+1,OR(Sheet1!$C$21&lt;=R275,Sheet1!L275="")),   -1*Sheet1!L274,"")</f>
        <v/>
      </c>
      <c r="C274" s="42">
        <f ca="1">IF(Sheet3!$B$5="",0,    IF(E274&lt;1,0,  IF(B274="","",     IF(OR(Sheet3!$B$6=0,INDIRECT(ADDRESS(ROW(),Sheet3!$B$3+16))="" ),D274/E274,    IF(E274&lt;0,0,    IF(OR( INDIRECT(ADDRESS(8,Sheet3!$B$3+16))="",INDIRECT(ADDRESS(ROW(),Sheet3!$B$3+17))=""),        (INDIRECT(ADDRESS(ROW(),Sheet3!$B$3+16))+B274)*Sheet3!$Q$4,         INDIRECT(ADDRESS(ROW(),Sheet3!$B$3+17))-INDIRECT(ADDRESS(ROW(),Sheet3!$B$3+16))))))))</f>
        <v>0</v>
      </c>
      <c r="D274" s="39">
        <f ca="1">IF(Sheet3!$B$5="",0,IF(B274="","",IF(E274&lt;1,0,   IF(INDIRECT(ADDRESS(ROW(), Sheet3!$B$3+17))="",        INDIRECT(ADDRESS(ROW(), Sheet3!$B$3+16))*  (1+Sheet3!$Q$4)   +B274*Sheet3!$Q$4,       INDIRECT(ADDRESS(ROW(), Sheet3!$B$3+17))))))</f>
        <v>0</v>
      </c>
      <c r="E274" s="40">
        <f ca="1">IF(AND(Sheet1!L274&lt;0,  Sheet1!$C$21&gt;R274),    IF(OR(Sheet1!$C$21&lt;=R275,  Sheet1!L275=""),       IF(AND(MOD(NOW(),1)&lt;TIME(9,39,0),Sheet1!$C$22=TODAY()),    Sheet1!$C$21-R274,     Sheet1!$C$21-R274-1),               R275-R274-1),    0)</f>
        <v>0</v>
      </c>
      <c r="F274" s="30"/>
      <c r="G274" s="25" t="str">
        <f>IF(LEFT(Sheet1!K275,2)="0x",Sheet1!K274,IF(AND(Sheet1!L274="",Sheet1!L273=""),"",G273))</f>
        <v/>
      </c>
      <c r="H274" s="81"/>
      <c r="I274" s="43" t="str">
        <f t="shared" si="21"/>
        <v/>
      </c>
      <c r="J274" s="29" t="str">
        <f t="shared" si="20"/>
        <v/>
      </c>
      <c r="K274" s="24" t="str">
        <f>IF(Sheet1!L274="","",IF(Sheet1!L274&gt;0,ROW(),""))</f>
        <v/>
      </c>
      <c r="L274" s="24" t="str">
        <f t="shared" ca="1" si="22"/>
        <v/>
      </c>
      <c r="M274" s="47" t="str">
        <f t="shared" ca="1" si="23"/>
        <v/>
      </c>
      <c r="N274" s="48" t="str">
        <f>IF(LEFT(Sheet1!K274,2)="0x",Sheet1!K274,IF(AND(Sheet1!L274="",Sheet1!L273=""),"",N273))</f>
        <v/>
      </c>
      <c r="O274" s="46">
        <f>IF(Sheet1!L274="",0,IF(Sheet1!O274&lt;TIME(7,39,0)+Sheet1!$E$3/24,1,0))</f>
        <v>0</v>
      </c>
      <c r="P274" s="46" t="str">
        <f ca="1">IF(AND(Sheet1!L274&lt;0, Sheet1!$C$21&gt;R274,OR(Sheet1!$C$21&lt;=R275,Sheet1!L275="")),   -1*Sheet1!L274,"")</f>
        <v/>
      </c>
    </row>
    <row r="275" spans="1:16" ht="15.75" x14ac:dyDescent="0.25">
      <c r="A275" s="456" t="str">
        <f>IF(AND(R275&lt;&gt;"",R274&lt;&gt;""),(-Sheet1!L275/Sheet1!L274)^(360/(R275-R274-1))-1,"")</f>
        <v/>
      </c>
      <c r="B275" s="41" t="str">
        <f ca="1">IF(AND(Sheet1!L275&lt;0, Sheet1!$C$21&gt;R275+1,OR(Sheet1!$C$21&lt;=R276,Sheet1!L276="")),   -1*Sheet1!L275,"")</f>
        <v/>
      </c>
      <c r="C275" s="42">
        <f ca="1">IF(Sheet3!$B$5="",0,    IF(E275&lt;1,0,  IF(B275="","",     IF(OR(Sheet3!$B$6=0,INDIRECT(ADDRESS(ROW(),Sheet3!$B$3+16))="" ),D275/E275,    IF(E275&lt;0,0,    IF(OR( INDIRECT(ADDRESS(8,Sheet3!$B$3+16))="",INDIRECT(ADDRESS(ROW(),Sheet3!$B$3+17))=""),        (INDIRECT(ADDRESS(ROW(),Sheet3!$B$3+16))+B275)*Sheet3!$Q$4,         INDIRECT(ADDRESS(ROW(),Sheet3!$B$3+17))-INDIRECT(ADDRESS(ROW(),Sheet3!$B$3+16))))))))</f>
        <v>0</v>
      </c>
      <c r="D275" s="39">
        <f ca="1">IF(Sheet3!$B$5="",0,IF(B275="","",IF(E275&lt;1,0,   IF(INDIRECT(ADDRESS(ROW(), Sheet3!$B$3+17))="",        INDIRECT(ADDRESS(ROW(), Sheet3!$B$3+16))*  (1+Sheet3!$Q$4)   +B275*Sheet3!$Q$4,       INDIRECT(ADDRESS(ROW(), Sheet3!$B$3+17))))))</f>
        <v>0</v>
      </c>
      <c r="E275" s="40">
        <f ca="1">IF(AND(Sheet1!L275&lt;0,  Sheet1!$C$21&gt;R275),    IF(OR(Sheet1!$C$21&lt;=R276,  Sheet1!L276=""),       IF(AND(MOD(NOW(),1)&lt;TIME(9,39,0),Sheet1!$C$22=TODAY()),    Sheet1!$C$21-R275,     Sheet1!$C$21-R275-1),               R276-R275-1),    0)</f>
        <v>0</v>
      </c>
      <c r="F275" s="30"/>
      <c r="G275" s="25" t="str">
        <f>IF(LEFT(Sheet1!K276,2)="0x",Sheet1!K275,IF(AND(Sheet1!L275="",Sheet1!L274=""),"",G274))</f>
        <v/>
      </c>
      <c r="H275" s="81"/>
      <c r="I275" s="43" t="str">
        <f t="shared" si="21"/>
        <v/>
      </c>
      <c r="J275" s="29" t="str">
        <f t="shared" si="20"/>
        <v/>
      </c>
      <c r="K275" s="24" t="str">
        <f>IF(Sheet1!L275="","",IF(Sheet1!L275&gt;0,ROW(),""))</f>
        <v/>
      </c>
      <c r="L275" s="24" t="str">
        <f t="shared" ca="1" si="22"/>
        <v/>
      </c>
      <c r="M275" s="47" t="str">
        <f t="shared" ca="1" si="23"/>
        <v/>
      </c>
      <c r="N275" s="48" t="str">
        <f>IF(LEFT(Sheet1!K275,2)="0x",Sheet1!K275,IF(AND(Sheet1!L275="",Sheet1!L274=""),"",N274))</f>
        <v/>
      </c>
      <c r="O275" s="46">
        <f>IF(Sheet1!L275="",0,IF(Sheet1!O275&lt;TIME(7,39,0)+Sheet1!$E$3/24,1,0))</f>
        <v>0</v>
      </c>
      <c r="P275" s="46" t="str">
        <f ca="1">IF(AND(Sheet1!L275&lt;0, Sheet1!$C$21&gt;R275,OR(Sheet1!$C$21&lt;=R276,Sheet1!L276="")),   -1*Sheet1!L275,"")</f>
        <v/>
      </c>
    </row>
    <row r="276" spans="1:16" ht="15.75" x14ac:dyDescent="0.25">
      <c r="A276" s="456" t="str">
        <f>IF(AND(R276&lt;&gt;"",R275&lt;&gt;""),(-Sheet1!L276/Sheet1!L275)^(360/(R276-R275-1))-1,"")</f>
        <v/>
      </c>
      <c r="B276" s="41" t="str">
        <f ca="1">IF(AND(Sheet1!L276&lt;0, Sheet1!$C$21&gt;R276+1,OR(Sheet1!$C$21&lt;=R277,Sheet1!L277="")),   -1*Sheet1!L276,"")</f>
        <v/>
      </c>
      <c r="C276" s="42">
        <f ca="1">IF(Sheet3!$B$5="",0,    IF(E276&lt;1,0,  IF(B276="","",     IF(OR(Sheet3!$B$6=0,INDIRECT(ADDRESS(ROW(),Sheet3!$B$3+16))="" ),D276/E276,    IF(E276&lt;0,0,    IF(OR( INDIRECT(ADDRESS(8,Sheet3!$B$3+16))="",INDIRECT(ADDRESS(ROW(),Sheet3!$B$3+17))=""),        (INDIRECT(ADDRESS(ROW(),Sheet3!$B$3+16))+B276)*Sheet3!$Q$4,         INDIRECT(ADDRESS(ROW(),Sheet3!$B$3+17))-INDIRECT(ADDRESS(ROW(),Sheet3!$B$3+16))))))))</f>
        <v>0</v>
      </c>
      <c r="D276" s="39">
        <f ca="1">IF(Sheet3!$B$5="",0,IF(B276="","",IF(E276&lt;1,0,   IF(INDIRECT(ADDRESS(ROW(), Sheet3!$B$3+17))="",        INDIRECT(ADDRESS(ROW(), Sheet3!$B$3+16))*  (1+Sheet3!$Q$4)   +B276*Sheet3!$Q$4,       INDIRECT(ADDRESS(ROW(), Sheet3!$B$3+17))))))</f>
        <v>0</v>
      </c>
      <c r="E276" s="40">
        <f ca="1">IF(AND(Sheet1!L276&lt;0,  Sheet1!$C$21&gt;R276),    IF(OR(Sheet1!$C$21&lt;=R277,  Sheet1!L277=""),       IF(AND(MOD(NOW(),1)&lt;TIME(9,39,0),Sheet1!$C$22=TODAY()),    Sheet1!$C$21-R276,     Sheet1!$C$21-R276-1),               R277-R276-1),    0)</f>
        <v>0</v>
      </c>
      <c r="F276" s="30"/>
      <c r="G276" s="25" t="str">
        <f>IF(LEFT(Sheet1!K277,2)="0x",Sheet1!K276,IF(AND(Sheet1!L276="",Sheet1!L275=""),"",G275))</f>
        <v/>
      </c>
      <c r="H276" s="81"/>
      <c r="I276" s="43" t="str">
        <f t="shared" si="21"/>
        <v/>
      </c>
      <c r="J276" s="29" t="str">
        <f t="shared" si="20"/>
        <v/>
      </c>
      <c r="K276" s="24" t="str">
        <f>IF(Sheet1!L276="","",IF(Sheet1!L276&gt;0,ROW(),""))</f>
        <v/>
      </c>
      <c r="L276" s="24" t="str">
        <f t="shared" ca="1" si="22"/>
        <v/>
      </c>
      <c r="M276" s="47" t="str">
        <f t="shared" ca="1" si="23"/>
        <v/>
      </c>
      <c r="N276" s="48" t="str">
        <f>IF(LEFT(Sheet1!K276,2)="0x",Sheet1!K276,IF(AND(Sheet1!L276="",Sheet1!L275=""),"",N275))</f>
        <v/>
      </c>
      <c r="O276" s="46">
        <f>IF(Sheet1!L276="",0,IF(Sheet1!O276&lt;TIME(7,39,0)+Sheet1!$E$3/24,1,0))</f>
        <v>0</v>
      </c>
      <c r="P276" s="46" t="str">
        <f ca="1">IF(AND(Sheet1!L276&lt;0, Sheet1!$C$21&gt;R276,OR(Sheet1!$C$21&lt;=R277,Sheet1!L277="")),   -1*Sheet1!L276,"")</f>
        <v/>
      </c>
    </row>
    <row r="277" spans="1:16" ht="15.75" x14ac:dyDescent="0.25">
      <c r="A277" s="456" t="str">
        <f>IF(AND(R277&lt;&gt;"",R276&lt;&gt;""),(-Sheet1!L277/Sheet1!L276)^(360/(R277-R276-1))-1,"")</f>
        <v/>
      </c>
      <c r="B277" s="41" t="str">
        <f ca="1">IF(AND(Sheet1!L277&lt;0, Sheet1!$C$21&gt;R277+1,OR(Sheet1!$C$21&lt;=R278,Sheet1!L278="")),   -1*Sheet1!L277,"")</f>
        <v/>
      </c>
      <c r="C277" s="42">
        <f ca="1">IF(Sheet3!$B$5="",0,    IF(E277&lt;1,0,  IF(B277="","",     IF(OR(Sheet3!$B$6=0,INDIRECT(ADDRESS(ROW(),Sheet3!$B$3+16))="" ),D277/E277,    IF(E277&lt;0,0,    IF(OR( INDIRECT(ADDRESS(8,Sheet3!$B$3+16))="",INDIRECT(ADDRESS(ROW(),Sheet3!$B$3+17))=""),        (INDIRECT(ADDRESS(ROW(),Sheet3!$B$3+16))+B277)*Sheet3!$Q$4,         INDIRECT(ADDRESS(ROW(),Sheet3!$B$3+17))-INDIRECT(ADDRESS(ROW(),Sheet3!$B$3+16))))))))</f>
        <v>0</v>
      </c>
      <c r="D277" s="39">
        <f ca="1">IF(Sheet3!$B$5="",0,IF(B277="","",IF(E277&lt;1,0,   IF(INDIRECT(ADDRESS(ROW(), Sheet3!$B$3+17))="",        INDIRECT(ADDRESS(ROW(), Sheet3!$B$3+16))*  (1+Sheet3!$Q$4)   +B277*Sheet3!$Q$4,       INDIRECT(ADDRESS(ROW(), Sheet3!$B$3+17))))))</f>
        <v>0</v>
      </c>
      <c r="E277" s="40">
        <f ca="1">IF(AND(Sheet1!L277&lt;0,  Sheet1!$C$21&gt;R277),    IF(OR(Sheet1!$C$21&lt;=R278,  Sheet1!L278=""),       IF(AND(MOD(NOW(),1)&lt;TIME(9,39,0),Sheet1!$C$22=TODAY()),    Sheet1!$C$21-R277,     Sheet1!$C$21-R277-1),               R278-R277-1),    0)</f>
        <v>0</v>
      </c>
      <c r="F277" s="30"/>
      <c r="G277" s="25" t="str">
        <f>IF(LEFT(Sheet1!K278,2)="0x",Sheet1!K277,IF(AND(Sheet1!L277="",Sheet1!L276=""),"",G276))</f>
        <v/>
      </c>
      <c r="H277" s="81"/>
      <c r="I277" s="43" t="str">
        <f t="shared" si="21"/>
        <v/>
      </c>
      <c r="J277" s="29" t="str">
        <f t="shared" si="20"/>
        <v/>
      </c>
      <c r="K277" s="24" t="str">
        <f>IF(Sheet1!L277="","",IF(Sheet1!L277&gt;0,ROW(),""))</f>
        <v/>
      </c>
      <c r="L277" s="24" t="str">
        <f t="shared" ca="1" si="22"/>
        <v/>
      </c>
      <c r="M277" s="47" t="str">
        <f t="shared" ca="1" si="23"/>
        <v/>
      </c>
      <c r="N277" s="48" t="str">
        <f>IF(LEFT(Sheet1!K277,2)="0x",Sheet1!K277,IF(AND(Sheet1!L277="",Sheet1!L276=""),"",N276))</f>
        <v/>
      </c>
      <c r="O277" s="46">
        <f>IF(Sheet1!L277="",0,IF(Sheet1!O277&lt;TIME(7,39,0)+Sheet1!$E$3/24,1,0))</f>
        <v>0</v>
      </c>
      <c r="P277" s="46" t="str">
        <f ca="1">IF(AND(Sheet1!L277&lt;0, Sheet1!$C$21&gt;R277,OR(Sheet1!$C$21&lt;=R278,Sheet1!L278="")),   -1*Sheet1!L277,"")</f>
        <v/>
      </c>
    </row>
    <row r="278" spans="1:16" ht="15.75" x14ac:dyDescent="0.25">
      <c r="A278" s="456" t="str">
        <f>IF(AND(R278&lt;&gt;"",R277&lt;&gt;""),(-Sheet1!L278/Sheet1!L277)^(360/(R278-R277-1))-1,"")</f>
        <v/>
      </c>
      <c r="B278" s="41" t="str">
        <f ca="1">IF(AND(Sheet1!L278&lt;0, Sheet1!$C$21&gt;R278+1,OR(Sheet1!$C$21&lt;=R279,Sheet1!L279="")),   -1*Sheet1!L278,"")</f>
        <v/>
      </c>
      <c r="C278" s="42">
        <f ca="1">IF(Sheet3!$B$5="",0,    IF(E278&lt;1,0,  IF(B278="","",     IF(OR(Sheet3!$B$6=0,INDIRECT(ADDRESS(ROW(),Sheet3!$B$3+16))="" ),D278/E278,    IF(E278&lt;0,0,    IF(OR( INDIRECT(ADDRESS(8,Sheet3!$B$3+16))="",INDIRECT(ADDRESS(ROW(),Sheet3!$B$3+17))=""),        (INDIRECT(ADDRESS(ROW(),Sheet3!$B$3+16))+B278)*Sheet3!$Q$4,         INDIRECT(ADDRESS(ROW(),Sheet3!$B$3+17))-INDIRECT(ADDRESS(ROW(),Sheet3!$B$3+16))))))))</f>
        <v>0</v>
      </c>
      <c r="D278" s="39">
        <f ca="1">IF(Sheet3!$B$5="",0,IF(B278="","",IF(E278&lt;1,0,   IF(INDIRECT(ADDRESS(ROW(), Sheet3!$B$3+17))="",        INDIRECT(ADDRESS(ROW(), Sheet3!$B$3+16))*  (1+Sheet3!$Q$4)   +B278*Sheet3!$Q$4,       INDIRECT(ADDRESS(ROW(), Sheet3!$B$3+17))))))</f>
        <v>0</v>
      </c>
      <c r="E278" s="40">
        <f ca="1">IF(AND(Sheet1!L278&lt;0,  Sheet1!$C$21&gt;R278),    IF(OR(Sheet1!$C$21&lt;=R279,  Sheet1!L279=""),       IF(AND(MOD(NOW(),1)&lt;TIME(9,39,0),Sheet1!$C$22=TODAY()),    Sheet1!$C$21-R278,     Sheet1!$C$21-R278-1),               R279-R278-1),    0)</f>
        <v>0</v>
      </c>
      <c r="F278" s="30"/>
      <c r="G278" s="25" t="str">
        <f>IF(LEFT(Sheet1!K279,2)="0x",Sheet1!K278,IF(AND(Sheet1!L278="",Sheet1!L277=""),"",G277))</f>
        <v/>
      </c>
      <c r="H278" s="81"/>
      <c r="I278" s="43" t="str">
        <f t="shared" si="21"/>
        <v/>
      </c>
      <c r="J278" s="29" t="str">
        <f t="shared" si="20"/>
        <v/>
      </c>
      <c r="K278" s="24" t="str">
        <f>IF(Sheet1!L278="","",IF(Sheet1!L278&gt;0,ROW(),""))</f>
        <v/>
      </c>
      <c r="L278" s="24" t="str">
        <f t="shared" ca="1" si="22"/>
        <v/>
      </c>
      <c r="M278" s="47" t="str">
        <f t="shared" ca="1" si="23"/>
        <v/>
      </c>
      <c r="N278" s="48" t="str">
        <f>IF(LEFT(Sheet1!K278,2)="0x",Sheet1!K278,IF(AND(Sheet1!L278="",Sheet1!L277=""),"",N277))</f>
        <v/>
      </c>
      <c r="O278" s="46">
        <f>IF(Sheet1!L278="",0,IF(Sheet1!O278&lt;TIME(7,39,0)+Sheet1!$E$3/24,1,0))</f>
        <v>0</v>
      </c>
      <c r="P278" s="46" t="str">
        <f ca="1">IF(AND(Sheet1!L278&lt;0, Sheet1!$C$21&gt;R278,OR(Sheet1!$C$21&lt;=R279,Sheet1!L279="")),   -1*Sheet1!L278,"")</f>
        <v/>
      </c>
    </row>
    <row r="279" spans="1:16" ht="15.75" x14ac:dyDescent="0.25">
      <c r="A279" s="456" t="str">
        <f>IF(AND(R279&lt;&gt;"",R278&lt;&gt;""),(-Sheet1!L279/Sheet1!L278)^(360/(R279-R278-1))-1,"")</f>
        <v/>
      </c>
      <c r="B279" s="41" t="str">
        <f ca="1">IF(AND(Sheet1!L279&lt;0, Sheet1!$C$21&gt;R279+1,OR(Sheet1!$C$21&lt;=R280,Sheet1!L280="")),   -1*Sheet1!L279,"")</f>
        <v/>
      </c>
      <c r="C279" s="42">
        <f ca="1">IF(Sheet3!$B$5="",0,    IF(E279&lt;1,0,  IF(B279="","",     IF(OR(Sheet3!$B$6=0,INDIRECT(ADDRESS(ROW(),Sheet3!$B$3+16))="" ),D279/E279,    IF(E279&lt;0,0,    IF(OR( INDIRECT(ADDRESS(8,Sheet3!$B$3+16))="",INDIRECT(ADDRESS(ROW(),Sheet3!$B$3+17))=""),        (INDIRECT(ADDRESS(ROW(),Sheet3!$B$3+16))+B279)*Sheet3!$Q$4,         INDIRECT(ADDRESS(ROW(),Sheet3!$B$3+17))-INDIRECT(ADDRESS(ROW(),Sheet3!$B$3+16))))))))</f>
        <v>0</v>
      </c>
      <c r="D279" s="39">
        <f ca="1">IF(Sheet3!$B$5="",0,IF(B279="","",IF(E279&lt;1,0,   IF(INDIRECT(ADDRESS(ROW(), Sheet3!$B$3+17))="",        INDIRECT(ADDRESS(ROW(), Sheet3!$B$3+16))*  (1+Sheet3!$Q$4)   +B279*Sheet3!$Q$4,       INDIRECT(ADDRESS(ROW(), Sheet3!$B$3+17))))))</f>
        <v>0</v>
      </c>
      <c r="E279" s="40">
        <f ca="1">IF(AND(Sheet1!L279&lt;0,  Sheet1!$C$21&gt;R279),    IF(OR(Sheet1!$C$21&lt;=R280,  Sheet1!L280=""),       IF(AND(MOD(NOW(),1)&lt;TIME(9,39,0),Sheet1!$C$22=TODAY()),    Sheet1!$C$21-R279,     Sheet1!$C$21-R279-1),               R280-R279-1),    0)</f>
        <v>0</v>
      </c>
      <c r="F279" s="30"/>
      <c r="G279" s="25" t="str">
        <f>IF(LEFT(Sheet1!K280,2)="0x",Sheet1!K279,IF(AND(Sheet1!L279="",Sheet1!L278=""),"",G278))</f>
        <v/>
      </c>
      <c r="H279" s="81"/>
      <c r="I279" s="43" t="str">
        <f t="shared" si="21"/>
        <v/>
      </c>
      <c r="J279" s="29" t="str">
        <f t="shared" si="20"/>
        <v/>
      </c>
      <c r="K279" s="24" t="str">
        <f>IF(Sheet1!L279="","",IF(Sheet1!L279&gt;0,ROW(),""))</f>
        <v/>
      </c>
      <c r="L279" s="24" t="str">
        <f t="shared" ca="1" si="22"/>
        <v/>
      </c>
      <c r="M279" s="47" t="str">
        <f t="shared" ca="1" si="23"/>
        <v/>
      </c>
      <c r="N279" s="48" t="str">
        <f>IF(LEFT(Sheet1!K279,2)="0x",Sheet1!K279,IF(AND(Sheet1!L279="",Sheet1!L278=""),"",N278))</f>
        <v/>
      </c>
      <c r="O279" s="46">
        <f>IF(Sheet1!L279="",0,IF(Sheet1!O279&lt;TIME(7,39,0)+Sheet1!$E$3/24,1,0))</f>
        <v>0</v>
      </c>
      <c r="P279" s="46" t="str">
        <f ca="1">IF(AND(Sheet1!L279&lt;0, Sheet1!$C$21&gt;R279,OR(Sheet1!$C$21&lt;=R280,Sheet1!L280="")),   -1*Sheet1!L279,"")</f>
        <v/>
      </c>
    </row>
    <row r="280" spans="1:16" ht="15.75" x14ac:dyDescent="0.25">
      <c r="A280" s="456" t="str">
        <f>IF(AND(R280&lt;&gt;"",R279&lt;&gt;""),(-Sheet1!L280/Sheet1!L279)^(360/(R280-R279-1))-1,"")</f>
        <v/>
      </c>
      <c r="B280" s="41" t="str">
        <f ca="1">IF(AND(Sheet1!L280&lt;0, Sheet1!$C$21&gt;R280+1,OR(Sheet1!$C$21&lt;=R281,Sheet1!L281="")),   -1*Sheet1!L280,"")</f>
        <v/>
      </c>
      <c r="C280" s="42">
        <f ca="1">IF(Sheet3!$B$5="",0,    IF(E280&lt;1,0,  IF(B280="","",     IF(OR(Sheet3!$B$6=0,INDIRECT(ADDRESS(ROW(),Sheet3!$B$3+16))="" ),D280/E280,    IF(E280&lt;0,0,    IF(OR( INDIRECT(ADDRESS(8,Sheet3!$B$3+16))="",INDIRECT(ADDRESS(ROW(),Sheet3!$B$3+17))=""),        (INDIRECT(ADDRESS(ROW(),Sheet3!$B$3+16))+B280)*Sheet3!$Q$4,         INDIRECT(ADDRESS(ROW(),Sheet3!$B$3+17))-INDIRECT(ADDRESS(ROW(),Sheet3!$B$3+16))))))))</f>
        <v>0</v>
      </c>
      <c r="D280" s="39">
        <f ca="1">IF(Sheet3!$B$5="",0,IF(B280="","",IF(E280&lt;1,0,   IF(INDIRECT(ADDRESS(ROW(), Sheet3!$B$3+17))="",        INDIRECT(ADDRESS(ROW(), Sheet3!$B$3+16))*  (1+Sheet3!$Q$4)   +B280*Sheet3!$Q$4,       INDIRECT(ADDRESS(ROW(), Sheet3!$B$3+17))))))</f>
        <v>0</v>
      </c>
      <c r="E280" s="40">
        <f ca="1">IF(AND(Sheet1!L280&lt;0,  Sheet1!$C$21&gt;R280),    IF(OR(Sheet1!$C$21&lt;=R281,  Sheet1!L281=""),       IF(AND(MOD(NOW(),1)&lt;TIME(9,39,0),Sheet1!$C$22=TODAY()),    Sheet1!$C$21-R280,     Sheet1!$C$21-R280-1),               R281-R280-1),    0)</f>
        <v>0</v>
      </c>
      <c r="F280" s="30"/>
      <c r="G280" s="25" t="str">
        <f>IF(LEFT(Sheet1!K281,2)="0x",Sheet1!K280,IF(AND(Sheet1!L280="",Sheet1!L279=""),"",G279))</f>
        <v/>
      </c>
      <c r="H280" s="81"/>
      <c r="I280" s="43" t="str">
        <f t="shared" si="21"/>
        <v/>
      </c>
      <c r="J280" s="29" t="str">
        <f t="shared" si="20"/>
        <v/>
      </c>
      <c r="K280" s="24" t="str">
        <f>IF(Sheet1!L280="","",IF(Sheet1!L280&gt;0,ROW(),""))</f>
        <v/>
      </c>
      <c r="L280" s="24" t="str">
        <f t="shared" ca="1" si="22"/>
        <v/>
      </c>
      <c r="M280" s="47" t="str">
        <f t="shared" ca="1" si="23"/>
        <v/>
      </c>
      <c r="N280" s="48" t="str">
        <f>IF(LEFT(Sheet1!K280,2)="0x",Sheet1!K280,IF(AND(Sheet1!L280="",Sheet1!L279=""),"",N279))</f>
        <v/>
      </c>
      <c r="O280" s="46">
        <f>IF(Sheet1!L280="",0,IF(Sheet1!O280&lt;TIME(7,39,0)+Sheet1!$E$3/24,1,0))</f>
        <v>0</v>
      </c>
      <c r="P280" s="46" t="str">
        <f ca="1">IF(AND(Sheet1!L280&lt;0, Sheet1!$C$21&gt;R280,OR(Sheet1!$C$21&lt;=R281,Sheet1!L281="")),   -1*Sheet1!L280,"")</f>
        <v/>
      </c>
    </row>
    <row r="281" spans="1:16" ht="15.75" x14ac:dyDescent="0.25">
      <c r="A281" s="456" t="str">
        <f>IF(AND(R281&lt;&gt;"",R280&lt;&gt;""),(-Sheet1!L281/Sheet1!L280)^(360/(R281-R280-1))-1,"")</f>
        <v/>
      </c>
      <c r="B281" s="41" t="str">
        <f ca="1">IF(AND(Sheet1!L281&lt;0, Sheet1!$C$21&gt;R281+1,OR(Sheet1!$C$21&lt;=R282,Sheet1!L282="")),   -1*Sheet1!L281,"")</f>
        <v/>
      </c>
      <c r="C281" s="42">
        <f ca="1">IF(Sheet3!$B$5="",0,    IF(E281&lt;1,0,  IF(B281="","",     IF(OR(Sheet3!$B$6=0,INDIRECT(ADDRESS(ROW(),Sheet3!$B$3+16))="" ),D281/E281,    IF(E281&lt;0,0,    IF(OR( INDIRECT(ADDRESS(8,Sheet3!$B$3+16))="",INDIRECT(ADDRESS(ROW(),Sheet3!$B$3+17))=""),        (INDIRECT(ADDRESS(ROW(),Sheet3!$B$3+16))+B281)*Sheet3!$Q$4,         INDIRECT(ADDRESS(ROW(),Sheet3!$B$3+17))-INDIRECT(ADDRESS(ROW(),Sheet3!$B$3+16))))))))</f>
        <v>0</v>
      </c>
      <c r="D281" s="39">
        <f ca="1">IF(Sheet3!$B$5="",0,IF(B281="","",IF(E281&lt;1,0,   IF(INDIRECT(ADDRESS(ROW(), Sheet3!$B$3+17))="",        INDIRECT(ADDRESS(ROW(), Sheet3!$B$3+16))*  (1+Sheet3!$Q$4)   +B281*Sheet3!$Q$4,       INDIRECT(ADDRESS(ROW(), Sheet3!$B$3+17))))))</f>
        <v>0</v>
      </c>
      <c r="E281" s="40">
        <f ca="1">IF(AND(Sheet1!L281&lt;0,  Sheet1!$C$21&gt;R281),    IF(OR(Sheet1!$C$21&lt;=R282,  Sheet1!L282=""),       IF(AND(MOD(NOW(),1)&lt;TIME(9,39,0),Sheet1!$C$22=TODAY()),    Sheet1!$C$21-R281,     Sheet1!$C$21-R281-1),               R282-R281-1),    0)</f>
        <v>0</v>
      </c>
      <c r="F281" s="30"/>
      <c r="G281" s="25" t="str">
        <f>IF(LEFT(Sheet1!K282,2)="0x",Sheet1!K281,IF(AND(Sheet1!L281="",Sheet1!L280=""),"",G280))</f>
        <v/>
      </c>
      <c r="H281" s="81"/>
      <c r="I281" s="43" t="str">
        <f t="shared" si="21"/>
        <v/>
      </c>
      <c r="J281" s="29" t="str">
        <f t="shared" ref="J281:J344" si="24">IF(I281="","",INDEX(G:G,I281))</f>
        <v/>
      </c>
      <c r="K281" s="24" t="str">
        <f>IF(Sheet1!L281="","",IF(Sheet1!L281&gt;0,ROW(),""))</f>
        <v/>
      </c>
      <c r="L281" s="24" t="str">
        <f t="shared" ca="1" si="22"/>
        <v/>
      </c>
      <c r="M281" s="47" t="str">
        <f t="shared" ca="1" si="23"/>
        <v/>
      </c>
      <c r="N281" s="48" t="str">
        <f>IF(LEFT(Sheet1!K281,2)="0x",Sheet1!K281,IF(AND(Sheet1!L281="",Sheet1!L280=""),"",N280))</f>
        <v/>
      </c>
      <c r="O281" s="46">
        <f>IF(Sheet1!L281="",0,IF(Sheet1!O281&lt;TIME(7,39,0)+Sheet1!$E$3/24,1,0))</f>
        <v>0</v>
      </c>
      <c r="P281" s="46" t="str">
        <f ca="1">IF(AND(Sheet1!L281&lt;0, Sheet1!$C$21&gt;R281,OR(Sheet1!$C$21&lt;=R282,Sheet1!L282="")),   -1*Sheet1!L281,"")</f>
        <v/>
      </c>
    </row>
    <row r="282" spans="1:16" ht="15.75" x14ac:dyDescent="0.25">
      <c r="A282" s="456" t="str">
        <f>IF(AND(R282&lt;&gt;"",R281&lt;&gt;""),(-Sheet1!L282/Sheet1!L281)^(360/(R282-R281-1))-1,"")</f>
        <v/>
      </c>
      <c r="B282" s="41" t="str">
        <f ca="1">IF(AND(Sheet1!L282&lt;0, Sheet1!$C$21&gt;R282+1,OR(Sheet1!$C$21&lt;=R283,Sheet1!L283="")),   -1*Sheet1!L282,"")</f>
        <v/>
      </c>
      <c r="C282" s="42">
        <f ca="1">IF(Sheet3!$B$5="",0,    IF(E282&lt;1,0,  IF(B282="","",     IF(OR(Sheet3!$B$6=0,INDIRECT(ADDRESS(ROW(),Sheet3!$B$3+16))="" ),D282/E282,    IF(E282&lt;0,0,    IF(OR( INDIRECT(ADDRESS(8,Sheet3!$B$3+16))="",INDIRECT(ADDRESS(ROW(),Sheet3!$B$3+17))=""),        (INDIRECT(ADDRESS(ROW(),Sheet3!$B$3+16))+B282)*Sheet3!$Q$4,         INDIRECT(ADDRESS(ROW(),Sheet3!$B$3+17))-INDIRECT(ADDRESS(ROW(),Sheet3!$B$3+16))))))))</f>
        <v>0</v>
      </c>
      <c r="D282" s="39">
        <f ca="1">IF(Sheet3!$B$5="",0,IF(B282="","",IF(E282&lt;1,0,   IF(INDIRECT(ADDRESS(ROW(), Sheet3!$B$3+17))="",        INDIRECT(ADDRESS(ROW(), Sheet3!$B$3+16))*  (1+Sheet3!$Q$4)   +B282*Sheet3!$Q$4,       INDIRECT(ADDRESS(ROW(), Sheet3!$B$3+17))))))</f>
        <v>0</v>
      </c>
      <c r="E282" s="40">
        <f ca="1">IF(AND(Sheet1!L282&lt;0,  Sheet1!$C$21&gt;R282),    IF(OR(Sheet1!$C$21&lt;=R283,  Sheet1!L283=""),       IF(AND(MOD(NOW(),1)&lt;TIME(9,39,0),Sheet1!$C$22=TODAY()),    Sheet1!$C$21-R282,     Sheet1!$C$21-R282-1),               R283-R282-1),    0)</f>
        <v>0</v>
      </c>
      <c r="F282" s="30"/>
      <c r="G282" s="25" t="str">
        <f>IF(LEFT(Sheet1!K283,2)="0x",Sheet1!K282,IF(AND(Sheet1!L282="",Sheet1!L281=""),"",G281))</f>
        <v/>
      </c>
      <c r="H282" s="81"/>
      <c r="I282" s="43" t="str">
        <f t="shared" si="21"/>
        <v/>
      </c>
      <c r="J282" s="29" t="str">
        <f t="shared" si="24"/>
        <v/>
      </c>
      <c r="K282" s="24" t="str">
        <f>IF(Sheet1!L282="","",IF(Sheet1!L282&gt;0,ROW(),""))</f>
        <v/>
      </c>
      <c r="L282" s="24" t="str">
        <f t="shared" ca="1" si="22"/>
        <v/>
      </c>
      <c r="M282" s="47" t="str">
        <f t="shared" ca="1" si="23"/>
        <v/>
      </c>
      <c r="N282" s="48" t="str">
        <f>IF(LEFT(Sheet1!K282,2)="0x",Sheet1!K282,IF(AND(Sheet1!L282="",Sheet1!L281=""),"",N281))</f>
        <v/>
      </c>
      <c r="O282" s="46">
        <f>IF(Sheet1!L282="",0,IF(Sheet1!O282&lt;TIME(7,39,0)+Sheet1!$E$3/24,1,0))</f>
        <v>0</v>
      </c>
      <c r="P282" s="46" t="str">
        <f ca="1">IF(AND(Sheet1!L282&lt;0, Sheet1!$C$21&gt;R282,OR(Sheet1!$C$21&lt;=R283,Sheet1!L283="")),   -1*Sheet1!L282,"")</f>
        <v/>
      </c>
    </row>
    <row r="283" spans="1:16" ht="15.75" x14ac:dyDescent="0.25">
      <c r="A283" s="456" t="str">
        <f>IF(AND(R283&lt;&gt;"",R282&lt;&gt;""),(-Sheet1!L283/Sheet1!L282)^(360/(R283-R282-1))-1,"")</f>
        <v/>
      </c>
      <c r="B283" s="41" t="str">
        <f ca="1">IF(AND(Sheet1!L283&lt;0, Sheet1!$C$21&gt;R283+1,OR(Sheet1!$C$21&lt;=R284,Sheet1!L284="")),   -1*Sheet1!L283,"")</f>
        <v/>
      </c>
      <c r="C283" s="42">
        <f ca="1">IF(Sheet3!$B$5="",0,    IF(E283&lt;1,0,  IF(B283="","",     IF(OR(Sheet3!$B$6=0,INDIRECT(ADDRESS(ROW(),Sheet3!$B$3+16))="" ),D283/E283,    IF(E283&lt;0,0,    IF(OR( INDIRECT(ADDRESS(8,Sheet3!$B$3+16))="",INDIRECT(ADDRESS(ROW(),Sheet3!$B$3+17))=""),        (INDIRECT(ADDRESS(ROW(),Sheet3!$B$3+16))+B283)*Sheet3!$Q$4,         INDIRECT(ADDRESS(ROW(),Sheet3!$B$3+17))-INDIRECT(ADDRESS(ROW(),Sheet3!$B$3+16))))))))</f>
        <v>0</v>
      </c>
      <c r="D283" s="39">
        <f ca="1">IF(Sheet3!$B$5="",0,IF(B283="","",IF(E283&lt;1,0,   IF(INDIRECT(ADDRESS(ROW(), Sheet3!$B$3+17))="",        INDIRECT(ADDRESS(ROW(), Sheet3!$B$3+16))*  (1+Sheet3!$Q$4)   +B283*Sheet3!$Q$4,       INDIRECT(ADDRESS(ROW(), Sheet3!$B$3+17))))))</f>
        <v>0</v>
      </c>
      <c r="E283" s="40">
        <f ca="1">IF(AND(Sheet1!L283&lt;0,  Sheet1!$C$21&gt;R283),    IF(OR(Sheet1!$C$21&lt;=R284,  Sheet1!L284=""),       IF(AND(MOD(NOW(),1)&lt;TIME(9,39,0),Sheet1!$C$22=TODAY()),    Sheet1!$C$21-R283,     Sheet1!$C$21-R283-1),               R284-R283-1),    0)</f>
        <v>0</v>
      </c>
      <c r="F283" s="30"/>
      <c r="G283" s="25" t="str">
        <f>IF(LEFT(Sheet1!K284,2)="0x",Sheet1!K283,IF(AND(Sheet1!L283="",Sheet1!L282=""),"",G282))</f>
        <v/>
      </c>
      <c r="H283" s="81"/>
      <c r="I283" s="43" t="str">
        <f t="shared" si="21"/>
        <v/>
      </c>
      <c r="J283" s="29" t="str">
        <f t="shared" si="24"/>
        <v/>
      </c>
      <c r="K283" s="24" t="str">
        <f>IF(Sheet1!L283="","",IF(Sheet1!L283&gt;0,ROW(),""))</f>
        <v/>
      </c>
      <c r="L283" s="24" t="str">
        <f t="shared" ca="1" si="22"/>
        <v/>
      </c>
      <c r="M283" s="47" t="str">
        <f t="shared" ca="1" si="23"/>
        <v/>
      </c>
      <c r="N283" s="48" t="str">
        <f>IF(LEFT(Sheet1!K283,2)="0x",Sheet1!K283,IF(AND(Sheet1!L283="",Sheet1!L282=""),"",N282))</f>
        <v/>
      </c>
      <c r="O283" s="46">
        <f>IF(Sheet1!L283="",0,IF(Sheet1!O283&lt;TIME(7,39,0)+Sheet1!$E$3/24,1,0))</f>
        <v>0</v>
      </c>
      <c r="P283" s="46" t="str">
        <f ca="1">IF(AND(Sheet1!L283&lt;0, Sheet1!$C$21&gt;R283,OR(Sheet1!$C$21&lt;=R284,Sheet1!L284="")),   -1*Sheet1!L283,"")</f>
        <v/>
      </c>
    </row>
    <row r="284" spans="1:16" ht="15.75" x14ac:dyDescent="0.25">
      <c r="A284" s="456" t="str">
        <f>IF(AND(R284&lt;&gt;"",R283&lt;&gt;""),(-Sheet1!L284/Sheet1!L283)^(360/(R284-R283-1))-1,"")</f>
        <v/>
      </c>
      <c r="B284" s="41" t="str">
        <f ca="1">IF(AND(Sheet1!L284&lt;0, Sheet1!$C$21&gt;R284+1,OR(Sheet1!$C$21&lt;=R285,Sheet1!L285="")),   -1*Sheet1!L284,"")</f>
        <v/>
      </c>
      <c r="C284" s="42">
        <f ca="1">IF(Sheet3!$B$5="",0,    IF(E284&lt;1,0,  IF(B284="","",     IF(OR(Sheet3!$B$6=0,INDIRECT(ADDRESS(ROW(),Sheet3!$B$3+16))="" ),D284/E284,    IF(E284&lt;0,0,    IF(OR( INDIRECT(ADDRESS(8,Sheet3!$B$3+16))="",INDIRECT(ADDRESS(ROW(),Sheet3!$B$3+17))=""),        (INDIRECT(ADDRESS(ROW(),Sheet3!$B$3+16))+B284)*Sheet3!$Q$4,         INDIRECT(ADDRESS(ROW(),Sheet3!$B$3+17))-INDIRECT(ADDRESS(ROW(),Sheet3!$B$3+16))))))))</f>
        <v>0</v>
      </c>
      <c r="D284" s="39">
        <f ca="1">IF(Sheet3!$B$5="",0,IF(B284="","",IF(E284&lt;1,0,   IF(INDIRECT(ADDRESS(ROW(), Sheet3!$B$3+17))="",        INDIRECT(ADDRESS(ROW(), Sheet3!$B$3+16))*  (1+Sheet3!$Q$4)   +B284*Sheet3!$Q$4,       INDIRECT(ADDRESS(ROW(), Sheet3!$B$3+17))))))</f>
        <v>0</v>
      </c>
      <c r="E284" s="40">
        <f ca="1">IF(AND(Sheet1!L284&lt;0,  Sheet1!$C$21&gt;R284),    IF(OR(Sheet1!$C$21&lt;=R285,  Sheet1!L285=""),       IF(AND(MOD(NOW(),1)&lt;TIME(9,39,0),Sheet1!$C$22=TODAY()),    Sheet1!$C$21-R284,     Sheet1!$C$21-R284-1),               R285-R284-1),    0)</f>
        <v>0</v>
      </c>
      <c r="F284" s="30"/>
      <c r="G284" s="25" t="str">
        <f>IF(LEFT(Sheet1!K285,2)="0x",Sheet1!K284,IF(AND(Sheet1!L284="",Sheet1!L283=""),"",G283))</f>
        <v/>
      </c>
      <c r="H284" s="81"/>
      <c r="I284" s="43" t="str">
        <f t="shared" si="21"/>
        <v/>
      </c>
      <c r="J284" s="29" t="str">
        <f t="shared" si="24"/>
        <v/>
      </c>
      <c r="K284" s="24" t="str">
        <f>IF(Sheet1!L284="","",IF(Sheet1!L284&gt;0,ROW(),""))</f>
        <v/>
      </c>
      <c r="L284" s="24" t="str">
        <f t="shared" ca="1" si="22"/>
        <v/>
      </c>
      <c r="M284" s="47" t="str">
        <f t="shared" ca="1" si="23"/>
        <v/>
      </c>
      <c r="N284" s="48" t="str">
        <f>IF(LEFT(Sheet1!K284,2)="0x",Sheet1!K284,IF(AND(Sheet1!L284="",Sheet1!L283=""),"",N283))</f>
        <v/>
      </c>
      <c r="O284" s="46">
        <f>IF(Sheet1!L284="",0,IF(Sheet1!O284&lt;TIME(7,39,0)+Sheet1!$E$3/24,1,0))</f>
        <v>0</v>
      </c>
      <c r="P284" s="46" t="str">
        <f ca="1">IF(AND(Sheet1!L284&lt;0, Sheet1!$C$21&gt;R284,OR(Sheet1!$C$21&lt;=R285,Sheet1!L285="")),   -1*Sheet1!L284,"")</f>
        <v/>
      </c>
    </row>
    <row r="285" spans="1:16" ht="15.75" x14ac:dyDescent="0.25">
      <c r="A285" s="456" t="str">
        <f>IF(AND(R285&lt;&gt;"",R284&lt;&gt;""),(-Sheet1!L285/Sheet1!L284)^(360/(R285-R284-1))-1,"")</f>
        <v/>
      </c>
      <c r="B285" s="41" t="str">
        <f ca="1">IF(AND(Sheet1!L285&lt;0, Sheet1!$C$21&gt;R285+1,OR(Sheet1!$C$21&lt;=R286,Sheet1!L286="")),   -1*Sheet1!L285,"")</f>
        <v/>
      </c>
      <c r="C285" s="42">
        <f ca="1">IF(Sheet3!$B$5="",0,    IF(E285&lt;1,0,  IF(B285="","",     IF(OR(Sheet3!$B$6=0,INDIRECT(ADDRESS(ROW(),Sheet3!$B$3+16))="" ),D285/E285,    IF(E285&lt;0,0,    IF(OR( INDIRECT(ADDRESS(8,Sheet3!$B$3+16))="",INDIRECT(ADDRESS(ROW(),Sheet3!$B$3+17))=""),        (INDIRECT(ADDRESS(ROW(),Sheet3!$B$3+16))+B285)*Sheet3!$Q$4,         INDIRECT(ADDRESS(ROW(),Sheet3!$B$3+17))-INDIRECT(ADDRESS(ROW(),Sheet3!$B$3+16))))))))</f>
        <v>0</v>
      </c>
      <c r="D285" s="39">
        <f ca="1">IF(Sheet3!$B$5="",0,IF(B285="","",IF(E285&lt;1,0,   IF(INDIRECT(ADDRESS(ROW(), Sheet3!$B$3+17))="",        INDIRECT(ADDRESS(ROW(), Sheet3!$B$3+16))*  (1+Sheet3!$Q$4)   +B285*Sheet3!$Q$4,       INDIRECT(ADDRESS(ROW(), Sheet3!$B$3+17))))))</f>
        <v>0</v>
      </c>
      <c r="E285" s="40">
        <f ca="1">IF(AND(Sheet1!L285&lt;0,  Sheet1!$C$21&gt;R285),    IF(OR(Sheet1!$C$21&lt;=R286,  Sheet1!L286=""),       IF(AND(MOD(NOW(),1)&lt;TIME(9,39,0),Sheet1!$C$22=TODAY()),    Sheet1!$C$21-R285,     Sheet1!$C$21-R285-1),               R286-R285-1),    0)</f>
        <v>0</v>
      </c>
      <c r="F285" s="30"/>
      <c r="G285" s="25" t="str">
        <f>IF(LEFT(Sheet1!K286,2)="0x",Sheet1!K285,IF(AND(Sheet1!L285="",Sheet1!L284=""),"",G284))</f>
        <v/>
      </c>
      <c r="H285" s="81"/>
      <c r="I285" s="43" t="str">
        <f t="shared" si="21"/>
        <v/>
      </c>
      <c r="J285" s="29" t="str">
        <f t="shared" si="24"/>
        <v/>
      </c>
      <c r="K285" s="24" t="str">
        <f>IF(Sheet1!L285="","",IF(Sheet1!L285&gt;0,ROW(),""))</f>
        <v/>
      </c>
      <c r="L285" s="24" t="str">
        <f t="shared" ca="1" si="22"/>
        <v/>
      </c>
      <c r="M285" s="47" t="str">
        <f t="shared" ca="1" si="23"/>
        <v/>
      </c>
      <c r="N285" s="48" t="str">
        <f>IF(LEFT(Sheet1!K285,2)="0x",Sheet1!K285,IF(AND(Sheet1!L285="",Sheet1!L284=""),"",N284))</f>
        <v/>
      </c>
      <c r="O285" s="46">
        <f>IF(Sheet1!L285="",0,IF(Sheet1!O285&lt;TIME(7,39,0)+Sheet1!$E$3/24,1,0))</f>
        <v>0</v>
      </c>
      <c r="P285" s="46" t="str">
        <f ca="1">IF(AND(Sheet1!L285&lt;0, Sheet1!$C$21&gt;R285,OR(Sheet1!$C$21&lt;=R286,Sheet1!L286="")),   -1*Sheet1!L285,"")</f>
        <v/>
      </c>
    </row>
    <row r="286" spans="1:16" ht="15.75" x14ac:dyDescent="0.25">
      <c r="A286" s="456" t="str">
        <f>IF(AND(R286&lt;&gt;"",R285&lt;&gt;""),(-Sheet1!L286/Sheet1!L285)^(360/(R286-R285-1))-1,"")</f>
        <v/>
      </c>
      <c r="B286" s="41" t="str">
        <f ca="1">IF(AND(Sheet1!L286&lt;0, Sheet1!$C$21&gt;R286+1,OR(Sheet1!$C$21&lt;=R287,Sheet1!L287="")),   -1*Sheet1!L286,"")</f>
        <v/>
      </c>
      <c r="C286" s="42">
        <f ca="1">IF(Sheet3!$B$5="",0,    IF(E286&lt;1,0,  IF(B286="","",     IF(OR(Sheet3!$B$6=0,INDIRECT(ADDRESS(ROW(),Sheet3!$B$3+16))="" ),D286/E286,    IF(E286&lt;0,0,    IF(OR( INDIRECT(ADDRESS(8,Sheet3!$B$3+16))="",INDIRECT(ADDRESS(ROW(),Sheet3!$B$3+17))=""),        (INDIRECT(ADDRESS(ROW(),Sheet3!$B$3+16))+B286)*Sheet3!$Q$4,         INDIRECT(ADDRESS(ROW(),Sheet3!$B$3+17))-INDIRECT(ADDRESS(ROW(),Sheet3!$B$3+16))))))))</f>
        <v>0</v>
      </c>
      <c r="D286" s="39">
        <f ca="1">IF(Sheet3!$B$5="",0,IF(B286="","",IF(E286&lt;1,0,   IF(INDIRECT(ADDRESS(ROW(), Sheet3!$B$3+17))="",        INDIRECT(ADDRESS(ROW(), Sheet3!$B$3+16))*  (1+Sheet3!$Q$4)   +B286*Sheet3!$Q$4,       INDIRECT(ADDRESS(ROW(), Sheet3!$B$3+17))))))</f>
        <v>0</v>
      </c>
      <c r="E286" s="40">
        <f ca="1">IF(AND(Sheet1!L286&lt;0,  Sheet1!$C$21&gt;R286),    IF(OR(Sheet1!$C$21&lt;=R287,  Sheet1!L287=""),       IF(AND(MOD(NOW(),1)&lt;TIME(9,39,0),Sheet1!$C$22=TODAY()),    Sheet1!$C$21-R286,     Sheet1!$C$21-R286-1),               R287-R286-1),    0)</f>
        <v>0</v>
      </c>
      <c r="F286" s="30"/>
      <c r="G286" s="25" t="str">
        <f>IF(LEFT(Sheet1!K287,2)="0x",Sheet1!K286,IF(AND(Sheet1!L286="",Sheet1!L285=""),"",G285))</f>
        <v/>
      </c>
      <c r="H286" s="81"/>
      <c r="I286" s="43" t="str">
        <f t="shared" si="21"/>
        <v/>
      </c>
      <c r="J286" s="29" t="str">
        <f t="shared" si="24"/>
        <v/>
      </c>
      <c r="K286" s="24" t="str">
        <f>IF(Sheet1!L286="","",IF(Sheet1!L286&gt;0,ROW(),""))</f>
        <v/>
      </c>
      <c r="L286" s="24" t="str">
        <f t="shared" ca="1" si="22"/>
        <v/>
      </c>
      <c r="M286" s="47" t="str">
        <f t="shared" ca="1" si="23"/>
        <v/>
      </c>
      <c r="N286" s="48" t="str">
        <f>IF(LEFT(Sheet1!K286,2)="0x",Sheet1!K286,IF(AND(Sheet1!L286="",Sheet1!L285=""),"",N285))</f>
        <v/>
      </c>
      <c r="O286" s="46">
        <f>IF(Sheet1!L286="",0,IF(Sheet1!O286&lt;TIME(7,39,0)+Sheet1!$E$3/24,1,0))</f>
        <v>0</v>
      </c>
      <c r="P286" s="46" t="str">
        <f ca="1">IF(AND(Sheet1!L286&lt;0, Sheet1!$C$21&gt;R286,OR(Sheet1!$C$21&lt;=R287,Sheet1!L287="")),   -1*Sheet1!L286,"")</f>
        <v/>
      </c>
    </row>
    <row r="287" spans="1:16" ht="15.75" x14ac:dyDescent="0.25">
      <c r="A287" s="456" t="str">
        <f>IF(AND(R287&lt;&gt;"",R286&lt;&gt;""),(-Sheet1!L287/Sheet1!L286)^(360/(R287-R286-1))-1,"")</f>
        <v/>
      </c>
      <c r="B287" s="41" t="str">
        <f ca="1">IF(AND(Sheet1!L287&lt;0, Sheet1!$C$21&gt;R287+1,OR(Sheet1!$C$21&lt;=R288,Sheet1!L288="")),   -1*Sheet1!L287,"")</f>
        <v/>
      </c>
      <c r="C287" s="42">
        <f ca="1">IF(Sheet3!$B$5="",0,    IF(E287&lt;1,0,  IF(B287="","",     IF(OR(Sheet3!$B$6=0,INDIRECT(ADDRESS(ROW(),Sheet3!$B$3+16))="" ),D287/E287,    IF(E287&lt;0,0,    IF(OR( INDIRECT(ADDRESS(8,Sheet3!$B$3+16))="",INDIRECT(ADDRESS(ROW(),Sheet3!$B$3+17))=""),        (INDIRECT(ADDRESS(ROW(),Sheet3!$B$3+16))+B287)*Sheet3!$Q$4,         INDIRECT(ADDRESS(ROW(),Sheet3!$B$3+17))-INDIRECT(ADDRESS(ROW(),Sheet3!$B$3+16))))))))</f>
        <v>0</v>
      </c>
      <c r="D287" s="39">
        <f ca="1">IF(Sheet3!$B$5="",0,IF(B287="","",IF(E287&lt;1,0,   IF(INDIRECT(ADDRESS(ROW(), Sheet3!$B$3+17))="",        INDIRECT(ADDRESS(ROW(), Sheet3!$B$3+16))*  (1+Sheet3!$Q$4)   +B287*Sheet3!$Q$4,       INDIRECT(ADDRESS(ROW(), Sheet3!$B$3+17))))))</f>
        <v>0</v>
      </c>
      <c r="E287" s="40">
        <f ca="1">IF(AND(Sheet1!L287&lt;0,  Sheet1!$C$21&gt;R287),    IF(OR(Sheet1!$C$21&lt;=R288,  Sheet1!L288=""),       IF(AND(MOD(NOW(),1)&lt;TIME(9,39,0),Sheet1!$C$22=TODAY()),    Sheet1!$C$21-R287,     Sheet1!$C$21-R287-1),               R288-R287-1),    0)</f>
        <v>0</v>
      </c>
      <c r="F287" s="30"/>
      <c r="G287" s="25" t="str">
        <f>IF(LEFT(Sheet1!K288,2)="0x",Sheet1!K287,IF(AND(Sheet1!L287="",Sheet1!L286=""),"",G286))</f>
        <v/>
      </c>
      <c r="H287" s="81"/>
      <c r="I287" s="43" t="str">
        <f t="shared" si="21"/>
        <v/>
      </c>
      <c r="J287" s="29" t="str">
        <f t="shared" si="24"/>
        <v/>
      </c>
      <c r="K287" s="24" t="str">
        <f>IF(Sheet1!L287="","",IF(Sheet1!L287&gt;0,ROW(),""))</f>
        <v/>
      </c>
      <c r="L287" s="24" t="str">
        <f t="shared" ca="1" si="22"/>
        <v/>
      </c>
      <c r="M287" s="47" t="str">
        <f t="shared" ca="1" si="23"/>
        <v/>
      </c>
      <c r="N287" s="48" t="str">
        <f>IF(LEFT(Sheet1!K287,2)="0x",Sheet1!K287,IF(AND(Sheet1!L287="",Sheet1!L286=""),"",N286))</f>
        <v/>
      </c>
      <c r="O287" s="46">
        <f>IF(Sheet1!L287="",0,IF(Sheet1!O287&lt;TIME(7,39,0)+Sheet1!$E$3/24,1,0))</f>
        <v>0</v>
      </c>
      <c r="P287" s="46" t="str">
        <f ca="1">IF(AND(Sheet1!L287&lt;0, Sheet1!$C$21&gt;R287,OR(Sheet1!$C$21&lt;=R288,Sheet1!L288="")),   -1*Sheet1!L287,"")</f>
        <v/>
      </c>
    </row>
    <row r="288" spans="1:16" ht="15.75" x14ac:dyDescent="0.25">
      <c r="A288" s="456" t="str">
        <f>IF(AND(R288&lt;&gt;"",R287&lt;&gt;""),(-Sheet1!L288/Sheet1!L287)^(360/(R288-R287-1))-1,"")</f>
        <v/>
      </c>
      <c r="B288" s="41" t="str">
        <f ca="1">IF(AND(Sheet1!L288&lt;0, Sheet1!$C$21&gt;R288+1,OR(Sheet1!$C$21&lt;=R289,Sheet1!L289="")),   -1*Sheet1!L288,"")</f>
        <v/>
      </c>
      <c r="C288" s="42">
        <f ca="1">IF(Sheet3!$B$5="",0,    IF(E288&lt;1,0,  IF(B288="","",     IF(OR(Sheet3!$B$6=0,INDIRECT(ADDRESS(ROW(),Sheet3!$B$3+16))="" ),D288/E288,    IF(E288&lt;0,0,    IF(OR( INDIRECT(ADDRESS(8,Sheet3!$B$3+16))="",INDIRECT(ADDRESS(ROW(),Sheet3!$B$3+17))=""),        (INDIRECT(ADDRESS(ROW(),Sheet3!$B$3+16))+B288)*Sheet3!$Q$4,         INDIRECT(ADDRESS(ROW(),Sheet3!$B$3+17))-INDIRECT(ADDRESS(ROW(),Sheet3!$B$3+16))))))))</f>
        <v>0</v>
      </c>
      <c r="D288" s="39">
        <f ca="1">IF(Sheet3!$B$5="",0,IF(B288="","",IF(E288&lt;1,0,   IF(INDIRECT(ADDRESS(ROW(), Sheet3!$B$3+17))="",        INDIRECT(ADDRESS(ROW(), Sheet3!$B$3+16))*  (1+Sheet3!$Q$4)   +B288*Sheet3!$Q$4,       INDIRECT(ADDRESS(ROW(), Sheet3!$B$3+17))))))</f>
        <v>0</v>
      </c>
      <c r="E288" s="40">
        <f ca="1">IF(AND(Sheet1!L288&lt;0,  Sheet1!$C$21&gt;R288),    IF(OR(Sheet1!$C$21&lt;=R289,  Sheet1!L289=""),       IF(AND(MOD(NOW(),1)&lt;TIME(9,39,0),Sheet1!$C$22=TODAY()),    Sheet1!$C$21-R288,     Sheet1!$C$21-R288-1),               R289-R288-1),    0)</f>
        <v>0</v>
      </c>
      <c r="F288" s="30"/>
      <c r="G288" s="25" t="str">
        <f>IF(LEFT(Sheet1!K289,2)="0x",Sheet1!K288,IF(AND(Sheet1!L288="",Sheet1!L287=""),"",G287))</f>
        <v/>
      </c>
      <c r="H288" s="81"/>
      <c r="I288" s="43" t="str">
        <f t="shared" si="21"/>
        <v/>
      </c>
      <c r="J288" s="29" t="str">
        <f t="shared" si="24"/>
        <v/>
      </c>
      <c r="K288" s="24" t="str">
        <f>IF(Sheet1!L288="","",IF(Sheet1!L288&gt;0,ROW(),""))</f>
        <v/>
      </c>
      <c r="L288" s="24" t="str">
        <f t="shared" ca="1" si="22"/>
        <v/>
      </c>
      <c r="M288" s="47" t="str">
        <f t="shared" ca="1" si="23"/>
        <v/>
      </c>
      <c r="N288" s="48" t="str">
        <f>IF(LEFT(Sheet1!K288,2)="0x",Sheet1!K288,IF(AND(Sheet1!L288="",Sheet1!L287=""),"",N287))</f>
        <v/>
      </c>
      <c r="O288" s="46">
        <f>IF(Sheet1!L288="",0,IF(Sheet1!O288&lt;TIME(7,39,0)+Sheet1!$E$3/24,1,0))</f>
        <v>0</v>
      </c>
      <c r="P288" s="46" t="str">
        <f ca="1">IF(AND(Sheet1!L288&lt;0, Sheet1!$C$21&gt;R288,OR(Sheet1!$C$21&lt;=R289,Sheet1!L289="")),   -1*Sheet1!L288,"")</f>
        <v/>
      </c>
    </row>
    <row r="289" spans="1:16" ht="15.75" x14ac:dyDescent="0.25">
      <c r="A289" s="456" t="str">
        <f>IF(AND(R289&lt;&gt;"",R288&lt;&gt;""),(-Sheet1!L289/Sheet1!L288)^(360/(R289-R288-1))-1,"")</f>
        <v/>
      </c>
      <c r="B289" s="41" t="str">
        <f ca="1">IF(AND(Sheet1!L289&lt;0, Sheet1!$C$21&gt;R289+1,OR(Sheet1!$C$21&lt;=R290,Sheet1!L290="")),   -1*Sheet1!L289,"")</f>
        <v/>
      </c>
      <c r="C289" s="42">
        <f ca="1">IF(Sheet3!$B$5="",0,    IF(E289&lt;1,0,  IF(B289="","",     IF(OR(Sheet3!$B$6=0,INDIRECT(ADDRESS(ROW(),Sheet3!$B$3+16))="" ),D289/E289,    IF(E289&lt;0,0,    IF(OR( INDIRECT(ADDRESS(8,Sheet3!$B$3+16))="",INDIRECT(ADDRESS(ROW(),Sheet3!$B$3+17))=""),        (INDIRECT(ADDRESS(ROW(),Sheet3!$B$3+16))+B289)*Sheet3!$Q$4,         INDIRECT(ADDRESS(ROW(),Sheet3!$B$3+17))-INDIRECT(ADDRESS(ROW(),Sheet3!$B$3+16))))))))</f>
        <v>0</v>
      </c>
      <c r="D289" s="39">
        <f ca="1">IF(Sheet3!$B$5="",0,IF(B289="","",IF(E289&lt;1,0,   IF(INDIRECT(ADDRESS(ROW(), Sheet3!$B$3+17))="",        INDIRECT(ADDRESS(ROW(), Sheet3!$B$3+16))*  (1+Sheet3!$Q$4)   +B289*Sheet3!$Q$4,       INDIRECT(ADDRESS(ROW(), Sheet3!$B$3+17))))))</f>
        <v>0</v>
      </c>
      <c r="E289" s="40">
        <f ca="1">IF(AND(Sheet1!L289&lt;0,  Sheet1!$C$21&gt;R289),    IF(OR(Sheet1!$C$21&lt;=R290,  Sheet1!L290=""),       IF(AND(MOD(NOW(),1)&lt;TIME(9,39,0),Sheet1!$C$22=TODAY()),    Sheet1!$C$21-R289,     Sheet1!$C$21-R289-1),               R290-R289-1),    0)</f>
        <v>0</v>
      </c>
      <c r="F289" s="30"/>
      <c r="G289" s="25" t="str">
        <f>IF(LEFT(Sheet1!K290,2)="0x",Sheet1!K289,IF(AND(Sheet1!L289="",Sheet1!L288=""),"",G288))</f>
        <v/>
      </c>
      <c r="H289" s="81"/>
      <c r="I289" s="43" t="str">
        <f t="shared" si="21"/>
        <v/>
      </c>
      <c r="J289" s="29" t="str">
        <f t="shared" si="24"/>
        <v/>
      </c>
      <c r="K289" s="24" t="str">
        <f>IF(Sheet1!L289="","",IF(Sheet1!L289&gt;0,ROW(),""))</f>
        <v/>
      </c>
      <c r="L289" s="24" t="str">
        <f t="shared" ca="1" si="22"/>
        <v/>
      </c>
      <c r="M289" s="47" t="str">
        <f t="shared" ca="1" si="23"/>
        <v/>
      </c>
      <c r="N289" s="48" t="str">
        <f>IF(LEFT(Sheet1!K289,2)="0x",Sheet1!K289,IF(AND(Sheet1!L289="",Sheet1!L288=""),"",N288))</f>
        <v/>
      </c>
      <c r="O289" s="46">
        <f>IF(Sheet1!L289="",0,IF(Sheet1!O289&lt;TIME(7,39,0)+Sheet1!$E$3/24,1,0))</f>
        <v>0</v>
      </c>
      <c r="P289" s="46" t="str">
        <f ca="1">IF(AND(Sheet1!L289&lt;0, Sheet1!$C$21&gt;R289,OR(Sheet1!$C$21&lt;=R290,Sheet1!L290="")),   -1*Sheet1!L289,"")</f>
        <v/>
      </c>
    </row>
    <row r="290" spans="1:16" ht="15.75" x14ac:dyDescent="0.25">
      <c r="A290" s="456" t="str">
        <f>IF(AND(R290&lt;&gt;"",R289&lt;&gt;""),(-Sheet1!L290/Sheet1!L289)^(360/(R290-R289-1))-1,"")</f>
        <v/>
      </c>
      <c r="B290" s="41" t="str">
        <f ca="1">IF(AND(Sheet1!L290&lt;0, Sheet1!$C$21&gt;R290+1,OR(Sheet1!$C$21&lt;=R291,Sheet1!L291="")),   -1*Sheet1!L290,"")</f>
        <v/>
      </c>
      <c r="C290" s="42">
        <f ca="1">IF(Sheet3!$B$5="",0,    IF(E290&lt;1,0,  IF(B290="","",     IF(OR(Sheet3!$B$6=0,INDIRECT(ADDRESS(ROW(),Sheet3!$B$3+16))="" ),D290/E290,    IF(E290&lt;0,0,    IF(OR( INDIRECT(ADDRESS(8,Sheet3!$B$3+16))="",INDIRECT(ADDRESS(ROW(),Sheet3!$B$3+17))=""),        (INDIRECT(ADDRESS(ROW(),Sheet3!$B$3+16))+B290)*Sheet3!$Q$4,         INDIRECT(ADDRESS(ROW(),Sheet3!$B$3+17))-INDIRECT(ADDRESS(ROW(),Sheet3!$B$3+16))))))))</f>
        <v>0</v>
      </c>
      <c r="D290" s="39">
        <f ca="1">IF(Sheet3!$B$5="",0,IF(B290="","",IF(E290&lt;1,0,   IF(INDIRECT(ADDRESS(ROW(), Sheet3!$B$3+17))="",        INDIRECT(ADDRESS(ROW(), Sheet3!$B$3+16))*  (1+Sheet3!$Q$4)   +B290*Sheet3!$Q$4,       INDIRECT(ADDRESS(ROW(), Sheet3!$B$3+17))))))</f>
        <v>0</v>
      </c>
      <c r="E290" s="40">
        <f ca="1">IF(AND(Sheet1!L290&lt;0,  Sheet1!$C$21&gt;R290),    IF(OR(Sheet1!$C$21&lt;=R291,  Sheet1!L291=""),       IF(AND(MOD(NOW(),1)&lt;TIME(9,39,0),Sheet1!$C$22=TODAY()),    Sheet1!$C$21-R290,     Sheet1!$C$21-R290-1),               R291-R290-1),    0)</f>
        <v>0</v>
      </c>
      <c r="F290" s="30"/>
      <c r="G290" s="25" t="str">
        <f>IF(LEFT(Sheet1!K291,2)="0x",Sheet1!K290,IF(AND(Sheet1!L290="",Sheet1!L289=""),"",G289))</f>
        <v/>
      </c>
      <c r="H290" s="81"/>
      <c r="I290" s="43" t="str">
        <f t="shared" si="21"/>
        <v/>
      </c>
      <c r="J290" s="29" t="str">
        <f t="shared" si="24"/>
        <v/>
      </c>
      <c r="K290" s="24" t="str">
        <f>IF(Sheet1!L290="","",IF(Sheet1!L290&gt;0,ROW(),""))</f>
        <v/>
      </c>
      <c r="L290" s="24" t="str">
        <f t="shared" ca="1" si="22"/>
        <v/>
      </c>
      <c r="M290" s="47" t="str">
        <f t="shared" ca="1" si="23"/>
        <v/>
      </c>
      <c r="N290" s="48" t="str">
        <f>IF(LEFT(Sheet1!K290,2)="0x",Sheet1!K290,IF(AND(Sheet1!L290="",Sheet1!L289=""),"",N289))</f>
        <v/>
      </c>
      <c r="O290" s="46">
        <f>IF(Sheet1!L290="",0,IF(Sheet1!O290&lt;TIME(7,39,0)+Sheet1!$E$3/24,1,0))</f>
        <v>0</v>
      </c>
      <c r="P290" s="46" t="str">
        <f ca="1">IF(AND(Sheet1!L290&lt;0, Sheet1!$C$21&gt;R290,OR(Sheet1!$C$21&lt;=R291,Sheet1!L291="")),   -1*Sheet1!L290,"")</f>
        <v/>
      </c>
    </row>
    <row r="291" spans="1:16" ht="15.75" x14ac:dyDescent="0.25">
      <c r="A291" s="456" t="str">
        <f>IF(AND(R291&lt;&gt;"",R290&lt;&gt;""),(-Sheet1!L291/Sheet1!L290)^(360/(R291-R290-1))-1,"")</f>
        <v/>
      </c>
      <c r="B291" s="41" t="str">
        <f ca="1">IF(AND(Sheet1!L291&lt;0, Sheet1!$C$21&gt;R291+1,OR(Sheet1!$C$21&lt;=R292,Sheet1!L292="")),   -1*Sheet1!L291,"")</f>
        <v/>
      </c>
      <c r="C291" s="42">
        <f ca="1">IF(Sheet3!$B$5="",0,    IF(E291&lt;1,0,  IF(B291="","",     IF(OR(Sheet3!$B$6=0,INDIRECT(ADDRESS(ROW(),Sheet3!$B$3+16))="" ),D291/E291,    IF(E291&lt;0,0,    IF(OR( INDIRECT(ADDRESS(8,Sheet3!$B$3+16))="",INDIRECT(ADDRESS(ROW(),Sheet3!$B$3+17))=""),        (INDIRECT(ADDRESS(ROW(),Sheet3!$B$3+16))+B291)*Sheet3!$Q$4,         INDIRECT(ADDRESS(ROW(),Sheet3!$B$3+17))-INDIRECT(ADDRESS(ROW(),Sheet3!$B$3+16))))))))</f>
        <v>0</v>
      </c>
      <c r="D291" s="39">
        <f ca="1">IF(Sheet3!$B$5="",0,IF(B291="","",IF(E291&lt;1,0,   IF(INDIRECT(ADDRESS(ROW(), Sheet3!$B$3+17))="",        INDIRECT(ADDRESS(ROW(), Sheet3!$B$3+16))*  (1+Sheet3!$Q$4)   +B291*Sheet3!$Q$4,       INDIRECT(ADDRESS(ROW(), Sheet3!$B$3+17))))))</f>
        <v>0</v>
      </c>
      <c r="E291" s="40">
        <f ca="1">IF(AND(Sheet1!L291&lt;0,  Sheet1!$C$21&gt;R291),    IF(OR(Sheet1!$C$21&lt;=R292,  Sheet1!L292=""),       IF(AND(MOD(NOW(),1)&lt;TIME(9,39,0),Sheet1!$C$22=TODAY()),    Sheet1!$C$21-R291,     Sheet1!$C$21-R291-1),               R292-R291-1),    0)</f>
        <v>0</v>
      </c>
      <c r="F291" s="30"/>
      <c r="G291" s="25" t="str">
        <f>IF(LEFT(Sheet1!K292,2)="0x",Sheet1!K291,IF(AND(Sheet1!L291="",Sheet1!L290=""),"",G290))</f>
        <v/>
      </c>
      <c r="H291" s="81"/>
      <c r="I291" s="43" t="str">
        <f t="shared" si="21"/>
        <v/>
      </c>
      <c r="J291" s="29" t="str">
        <f t="shared" si="24"/>
        <v/>
      </c>
      <c r="K291" s="24" t="str">
        <f>IF(Sheet1!L291="","",IF(Sheet1!L291&gt;0,ROW(),""))</f>
        <v/>
      </c>
      <c r="L291" s="24" t="str">
        <f t="shared" ca="1" si="22"/>
        <v/>
      </c>
      <c r="M291" s="47" t="str">
        <f t="shared" ca="1" si="23"/>
        <v/>
      </c>
      <c r="N291" s="48" t="str">
        <f>IF(LEFT(Sheet1!K291,2)="0x",Sheet1!K291,IF(AND(Sheet1!L291="",Sheet1!L290=""),"",N290))</f>
        <v/>
      </c>
      <c r="O291" s="46">
        <f>IF(Sheet1!L291="",0,IF(Sheet1!O291&lt;TIME(7,39,0)+Sheet1!$E$3/24,1,0))</f>
        <v>0</v>
      </c>
      <c r="P291" s="46" t="str">
        <f ca="1">IF(AND(Sheet1!L291&lt;0, Sheet1!$C$21&gt;R291,OR(Sheet1!$C$21&lt;=R292,Sheet1!L292="")),   -1*Sheet1!L291,"")</f>
        <v/>
      </c>
    </row>
    <row r="292" spans="1:16" ht="15.75" x14ac:dyDescent="0.25">
      <c r="A292" s="456" t="str">
        <f>IF(AND(R292&lt;&gt;"",R291&lt;&gt;""),(-Sheet1!L292/Sheet1!L291)^(360/(R292-R291-1))-1,"")</f>
        <v/>
      </c>
      <c r="B292" s="41" t="str">
        <f ca="1">IF(AND(Sheet1!L292&lt;0, Sheet1!$C$21&gt;R292+1,OR(Sheet1!$C$21&lt;=R293,Sheet1!L293="")),   -1*Sheet1!L292,"")</f>
        <v/>
      </c>
      <c r="C292" s="42">
        <f ca="1">IF(Sheet3!$B$5="",0,    IF(E292&lt;1,0,  IF(B292="","",     IF(OR(Sheet3!$B$6=0,INDIRECT(ADDRESS(ROW(),Sheet3!$B$3+16))="" ),D292/E292,    IF(E292&lt;0,0,    IF(OR( INDIRECT(ADDRESS(8,Sheet3!$B$3+16))="",INDIRECT(ADDRESS(ROW(),Sheet3!$B$3+17))=""),        (INDIRECT(ADDRESS(ROW(),Sheet3!$B$3+16))+B292)*Sheet3!$Q$4,         INDIRECT(ADDRESS(ROW(),Sheet3!$B$3+17))-INDIRECT(ADDRESS(ROW(),Sheet3!$B$3+16))))))))</f>
        <v>0</v>
      </c>
      <c r="D292" s="39">
        <f ca="1">IF(Sheet3!$B$5="",0,IF(B292="","",IF(E292&lt;1,0,   IF(INDIRECT(ADDRESS(ROW(), Sheet3!$B$3+17))="",        INDIRECT(ADDRESS(ROW(), Sheet3!$B$3+16))*  (1+Sheet3!$Q$4)   +B292*Sheet3!$Q$4,       INDIRECT(ADDRESS(ROW(), Sheet3!$B$3+17))))))</f>
        <v>0</v>
      </c>
      <c r="E292" s="40">
        <f ca="1">IF(AND(Sheet1!L292&lt;0,  Sheet1!$C$21&gt;R292),    IF(OR(Sheet1!$C$21&lt;=R293,  Sheet1!L293=""),       IF(AND(MOD(NOW(),1)&lt;TIME(9,39,0),Sheet1!$C$22=TODAY()),    Sheet1!$C$21-R292,     Sheet1!$C$21-R292-1),               R293-R292-1),    0)</f>
        <v>0</v>
      </c>
      <c r="F292" s="30"/>
      <c r="G292" s="25" t="str">
        <f>IF(LEFT(Sheet1!K293,2)="0x",Sheet1!K292,IF(AND(Sheet1!L292="",Sheet1!L291=""),"",G291))</f>
        <v/>
      </c>
      <c r="H292" s="81"/>
      <c r="I292" s="43" t="str">
        <f t="shared" si="21"/>
        <v/>
      </c>
      <c r="J292" s="29" t="str">
        <f t="shared" si="24"/>
        <v/>
      </c>
      <c r="K292" s="24" t="str">
        <f>IF(Sheet1!L292="","",IF(Sheet1!L292&gt;0,ROW(),""))</f>
        <v/>
      </c>
      <c r="L292" s="24" t="str">
        <f t="shared" ca="1" si="22"/>
        <v/>
      </c>
      <c r="M292" s="47" t="str">
        <f t="shared" ca="1" si="23"/>
        <v/>
      </c>
      <c r="N292" s="48" t="str">
        <f>IF(LEFT(Sheet1!K292,2)="0x",Sheet1!K292,IF(AND(Sheet1!L292="",Sheet1!L291=""),"",N291))</f>
        <v/>
      </c>
      <c r="O292" s="46">
        <f>IF(Sheet1!L292="",0,IF(Sheet1!O292&lt;TIME(7,39,0)+Sheet1!$E$3/24,1,0))</f>
        <v>0</v>
      </c>
      <c r="P292" s="46" t="str">
        <f ca="1">IF(AND(Sheet1!L292&lt;0, Sheet1!$C$21&gt;R292,OR(Sheet1!$C$21&lt;=R293,Sheet1!L293="")),   -1*Sheet1!L292,"")</f>
        <v/>
      </c>
    </row>
    <row r="293" spans="1:16" ht="15.75" x14ac:dyDescent="0.25">
      <c r="A293" s="456" t="str">
        <f>IF(AND(R293&lt;&gt;"",R292&lt;&gt;""),(-Sheet1!L293/Sheet1!L292)^(360/(R293-R292-1))-1,"")</f>
        <v/>
      </c>
      <c r="B293" s="41" t="str">
        <f ca="1">IF(AND(Sheet1!L293&lt;0, Sheet1!$C$21&gt;R293+1,OR(Sheet1!$C$21&lt;=R294,Sheet1!L294="")),   -1*Sheet1!L293,"")</f>
        <v/>
      </c>
      <c r="C293" s="42">
        <f ca="1">IF(Sheet3!$B$5="",0,    IF(E293&lt;1,0,  IF(B293="","",     IF(OR(Sheet3!$B$6=0,INDIRECT(ADDRESS(ROW(),Sheet3!$B$3+16))="" ),D293/E293,    IF(E293&lt;0,0,    IF(OR( INDIRECT(ADDRESS(8,Sheet3!$B$3+16))="",INDIRECT(ADDRESS(ROW(),Sheet3!$B$3+17))=""),        (INDIRECT(ADDRESS(ROW(),Sheet3!$B$3+16))+B293)*Sheet3!$Q$4,         INDIRECT(ADDRESS(ROW(),Sheet3!$B$3+17))-INDIRECT(ADDRESS(ROW(),Sheet3!$B$3+16))))))))</f>
        <v>0</v>
      </c>
      <c r="D293" s="39">
        <f ca="1">IF(Sheet3!$B$5="",0,IF(B293="","",IF(E293&lt;1,0,   IF(INDIRECT(ADDRESS(ROW(), Sheet3!$B$3+17))="",        INDIRECT(ADDRESS(ROW(), Sheet3!$B$3+16))*  (1+Sheet3!$Q$4)   +B293*Sheet3!$Q$4,       INDIRECT(ADDRESS(ROW(), Sheet3!$B$3+17))))))</f>
        <v>0</v>
      </c>
      <c r="E293" s="40">
        <f ca="1">IF(AND(Sheet1!L293&lt;0,  Sheet1!$C$21&gt;R293),    IF(OR(Sheet1!$C$21&lt;=R294,  Sheet1!L294=""),       IF(AND(MOD(NOW(),1)&lt;TIME(9,39,0),Sheet1!$C$22=TODAY()),    Sheet1!$C$21-R293,     Sheet1!$C$21-R293-1),               R294-R293-1),    0)</f>
        <v>0</v>
      </c>
      <c r="F293" s="30"/>
      <c r="G293" s="25" t="str">
        <f>IF(LEFT(Sheet1!K294,2)="0x",Sheet1!K293,IF(AND(Sheet1!L293="",Sheet1!L292=""),"",G292))</f>
        <v/>
      </c>
      <c r="H293" s="81"/>
      <c r="I293" s="43" t="str">
        <f t="shared" si="21"/>
        <v/>
      </c>
      <c r="J293" s="29" t="str">
        <f t="shared" si="24"/>
        <v/>
      </c>
      <c r="K293" s="24" t="str">
        <f>IF(Sheet1!L293="","",IF(Sheet1!L293&gt;0,ROW(),""))</f>
        <v/>
      </c>
      <c r="L293" s="24" t="str">
        <f t="shared" ca="1" si="22"/>
        <v/>
      </c>
      <c r="M293" s="47" t="str">
        <f t="shared" ca="1" si="23"/>
        <v/>
      </c>
      <c r="N293" s="48" t="str">
        <f>IF(LEFT(Sheet1!K293,2)="0x",Sheet1!K293,IF(AND(Sheet1!L293="",Sheet1!L292=""),"",N292))</f>
        <v/>
      </c>
      <c r="O293" s="46">
        <f>IF(Sheet1!L293="",0,IF(Sheet1!O293&lt;TIME(7,39,0)+Sheet1!$E$3/24,1,0))</f>
        <v>0</v>
      </c>
      <c r="P293" s="46" t="str">
        <f ca="1">IF(AND(Sheet1!L293&lt;0, Sheet1!$C$21&gt;R293,OR(Sheet1!$C$21&lt;=R294,Sheet1!L294="")),   -1*Sheet1!L293,"")</f>
        <v/>
      </c>
    </row>
    <row r="294" spans="1:16" ht="15.75" x14ac:dyDescent="0.25">
      <c r="A294" s="456" t="str">
        <f>IF(AND(R294&lt;&gt;"",R293&lt;&gt;""),(-Sheet1!L294/Sheet1!L293)^(360/(R294-R293-1))-1,"")</f>
        <v/>
      </c>
      <c r="B294" s="41" t="str">
        <f ca="1">IF(AND(Sheet1!L294&lt;0, Sheet1!$C$21&gt;R294+1,OR(Sheet1!$C$21&lt;=R295,Sheet1!L295="")),   -1*Sheet1!L294,"")</f>
        <v/>
      </c>
      <c r="C294" s="42">
        <f ca="1">IF(Sheet3!$B$5="",0,    IF(E294&lt;1,0,  IF(B294="","",     IF(OR(Sheet3!$B$6=0,INDIRECT(ADDRESS(ROW(),Sheet3!$B$3+16))="" ),D294/E294,    IF(E294&lt;0,0,    IF(OR( INDIRECT(ADDRESS(8,Sheet3!$B$3+16))="",INDIRECT(ADDRESS(ROW(),Sheet3!$B$3+17))=""),        (INDIRECT(ADDRESS(ROW(),Sheet3!$B$3+16))+B294)*Sheet3!$Q$4,         INDIRECT(ADDRESS(ROW(),Sheet3!$B$3+17))-INDIRECT(ADDRESS(ROW(),Sheet3!$B$3+16))))))))</f>
        <v>0</v>
      </c>
      <c r="D294" s="39">
        <f ca="1">IF(Sheet3!$B$5="",0,IF(B294="","",IF(E294&lt;1,0,   IF(INDIRECT(ADDRESS(ROW(), Sheet3!$B$3+17))="",        INDIRECT(ADDRESS(ROW(), Sheet3!$B$3+16))*  (1+Sheet3!$Q$4)   +B294*Sheet3!$Q$4,       INDIRECT(ADDRESS(ROW(), Sheet3!$B$3+17))))))</f>
        <v>0</v>
      </c>
      <c r="E294" s="40">
        <f ca="1">IF(AND(Sheet1!L294&lt;0,  Sheet1!$C$21&gt;R294),    IF(OR(Sheet1!$C$21&lt;=R295,  Sheet1!L295=""),       IF(AND(MOD(NOW(),1)&lt;TIME(9,39,0),Sheet1!$C$22=TODAY()),    Sheet1!$C$21-R294,     Sheet1!$C$21-R294-1),               R295-R294-1),    0)</f>
        <v>0</v>
      </c>
      <c r="F294" s="30"/>
      <c r="G294" s="25" t="str">
        <f>IF(LEFT(Sheet1!K295,2)="0x",Sheet1!K294,IF(AND(Sheet1!L294="",Sheet1!L293=""),"",G293))</f>
        <v/>
      </c>
      <c r="H294" s="81"/>
      <c r="I294" s="43" t="str">
        <f t="shared" ref="I294:I357" si="25">IFERROR(SMALL(K$6:K$117,ROW(Q257)),"")</f>
        <v/>
      </c>
      <c r="J294" s="29" t="str">
        <f t="shared" si="24"/>
        <v/>
      </c>
      <c r="K294" s="24" t="str">
        <f>IF(Sheet1!L294="","",IF(Sheet1!L294&gt;0,ROW(),""))</f>
        <v/>
      </c>
      <c r="L294" s="24" t="str">
        <f t="shared" ca="1" si="22"/>
        <v/>
      </c>
      <c r="M294" s="47" t="str">
        <f t="shared" ca="1" si="23"/>
        <v/>
      </c>
      <c r="N294" s="48" t="str">
        <f>IF(LEFT(Sheet1!K294,2)="0x",Sheet1!K294,IF(AND(Sheet1!L294="",Sheet1!L293=""),"",N293))</f>
        <v/>
      </c>
      <c r="O294" s="46">
        <f>IF(Sheet1!L294="",0,IF(Sheet1!O294&lt;TIME(7,39,0)+Sheet1!$E$3/24,1,0))</f>
        <v>0</v>
      </c>
      <c r="P294" s="46" t="str">
        <f ca="1">IF(AND(Sheet1!L294&lt;0, Sheet1!$C$21&gt;R294,OR(Sheet1!$C$21&lt;=R295,Sheet1!L295="")),   -1*Sheet1!L294,"")</f>
        <v/>
      </c>
    </row>
    <row r="295" spans="1:16" ht="15.75" x14ac:dyDescent="0.25">
      <c r="A295" s="456" t="str">
        <f>IF(AND(R295&lt;&gt;"",R294&lt;&gt;""),(-Sheet1!L295/Sheet1!L294)^(360/(R295-R294-1))-1,"")</f>
        <v/>
      </c>
      <c r="B295" s="41" t="str">
        <f ca="1">IF(AND(Sheet1!L295&lt;0, Sheet1!$C$21&gt;R295+1,OR(Sheet1!$C$21&lt;=R296,Sheet1!L296="")),   -1*Sheet1!L295,"")</f>
        <v/>
      </c>
      <c r="C295" s="42">
        <f ca="1">IF(Sheet3!$B$5="",0,    IF(E295&lt;1,0,  IF(B295="","",     IF(OR(Sheet3!$B$6=0,INDIRECT(ADDRESS(ROW(),Sheet3!$B$3+16))="" ),D295/E295,    IF(E295&lt;0,0,    IF(OR( INDIRECT(ADDRESS(8,Sheet3!$B$3+16))="",INDIRECT(ADDRESS(ROW(),Sheet3!$B$3+17))=""),        (INDIRECT(ADDRESS(ROW(),Sheet3!$B$3+16))+B295)*Sheet3!$Q$4,         INDIRECT(ADDRESS(ROW(),Sheet3!$B$3+17))-INDIRECT(ADDRESS(ROW(),Sheet3!$B$3+16))))))))</f>
        <v>0</v>
      </c>
      <c r="D295" s="39">
        <f ca="1">IF(Sheet3!$B$5="",0,IF(B295="","",IF(E295&lt;1,0,   IF(INDIRECT(ADDRESS(ROW(), Sheet3!$B$3+17))="",        INDIRECT(ADDRESS(ROW(), Sheet3!$B$3+16))*  (1+Sheet3!$Q$4)   +B295*Sheet3!$Q$4,       INDIRECT(ADDRESS(ROW(), Sheet3!$B$3+17))))))</f>
        <v>0</v>
      </c>
      <c r="E295" s="40">
        <f ca="1">IF(AND(Sheet1!L295&lt;0,  Sheet1!$C$21&gt;R295),    IF(OR(Sheet1!$C$21&lt;=R296,  Sheet1!L296=""),       IF(AND(MOD(NOW(),1)&lt;TIME(9,39,0),Sheet1!$C$22=TODAY()),    Sheet1!$C$21-R295,     Sheet1!$C$21-R295-1),               R296-R295-1),    0)</f>
        <v>0</v>
      </c>
      <c r="F295" s="30"/>
      <c r="G295" s="25" t="str">
        <f>IF(LEFT(Sheet1!K296,2)="0x",Sheet1!K295,IF(AND(Sheet1!L295="",Sheet1!L294=""),"",G294))</f>
        <v/>
      </c>
      <c r="H295" s="81"/>
      <c r="I295" s="43" t="str">
        <f t="shared" si="25"/>
        <v/>
      </c>
      <c r="J295" s="29" t="str">
        <f t="shared" si="24"/>
        <v/>
      </c>
      <c r="K295" s="24" t="str">
        <f>IF(Sheet1!L295="","",IF(Sheet1!L295&gt;0,ROW(),""))</f>
        <v/>
      </c>
      <c r="L295" s="24" t="str">
        <f t="shared" ca="1" si="22"/>
        <v/>
      </c>
      <c r="M295" s="47" t="str">
        <f t="shared" ca="1" si="23"/>
        <v/>
      </c>
      <c r="N295" s="48" t="str">
        <f>IF(LEFT(Sheet1!K295,2)="0x",Sheet1!K295,IF(AND(Sheet1!L295="",Sheet1!L294=""),"",N294))</f>
        <v/>
      </c>
      <c r="O295" s="46">
        <f>IF(Sheet1!L295="",0,IF(Sheet1!O295&lt;TIME(7,39,0)+Sheet1!$E$3/24,1,0))</f>
        <v>0</v>
      </c>
      <c r="P295" s="46" t="str">
        <f ca="1">IF(AND(Sheet1!L295&lt;0, Sheet1!$C$21&gt;R295,OR(Sheet1!$C$21&lt;=R296,Sheet1!L296="")),   -1*Sheet1!L295,"")</f>
        <v/>
      </c>
    </row>
    <row r="296" spans="1:16" ht="15.75" x14ac:dyDescent="0.25">
      <c r="A296" s="456" t="str">
        <f>IF(AND(R296&lt;&gt;"",R295&lt;&gt;""),(-Sheet1!L296/Sheet1!L295)^(360/(R296-R295-1))-1,"")</f>
        <v/>
      </c>
      <c r="B296" s="41" t="str">
        <f ca="1">IF(AND(Sheet1!L296&lt;0, Sheet1!$C$21&gt;R296+1,OR(Sheet1!$C$21&lt;=R297,Sheet1!L297="")),   -1*Sheet1!L296,"")</f>
        <v/>
      </c>
      <c r="C296" s="42">
        <f ca="1">IF(Sheet3!$B$5="",0,    IF(E296&lt;1,0,  IF(B296="","",     IF(OR(Sheet3!$B$6=0,INDIRECT(ADDRESS(ROW(),Sheet3!$B$3+16))="" ),D296/E296,    IF(E296&lt;0,0,    IF(OR( INDIRECT(ADDRESS(8,Sheet3!$B$3+16))="",INDIRECT(ADDRESS(ROW(),Sheet3!$B$3+17))=""),        (INDIRECT(ADDRESS(ROW(),Sheet3!$B$3+16))+B296)*Sheet3!$Q$4,         INDIRECT(ADDRESS(ROW(),Sheet3!$B$3+17))-INDIRECT(ADDRESS(ROW(),Sheet3!$B$3+16))))))))</f>
        <v>0</v>
      </c>
      <c r="D296" s="39">
        <f ca="1">IF(Sheet3!$B$5="",0,IF(B296="","",IF(E296&lt;1,0,   IF(INDIRECT(ADDRESS(ROW(), Sheet3!$B$3+17))="",        INDIRECT(ADDRESS(ROW(), Sheet3!$B$3+16))*  (1+Sheet3!$Q$4)   +B296*Sheet3!$Q$4,       INDIRECT(ADDRESS(ROW(), Sheet3!$B$3+17))))))</f>
        <v>0</v>
      </c>
      <c r="E296" s="40">
        <f ca="1">IF(AND(Sheet1!L296&lt;0,  Sheet1!$C$21&gt;R296),    IF(OR(Sheet1!$C$21&lt;=R297,  Sheet1!L297=""),       IF(AND(MOD(NOW(),1)&lt;TIME(9,39,0),Sheet1!$C$22=TODAY()),    Sheet1!$C$21-R296,     Sheet1!$C$21-R296-1),               R297-R296-1),    0)</f>
        <v>0</v>
      </c>
      <c r="F296" s="30"/>
      <c r="G296" s="25" t="str">
        <f>IF(LEFT(Sheet1!K297,2)="0x",Sheet1!K296,IF(AND(Sheet1!L296="",Sheet1!L295=""),"",G295))</f>
        <v/>
      </c>
      <c r="H296" s="81"/>
      <c r="I296" s="43" t="str">
        <f t="shared" si="25"/>
        <v/>
      </c>
      <c r="J296" s="29" t="str">
        <f t="shared" si="24"/>
        <v/>
      </c>
      <c r="K296" s="24" t="str">
        <f>IF(Sheet1!L296="","",IF(Sheet1!L296&gt;0,ROW(),""))</f>
        <v/>
      </c>
      <c r="L296" s="24" t="str">
        <f t="shared" ca="1" si="22"/>
        <v/>
      </c>
      <c r="M296" s="47" t="str">
        <f t="shared" ca="1" si="23"/>
        <v/>
      </c>
      <c r="N296" s="48" t="str">
        <f>IF(LEFT(Sheet1!K296,2)="0x",Sheet1!K296,IF(AND(Sheet1!L296="",Sheet1!L295=""),"",N295))</f>
        <v/>
      </c>
      <c r="O296" s="46">
        <f>IF(Sheet1!L296="",0,IF(Sheet1!O296&lt;TIME(7,39,0)+Sheet1!$E$3/24,1,0))</f>
        <v>0</v>
      </c>
      <c r="P296" s="46" t="str">
        <f ca="1">IF(AND(Sheet1!L296&lt;0, Sheet1!$C$21&gt;R296,OR(Sheet1!$C$21&lt;=R297,Sheet1!L297="")),   -1*Sheet1!L296,"")</f>
        <v/>
      </c>
    </row>
    <row r="297" spans="1:16" ht="15.75" x14ac:dyDescent="0.25">
      <c r="A297" s="456" t="str">
        <f>IF(AND(R297&lt;&gt;"",R296&lt;&gt;""),(-Sheet1!L297/Sheet1!L296)^(360/(R297-R296-1))-1,"")</f>
        <v/>
      </c>
      <c r="B297" s="41" t="str">
        <f ca="1">IF(AND(Sheet1!L297&lt;0, Sheet1!$C$21&gt;R297+1,OR(Sheet1!$C$21&lt;=R298,Sheet1!L298="")),   -1*Sheet1!L297,"")</f>
        <v/>
      </c>
      <c r="C297" s="42">
        <f ca="1">IF(Sheet3!$B$5="",0,    IF(E297&lt;1,0,  IF(B297="","",     IF(OR(Sheet3!$B$6=0,INDIRECT(ADDRESS(ROW(),Sheet3!$B$3+16))="" ),D297/E297,    IF(E297&lt;0,0,    IF(OR( INDIRECT(ADDRESS(8,Sheet3!$B$3+16))="",INDIRECT(ADDRESS(ROW(),Sheet3!$B$3+17))=""),        (INDIRECT(ADDRESS(ROW(),Sheet3!$B$3+16))+B297)*Sheet3!$Q$4,         INDIRECT(ADDRESS(ROW(),Sheet3!$B$3+17))-INDIRECT(ADDRESS(ROW(),Sheet3!$B$3+16))))))))</f>
        <v>0</v>
      </c>
      <c r="D297" s="39">
        <f ca="1">IF(Sheet3!$B$5="",0,IF(B297="","",IF(E297&lt;1,0,   IF(INDIRECT(ADDRESS(ROW(), Sheet3!$B$3+17))="",        INDIRECT(ADDRESS(ROW(), Sheet3!$B$3+16))*  (1+Sheet3!$Q$4)   +B297*Sheet3!$Q$4,       INDIRECT(ADDRESS(ROW(), Sheet3!$B$3+17))))))</f>
        <v>0</v>
      </c>
      <c r="E297" s="40">
        <f ca="1">IF(AND(Sheet1!L297&lt;0,  Sheet1!$C$21&gt;R297),    IF(OR(Sheet1!$C$21&lt;=R298,  Sheet1!L298=""),       IF(AND(MOD(NOW(),1)&lt;TIME(9,39,0),Sheet1!$C$22=TODAY()),    Sheet1!$C$21-R297,     Sheet1!$C$21-R297-1),               R298-R297-1),    0)</f>
        <v>0</v>
      </c>
      <c r="F297" s="30"/>
      <c r="G297" s="25" t="str">
        <f>IF(LEFT(Sheet1!K298,2)="0x",Sheet1!K297,IF(AND(Sheet1!L297="",Sheet1!L296=""),"",G296))</f>
        <v/>
      </c>
      <c r="H297" s="81"/>
      <c r="I297" s="43" t="str">
        <f t="shared" si="25"/>
        <v/>
      </c>
      <c r="J297" s="29" t="str">
        <f t="shared" si="24"/>
        <v/>
      </c>
      <c r="K297" s="24" t="str">
        <f>IF(Sheet1!L297="","",IF(Sheet1!L297&gt;0,ROW(),""))</f>
        <v/>
      </c>
      <c r="L297" s="24" t="str">
        <f t="shared" ca="1" si="22"/>
        <v/>
      </c>
      <c r="M297" s="47" t="str">
        <f t="shared" ca="1" si="23"/>
        <v/>
      </c>
      <c r="N297" s="48" t="str">
        <f>IF(LEFT(Sheet1!K297,2)="0x",Sheet1!K297,IF(AND(Sheet1!L297="",Sheet1!L296=""),"",N296))</f>
        <v/>
      </c>
      <c r="O297" s="46">
        <f>IF(Sheet1!L297="",0,IF(Sheet1!O297&lt;TIME(7,39,0)+Sheet1!$E$3/24,1,0))</f>
        <v>0</v>
      </c>
      <c r="P297" s="46" t="str">
        <f ca="1">IF(AND(Sheet1!L297&lt;0, Sheet1!$C$21&gt;R297,OR(Sheet1!$C$21&lt;=R298,Sheet1!L298="")),   -1*Sheet1!L297,"")</f>
        <v/>
      </c>
    </row>
    <row r="298" spans="1:16" ht="15.75" x14ac:dyDescent="0.25">
      <c r="A298" s="456" t="str">
        <f>IF(AND(R298&lt;&gt;"",R297&lt;&gt;""),(-Sheet1!L298/Sheet1!L297)^(360/(R298-R297-1))-1,"")</f>
        <v/>
      </c>
      <c r="B298" s="41" t="str">
        <f ca="1">IF(AND(Sheet1!L298&lt;0, Sheet1!$C$21&gt;R298+1,OR(Sheet1!$C$21&lt;=R299,Sheet1!L299="")),   -1*Sheet1!L298,"")</f>
        <v/>
      </c>
      <c r="C298" s="42">
        <f ca="1">IF(Sheet3!$B$5="",0,    IF(E298&lt;1,0,  IF(B298="","",     IF(OR(Sheet3!$B$6=0,INDIRECT(ADDRESS(ROW(),Sheet3!$B$3+16))="" ),D298/E298,    IF(E298&lt;0,0,    IF(OR( INDIRECT(ADDRESS(8,Sheet3!$B$3+16))="",INDIRECT(ADDRESS(ROW(),Sheet3!$B$3+17))=""),        (INDIRECT(ADDRESS(ROW(),Sheet3!$B$3+16))+B298)*Sheet3!$Q$4,         INDIRECT(ADDRESS(ROW(),Sheet3!$B$3+17))-INDIRECT(ADDRESS(ROW(),Sheet3!$B$3+16))))))))</f>
        <v>0</v>
      </c>
      <c r="D298" s="39">
        <f ca="1">IF(Sheet3!$B$5="",0,IF(B298="","",IF(E298&lt;1,0,   IF(INDIRECT(ADDRESS(ROW(), Sheet3!$B$3+17))="",        INDIRECT(ADDRESS(ROW(), Sheet3!$B$3+16))*  (1+Sheet3!$Q$4)   +B298*Sheet3!$Q$4,       INDIRECT(ADDRESS(ROW(), Sheet3!$B$3+17))))))</f>
        <v>0</v>
      </c>
      <c r="E298" s="40">
        <f ca="1">IF(AND(Sheet1!L298&lt;0,  Sheet1!$C$21&gt;R298),    IF(OR(Sheet1!$C$21&lt;=R299,  Sheet1!L299=""),       IF(AND(MOD(NOW(),1)&lt;TIME(9,39,0),Sheet1!$C$22=TODAY()),    Sheet1!$C$21-R298,     Sheet1!$C$21-R298-1),               R299-R298-1),    0)</f>
        <v>0</v>
      </c>
      <c r="F298" s="30"/>
      <c r="G298" s="25" t="str">
        <f>IF(LEFT(Sheet1!K299,2)="0x",Sheet1!K298,IF(AND(Sheet1!L298="",Sheet1!L297=""),"",G297))</f>
        <v/>
      </c>
      <c r="H298" s="81"/>
      <c r="I298" s="43" t="str">
        <f t="shared" si="25"/>
        <v/>
      </c>
      <c r="J298" s="29" t="str">
        <f t="shared" si="24"/>
        <v/>
      </c>
      <c r="K298" s="24" t="str">
        <f>IF(Sheet1!L298="","",IF(Sheet1!L298&gt;0,ROW(),""))</f>
        <v/>
      </c>
      <c r="L298" s="24" t="str">
        <f t="shared" ca="1" si="22"/>
        <v/>
      </c>
      <c r="M298" s="47" t="str">
        <f t="shared" ca="1" si="23"/>
        <v/>
      </c>
      <c r="N298" s="48" t="str">
        <f>IF(LEFT(Sheet1!K298,2)="0x",Sheet1!K298,IF(AND(Sheet1!L298="",Sheet1!L297=""),"",N297))</f>
        <v/>
      </c>
      <c r="O298" s="46">
        <f>IF(Sheet1!L298="",0,IF(Sheet1!O298&lt;TIME(7,39,0)+Sheet1!$E$3/24,1,0))</f>
        <v>0</v>
      </c>
      <c r="P298" s="46" t="str">
        <f ca="1">IF(AND(Sheet1!L298&lt;0, Sheet1!$C$21&gt;R298,OR(Sheet1!$C$21&lt;=R299,Sheet1!L299="")),   -1*Sheet1!L298,"")</f>
        <v/>
      </c>
    </row>
    <row r="299" spans="1:16" ht="15.75" x14ac:dyDescent="0.25">
      <c r="A299" s="456" t="str">
        <f>IF(AND(R299&lt;&gt;"",R298&lt;&gt;""),(-Sheet1!L299/Sheet1!L298)^(360/(R299-R298-1))-1,"")</f>
        <v/>
      </c>
      <c r="B299" s="41" t="str">
        <f ca="1">IF(AND(Sheet1!L299&lt;0, Sheet1!$C$21&gt;R299+1,OR(Sheet1!$C$21&lt;=R300,Sheet1!L300="")),   -1*Sheet1!L299,"")</f>
        <v/>
      </c>
      <c r="C299" s="42">
        <f ca="1">IF(Sheet3!$B$5="",0,    IF(E299&lt;1,0,  IF(B299="","",     IF(OR(Sheet3!$B$6=0,INDIRECT(ADDRESS(ROW(),Sheet3!$B$3+16))="" ),D299/E299,    IF(E299&lt;0,0,    IF(OR( INDIRECT(ADDRESS(8,Sheet3!$B$3+16))="",INDIRECT(ADDRESS(ROW(),Sheet3!$B$3+17))=""),        (INDIRECT(ADDRESS(ROW(),Sheet3!$B$3+16))+B299)*Sheet3!$Q$4,         INDIRECT(ADDRESS(ROW(),Sheet3!$B$3+17))-INDIRECT(ADDRESS(ROW(),Sheet3!$B$3+16))))))))</f>
        <v>0</v>
      </c>
      <c r="D299" s="39">
        <f ca="1">IF(Sheet3!$B$5="",0,IF(B299="","",IF(E299&lt;1,0,   IF(INDIRECT(ADDRESS(ROW(), Sheet3!$B$3+17))="",        INDIRECT(ADDRESS(ROW(), Sheet3!$B$3+16))*  (1+Sheet3!$Q$4)   +B299*Sheet3!$Q$4,       INDIRECT(ADDRESS(ROW(), Sheet3!$B$3+17))))))</f>
        <v>0</v>
      </c>
      <c r="E299" s="40">
        <f ca="1">IF(AND(Sheet1!L299&lt;0,  Sheet1!$C$21&gt;R299),    IF(OR(Sheet1!$C$21&lt;=R300,  Sheet1!L300=""),       IF(AND(MOD(NOW(),1)&lt;TIME(9,39,0),Sheet1!$C$22=TODAY()),    Sheet1!$C$21-R299,     Sheet1!$C$21-R299-1),               R300-R299-1),    0)</f>
        <v>0</v>
      </c>
      <c r="F299" s="30"/>
      <c r="G299" s="25" t="str">
        <f>IF(LEFT(Sheet1!K300,2)="0x",Sheet1!K299,IF(AND(Sheet1!L299="",Sheet1!L298=""),"",G298))</f>
        <v/>
      </c>
      <c r="H299" s="81"/>
      <c r="I299" s="43" t="str">
        <f t="shared" si="25"/>
        <v/>
      </c>
      <c r="J299" s="29" t="str">
        <f t="shared" si="24"/>
        <v/>
      </c>
      <c r="K299" s="24" t="str">
        <f>IF(Sheet1!L299="","",IF(Sheet1!L299&gt;0,ROW(),""))</f>
        <v/>
      </c>
      <c r="L299" s="24" t="str">
        <f t="shared" ca="1" si="22"/>
        <v/>
      </c>
      <c r="M299" s="47" t="str">
        <f t="shared" ca="1" si="23"/>
        <v/>
      </c>
      <c r="N299" s="48" t="str">
        <f>IF(LEFT(Sheet1!K299,2)="0x",Sheet1!K299,IF(AND(Sheet1!L299="",Sheet1!L298=""),"",N298))</f>
        <v/>
      </c>
      <c r="O299" s="46">
        <f>IF(Sheet1!L299="",0,IF(Sheet1!O299&lt;TIME(7,39,0)+Sheet1!$E$3/24,1,0))</f>
        <v>0</v>
      </c>
      <c r="P299" s="46" t="str">
        <f ca="1">IF(AND(Sheet1!L299&lt;0, Sheet1!$C$21&gt;R299,OR(Sheet1!$C$21&lt;=R300,Sheet1!L300="")),   -1*Sheet1!L299,"")</f>
        <v/>
      </c>
    </row>
    <row r="300" spans="1:16" ht="15.75" x14ac:dyDescent="0.25">
      <c r="A300" s="456" t="str">
        <f>IF(AND(R300&lt;&gt;"",R299&lt;&gt;""),(-Sheet1!L300/Sheet1!L299)^(360/(R300-R299-1))-1,"")</f>
        <v/>
      </c>
      <c r="B300" s="41" t="str">
        <f ca="1">IF(AND(Sheet1!L300&lt;0, Sheet1!$C$21&gt;R300+1,OR(Sheet1!$C$21&lt;=R301,Sheet1!L301="")),   -1*Sheet1!L300,"")</f>
        <v/>
      </c>
      <c r="C300" s="42">
        <f ca="1">IF(Sheet3!$B$5="",0,    IF(E300&lt;1,0,  IF(B300="","",     IF(OR(Sheet3!$B$6=0,INDIRECT(ADDRESS(ROW(),Sheet3!$B$3+16))="" ),D300/E300,    IF(E300&lt;0,0,    IF(OR( INDIRECT(ADDRESS(8,Sheet3!$B$3+16))="",INDIRECT(ADDRESS(ROW(),Sheet3!$B$3+17))=""),        (INDIRECT(ADDRESS(ROW(),Sheet3!$B$3+16))+B300)*Sheet3!$Q$4,         INDIRECT(ADDRESS(ROW(),Sheet3!$B$3+17))-INDIRECT(ADDRESS(ROW(),Sheet3!$B$3+16))))))))</f>
        <v>0</v>
      </c>
      <c r="D300" s="39">
        <f ca="1">IF(Sheet3!$B$5="",0,IF(B300="","",IF(E300&lt;1,0,   IF(INDIRECT(ADDRESS(ROW(), Sheet3!$B$3+17))="",        INDIRECT(ADDRESS(ROW(), Sheet3!$B$3+16))*  (1+Sheet3!$Q$4)   +B300*Sheet3!$Q$4,       INDIRECT(ADDRESS(ROW(), Sheet3!$B$3+17))))))</f>
        <v>0</v>
      </c>
      <c r="E300" s="40">
        <f ca="1">IF(AND(Sheet1!L300&lt;0,  Sheet1!$C$21&gt;R300),    IF(OR(Sheet1!$C$21&lt;=R301,  Sheet1!L301=""),       IF(AND(MOD(NOW(),1)&lt;TIME(9,39,0),Sheet1!$C$22=TODAY()),    Sheet1!$C$21-R300,     Sheet1!$C$21-R300-1),               R301-R300-1),    0)</f>
        <v>0</v>
      </c>
      <c r="F300" s="30"/>
      <c r="G300" s="25" t="str">
        <f>IF(LEFT(Sheet1!K301,2)="0x",Sheet1!K300,IF(AND(Sheet1!L300="",Sheet1!L299=""),"",G299))</f>
        <v/>
      </c>
      <c r="H300" s="81"/>
      <c r="I300" s="43" t="str">
        <f t="shared" si="25"/>
        <v/>
      </c>
      <c r="J300" s="29" t="str">
        <f t="shared" si="24"/>
        <v/>
      </c>
      <c r="K300" s="24" t="str">
        <f>IF(Sheet1!L300="","",IF(Sheet1!L300&gt;0,ROW(),""))</f>
        <v/>
      </c>
      <c r="L300" s="24" t="str">
        <f t="shared" ca="1" si="22"/>
        <v/>
      </c>
      <c r="M300" s="47" t="str">
        <f t="shared" ca="1" si="23"/>
        <v/>
      </c>
      <c r="N300" s="48" t="str">
        <f>IF(LEFT(Sheet1!K300,2)="0x",Sheet1!K300,IF(AND(Sheet1!L300="",Sheet1!L299=""),"",N299))</f>
        <v/>
      </c>
      <c r="O300" s="46">
        <f>IF(Sheet1!L300="",0,IF(Sheet1!O300&lt;TIME(7,39,0)+Sheet1!$E$3/24,1,0))</f>
        <v>0</v>
      </c>
      <c r="P300" s="46" t="str">
        <f ca="1">IF(AND(Sheet1!L300&lt;0, Sheet1!$C$21&gt;R300,OR(Sheet1!$C$21&lt;=R301,Sheet1!L301="")),   -1*Sheet1!L300,"")</f>
        <v/>
      </c>
    </row>
    <row r="301" spans="1:16" ht="15.75" x14ac:dyDescent="0.25">
      <c r="A301" s="456" t="str">
        <f>IF(AND(R301&lt;&gt;"",R300&lt;&gt;""),(-Sheet1!L301/Sheet1!L300)^(360/(R301-R300-1))-1,"")</f>
        <v/>
      </c>
      <c r="B301" s="41" t="str">
        <f ca="1">IF(AND(Sheet1!L301&lt;0, Sheet1!$C$21&gt;R301+1,OR(Sheet1!$C$21&lt;=R302,Sheet1!L302="")),   -1*Sheet1!L301,"")</f>
        <v/>
      </c>
      <c r="C301" s="42">
        <f ca="1">IF(Sheet3!$B$5="",0,    IF(E301&lt;1,0,  IF(B301="","",     IF(OR(Sheet3!$B$6=0,INDIRECT(ADDRESS(ROW(),Sheet3!$B$3+16))="" ),D301/E301,    IF(E301&lt;0,0,    IF(OR( INDIRECT(ADDRESS(8,Sheet3!$B$3+16))="",INDIRECT(ADDRESS(ROW(),Sheet3!$B$3+17))=""),        (INDIRECT(ADDRESS(ROW(),Sheet3!$B$3+16))+B301)*Sheet3!$Q$4,         INDIRECT(ADDRESS(ROW(),Sheet3!$B$3+17))-INDIRECT(ADDRESS(ROW(),Sheet3!$B$3+16))))))))</f>
        <v>0</v>
      </c>
      <c r="D301" s="39">
        <f ca="1">IF(Sheet3!$B$5="",0,IF(B301="","",IF(E301&lt;1,0,   IF(INDIRECT(ADDRESS(ROW(), Sheet3!$B$3+17))="",        INDIRECT(ADDRESS(ROW(), Sheet3!$B$3+16))*  (1+Sheet3!$Q$4)   +B301*Sheet3!$Q$4,       INDIRECT(ADDRESS(ROW(), Sheet3!$B$3+17))))))</f>
        <v>0</v>
      </c>
      <c r="E301" s="40">
        <f ca="1">IF(AND(Sheet1!L301&lt;0,  Sheet1!$C$21&gt;R301),    IF(OR(Sheet1!$C$21&lt;=R302,  Sheet1!L302=""),       IF(AND(MOD(NOW(),1)&lt;TIME(9,39,0),Sheet1!$C$22=TODAY()),    Sheet1!$C$21-R301,     Sheet1!$C$21-R301-1),               R302-R301-1),    0)</f>
        <v>0</v>
      </c>
      <c r="F301" s="30"/>
      <c r="G301" s="25" t="str">
        <f>IF(LEFT(Sheet1!K302,2)="0x",Sheet1!K301,IF(AND(Sheet1!L301="",Sheet1!L300=""),"",G300))</f>
        <v/>
      </c>
      <c r="H301" s="81"/>
      <c r="I301" s="43" t="str">
        <f t="shared" si="25"/>
        <v/>
      </c>
      <c r="J301" s="29" t="str">
        <f t="shared" si="24"/>
        <v/>
      </c>
      <c r="K301" s="24" t="str">
        <f>IF(Sheet1!L301="","",IF(Sheet1!L301&gt;0,ROW(),""))</f>
        <v/>
      </c>
      <c r="L301" s="24" t="str">
        <f t="shared" ca="1" si="22"/>
        <v/>
      </c>
      <c r="M301" s="47" t="str">
        <f t="shared" ca="1" si="23"/>
        <v/>
      </c>
      <c r="N301" s="48" t="str">
        <f>IF(LEFT(Sheet1!K301,2)="0x",Sheet1!K301,IF(AND(Sheet1!L301="",Sheet1!L300=""),"",N300))</f>
        <v/>
      </c>
      <c r="O301" s="46">
        <f>IF(Sheet1!L301="",0,IF(Sheet1!O301&lt;TIME(7,39,0)+Sheet1!$E$3/24,1,0))</f>
        <v>0</v>
      </c>
      <c r="P301" s="46" t="str">
        <f ca="1">IF(AND(Sheet1!L301&lt;0, Sheet1!$C$21&gt;R301,OR(Sheet1!$C$21&lt;=R302,Sheet1!L302="")),   -1*Sheet1!L301,"")</f>
        <v/>
      </c>
    </row>
    <row r="302" spans="1:16" ht="15.75" x14ac:dyDescent="0.25">
      <c r="A302" s="456" t="str">
        <f>IF(AND(R302&lt;&gt;"",R301&lt;&gt;""),(-Sheet1!L302/Sheet1!L301)^(360/(R302-R301-1))-1,"")</f>
        <v/>
      </c>
      <c r="B302" s="41" t="str">
        <f ca="1">IF(AND(Sheet1!L302&lt;0, Sheet1!$C$21&gt;R302+1,OR(Sheet1!$C$21&lt;=R303,Sheet1!L303="")),   -1*Sheet1!L302,"")</f>
        <v/>
      </c>
      <c r="C302" s="42">
        <f ca="1">IF(Sheet3!$B$5="",0,    IF(E302&lt;1,0,  IF(B302="","",     IF(OR(Sheet3!$B$6=0,INDIRECT(ADDRESS(ROW(),Sheet3!$B$3+16))="" ),D302/E302,    IF(E302&lt;0,0,    IF(OR( INDIRECT(ADDRESS(8,Sheet3!$B$3+16))="",INDIRECT(ADDRESS(ROW(),Sheet3!$B$3+17))=""),        (INDIRECT(ADDRESS(ROW(),Sheet3!$B$3+16))+B302)*Sheet3!$Q$4,         INDIRECT(ADDRESS(ROW(),Sheet3!$B$3+17))-INDIRECT(ADDRESS(ROW(),Sheet3!$B$3+16))))))))</f>
        <v>0</v>
      </c>
      <c r="D302" s="39">
        <f ca="1">IF(Sheet3!$B$5="",0,IF(B302="","",IF(E302&lt;1,0,   IF(INDIRECT(ADDRESS(ROW(), Sheet3!$B$3+17))="",        INDIRECT(ADDRESS(ROW(), Sheet3!$B$3+16))*  (1+Sheet3!$Q$4)   +B302*Sheet3!$Q$4,       INDIRECT(ADDRESS(ROW(), Sheet3!$B$3+17))))))</f>
        <v>0</v>
      </c>
      <c r="E302" s="40">
        <f ca="1">IF(AND(Sheet1!L302&lt;0,  Sheet1!$C$21&gt;R302),    IF(OR(Sheet1!$C$21&lt;=R303,  Sheet1!L303=""),       IF(AND(MOD(NOW(),1)&lt;TIME(9,39,0),Sheet1!$C$22=TODAY()),    Sheet1!$C$21-R302,     Sheet1!$C$21-R302-1),               R303-R302-1),    0)</f>
        <v>0</v>
      </c>
      <c r="F302" s="30"/>
      <c r="G302" s="25" t="str">
        <f>IF(LEFT(Sheet1!K303,2)="0x",Sheet1!K302,IF(AND(Sheet1!L302="",Sheet1!L301=""),"",G301))</f>
        <v/>
      </c>
      <c r="H302" s="81"/>
      <c r="I302" s="43" t="str">
        <f t="shared" si="25"/>
        <v/>
      </c>
      <c r="J302" s="29" t="str">
        <f t="shared" si="24"/>
        <v/>
      </c>
      <c r="K302" s="24" t="str">
        <f>IF(Sheet1!L302="","",IF(Sheet1!L302&gt;0,ROW(),""))</f>
        <v/>
      </c>
      <c r="L302" s="24" t="str">
        <f t="shared" ca="1" si="22"/>
        <v/>
      </c>
      <c r="M302" s="47" t="str">
        <f t="shared" ca="1" si="23"/>
        <v/>
      </c>
      <c r="N302" s="48" t="str">
        <f>IF(LEFT(Sheet1!K302,2)="0x",Sheet1!K302,IF(AND(Sheet1!L302="",Sheet1!L301=""),"",N301))</f>
        <v/>
      </c>
      <c r="O302" s="46">
        <f>IF(Sheet1!L302="",0,IF(Sheet1!O302&lt;TIME(7,39,0)+Sheet1!$E$3/24,1,0))</f>
        <v>0</v>
      </c>
      <c r="P302" s="46" t="str">
        <f ca="1">IF(AND(Sheet1!L302&lt;0, Sheet1!$C$21&gt;R302,OR(Sheet1!$C$21&lt;=R303,Sheet1!L303="")),   -1*Sheet1!L302,"")</f>
        <v/>
      </c>
    </row>
    <row r="303" spans="1:16" ht="15.75" x14ac:dyDescent="0.25">
      <c r="A303" s="456" t="str">
        <f>IF(AND(R303&lt;&gt;"",R302&lt;&gt;""),(-Sheet1!L303/Sheet1!L302)^(360/(R303-R302-1))-1,"")</f>
        <v/>
      </c>
      <c r="B303" s="41" t="str">
        <f ca="1">IF(AND(Sheet1!L303&lt;0, Sheet1!$C$21&gt;R303+1,OR(Sheet1!$C$21&lt;=R304,Sheet1!L304="")),   -1*Sheet1!L303,"")</f>
        <v/>
      </c>
      <c r="C303" s="42">
        <f ca="1">IF(Sheet3!$B$5="",0,    IF(E303&lt;1,0,  IF(B303="","",     IF(OR(Sheet3!$B$6=0,INDIRECT(ADDRESS(ROW(),Sheet3!$B$3+16))="" ),D303/E303,    IF(E303&lt;0,0,    IF(OR( INDIRECT(ADDRESS(8,Sheet3!$B$3+16))="",INDIRECT(ADDRESS(ROW(),Sheet3!$B$3+17))=""),        (INDIRECT(ADDRESS(ROW(),Sheet3!$B$3+16))+B303)*Sheet3!$Q$4,         INDIRECT(ADDRESS(ROW(),Sheet3!$B$3+17))-INDIRECT(ADDRESS(ROW(),Sheet3!$B$3+16))))))))</f>
        <v>0</v>
      </c>
      <c r="D303" s="39">
        <f ca="1">IF(Sheet3!$B$5="",0,IF(B303="","",IF(E303&lt;1,0,   IF(INDIRECT(ADDRESS(ROW(), Sheet3!$B$3+17))="",        INDIRECT(ADDRESS(ROW(), Sheet3!$B$3+16))*  (1+Sheet3!$Q$4)   +B303*Sheet3!$Q$4,       INDIRECT(ADDRESS(ROW(), Sheet3!$B$3+17))))))</f>
        <v>0</v>
      </c>
      <c r="E303" s="40">
        <f ca="1">IF(AND(Sheet1!L303&lt;0,  Sheet1!$C$21&gt;R303),    IF(OR(Sheet1!$C$21&lt;=R304,  Sheet1!L304=""),       IF(AND(MOD(NOW(),1)&lt;TIME(9,39,0),Sheet1!$C$22=TODAY()),    Sheet1!$C$21-R303,     Sheet1!$C$21-R303-1),               R304-R303-1),    0)</f>
        <v>0</v>
      </c>
      <c r="F303" s="30"/>
      <c r="G303" s="25" t="str">
        <f>IF(LEFT(Sheet1!K304,2)="0x",Sheet1!K303,IF(AND(Sheet1!L303="",Sheet1!L302=""),"",G302))</f>
        <v/>
      </c>
      <c r="H303" s="81"/>
      <c r="I303" s="43" t="str">
        <f t="shared" si="25"/>
        <v/>
      </c>
      <c r="J303" s="29" t="str">
        <f t="shared" si="24"/>
        <v/>
      </c>
      <c r="K303" s="24" t="str">
        <f>IF(Sheet1!L303="","",IF(Sheet1!L303&gt;0,ROW(),""))</f>
        <v/>
      </c>
      <c r="L303" s="24" t="str">
        <f t="shared" ca="1" si="22"/>
        <v/>
      </c>
      <c r="M303" s="47" t="str">
        <f t="shared" ca="1" si="23"/>
        <v/>
      </c>
      <c r="N303" s="48" t="str">
        <f>IF(LEFT(Sheet1!K303,2)="0x",Sheet1!K303,IF(AND(Sheet1!L303="",Sheet1!L302=""),"",N302))</f>
        <v/>
      </c>
      <c r="O303" s="46">
        <f>IF(Sheet1!L303="",0,IF(Sheet1!O303&lt;TIME(7,39,0)+Sheet1!$E$3/24,1,0))</f>
        <v>0</v>
      </c>
      <c r="P303" s="46" t="str">
        <f ca="1">IF(AND(Sheet1!L303&lt;0, Sheet1!$C$21&gt;R303,OR(Sheet1!$C$21&lt;=R304,Sheet1!L304="")),   -1*Sheet1!L303,"")</f>
        <v/>
      </c>
    </row>
    <row r="304" spans="1:16" ht="15.75" x14ac:dyDescent="0.25">
      <c r="A304" s="456" t="str">
        <f>IF(AND(R304&lt;&gt;"",R303&lt;&gt;""),(-Sheet1!L304/Sheet1!L303)^(360/(R304-R303-1))-1,"")</f>
        <v/>
      </c>
      <c r="B304" s="41" t="str">
        <f ca="1">IF(AND(Sheet1!L304&lt;0, Sheet1!$C$21&gt;R304+1,OR(Sheet1!$C$21&lt;=R305,Sheet1!L305="")),   -1*Sheet1!L304,"")</f>
        <v/>
      </c>
      <c r="C304" s="42">
        <f ca="1">IF(Sheet3!$B$5="",0,    IF(E304&lt;1,0,  IF(B304="","",     IF(OR(Sheet3!$B$6=0,INDIRECT(ADDRESS(ROW(),Sheet3!$B$3+16))="" ),D304/E304,    IF(E304&lt;0,0,    IF(OR( INDIRECT(ADDRESS(8,Sheet3!$B$3+16))="",INDIRECT(ADDRESS(ROW(),Sheet3!$B$3+17))=""),        (INDIRECT(ADDRESS(ROW(),Sheet3!$B$3+16))+B304)*Sheet3!$Q$4,         INDIRECT(ADDRESS(ROW(),Sheet3!$B$3+17))-INDIRECT(ADDRESS(ROW(),Sheet3!$B$3+16))))))))</f>
        <v>0</v>
      </c>
      <c r="D304" s="39">
        <f ca="1">IF(Sheet3!$B$5="",0,IF(B304="","",IF(E304&lt;1,0,   IF(INDIRECT(ADDRESS(ROW(), Sheet3!$B$3+17))="",        INDIRECT(ADDRESS(ROW(), Sheet3!$B$3+16))*  (1+Sheet3!$Q$4)   +B304*Sheet3!$Q$4,       INDIRECT(ADDRESS(ROW(), Sheet3!$B$3+17))))))</f>
        <v>0</v>
      </c>
      <c r="E304" s="40">
        <f ca="1">IF(AND(Sheet1!L304&lt;0,  Sheet1!$C$21&gt;R304),    IF(OR(Sheet1!$C$21&lt;=R305,  Sheet1!L305=""),       IF(AND(MOD(NOW(),1)&lt;TIME(9,39,0),Sheet1!$C$22=TODAY()),    Sheet1!$C$21-R304,     Sheet1!$C$21-R304-1),               R305-R304-1),    0)</f>
        <v>0</v>
      </c>
      <c r="F304" s="30"/>
      <c r="G304" s="25" t="str">
        <f>IF(LEFT(Sheet1!K305,2)="0x",Sheet1!K304,IF(AND(Sheet1!L304="",Sheet1!L303=""),"",G303))</f>
        <v/>
      </c>
      <c r="H304" s="81"/>
      <c r="I304" s="43" t="str">
        <f t="shared" si="25"/>
        <v/>
      </c>
      <c r="J304" s="29" t="str">
        <f t="shared" si="24"/>
        <v/>
      </c>
      <c r="K304" s="24" t="str">
        <f>IF(Sheet1!L304="","",IF(Sheet1!L304&gt;0,ROW(),""))</f>
        <v/>
      </c>
      <c r="L304" s="24" t="str">
        <f t="shared" ca="1" si="22"/>
        <v/>
      </c>
      <c r="M304" s="47" t="str">
        <f t="shared" ca="1" si="23"/>
        <v/>
      </c>
      <c r="N304" s="48" t="str">
        <f>IF(LEFT(Sheet1!K304,2)="0x",Sheet1!K304,IF(AND(Sheet1!L304="",Sheet1!L303=""),"",N303))</f>
        <v/>
      </c>
      <c r="O304" s="46">
        <f>IF(Sheet1!L304="",0,IF(Sheet1!O304&lt;TIME(7,39,0)+Sheet1!$E$3/24,1,0))</f>
        <v>0</v>
      </c>
      <c r="P304" s="46" t="str">
        <f ca="1">IF(AND(Sheet1!L304&lt;0, Sheet1!$C$21&gt;R304,OR(Sheet1!$C$21&lt;=R305,Sheet1!L305="")),   -1*Sheet1!L304,"")</f>
        <v/>
      </c>
    </row>
    <row r="305" spans="1:16" ht="15.75" x14ac:dyDescent="0.25">
      <c r="A305" s="456" t="str">
        <f>IF(AND(R305&lt;&gt;"",R304&lt;&gt;""),(-Sheet1!L305/Sheet1!L304)^(360/(R305-R304-1))-1,"")</f>
        <v/>
      </c>
      <c r="B305" s="41" t="str">
        <f ca="1">IF(AND(Sheet1!L305&lt;0, Sheet1!$C$21&gt;R305+1,OR(Sheet1!$C$21&lt;=R306,Sheet1!L306="")),   -1*Sheet1!L305,"")</f>
        <v/>
      </c>
      <c r="C305" s="42">
        <f ca="1">IF(Sheet3!$B$5="",0,    IF(E305&lt;1,0,  IF(B305="","",     IF(OR(Sheet3!$B$6=0,INDIRECT(ADDRESS(ROW(),Sheet3!$B$3+16))="" ),D305/E305,    IF(E305&lt;0,0,    IF(OR( INDIRECT(ADDRESS(8,Sheet3!$B$3+16))="",INDIRECT(ADDRESS(ROW(),Sheet3!$B$3+17))=""),        (INDIRECT(ADDRESS(ROW(),Sheet3!$B$3+16))+B305)*Sheet3!$Q$4,         INDIRECT(ADDRESS(ROW(),Sheet3!$B$3+17))-INDIRECT(ADDRESS(ROW(),Sheet3!$B$3+16))))))))</f>
        <v>0</v>
      </c>
      <c r="D305" s="39">
        <f ca="1">IF(Sheet3!$B$5="",0,IF(B305="","",IF(E305&lt;1,0,   IF(INDIRECT(ADDRESS(ROW(), Sheet3!$B$3+17))="",        INDIRECT(ADDRESS(ROW(), Sheet3!$B$3+16))*  (1+Sheet3!$Q$4)   +B305*Sheet3!$Q$4,       INDIRECT(ADDRESS(ROW(), Sheet3!$B$3+17))))))</f>
        <v>0</v>
      </c>
      <c r="E305" s="40">
        <f ca="1">IF(AND(Sheet1!L305&lt;0,  Sheet1!$C$21&gt;R305),    IF(OR(Sheet1!$C$21&lt;=R306,  Sheet1!L306=""),       IF(AND(MOD(NOW(),1)&lt;TIME(9,39,0),Sheet1!$C$22=TODAY()),    Sheet1!$C$21-R305,     Sheet1!$C$21-R305-1),               R306-R305-1),    0)</f>
        <v>0</v>
      </c>
      <c r="F305" s="30"/>
      <c r="G305" s="25" t="str">
        <f>IF(LEFT(Sheet1!K306,2)="0x",Sheet1!K305,IF(AND(Sheet1!L305="",Sheet1!L304=""),"",G304))</f>
        <v/>
      </c>
      <c r="H305" s="81"/>
      <c r="I305" s="43" t="str">
        <f t="shared" si="25"/>
        <v/>
      </c>
      <c r="J305" s="29" t="str">
        <f t="shared" si="24"/>
        <v/>
      </c>
      <c r="K305" s="24" t="str">
        <f>IF(Sheet1!L305="","",IF(Sheet1!L305&gt;0,ROW(),""))</f>
        <v/>
      </c>
      <c r="L305" s="24" t="str">
        <f t="shared" ca="1" si="22"/>
        <v/>
      </c>
      <c r="M305" s="47" t="str">
        <f t="shared" ca="1" si="23"/>
        <v/>
      </c>
      <c r="N305" s="48" t="str">
        <f>IF(LEFT(Sheet1!K305,2)="0x",Sheet1!K305,IF(AND(Sheet1!L305="",Sheet1!L304=""),"",N304))</f>
        <v/>
      </c>
      <c r="O305" s="46">
        <f>IF(Sheet1!L305="",0,IF(Sheet1!O305&lt;TIME(7,39,0)+Sheet1!$E$3/24,1,0))</f>
        <v>0</v>
      </c>
      <c r="P305" s="46" t="str">
        <f ca="1">IF(AND(Sheet1!L305&lt;0, Sheet1!$C$21&gt;R305,OR(Sheet1!$C$21&lt;=R306,Sheet1!L306="")),   -1*Sheet1!L305,"")</f>
        <v/>
      </c>
    </row>
    <row r="306" spans="1:16" ht="15.75" x14ac:dyDescent="0.25">
      <c r="A306" s="456" t="str">
        <f>IF(AND(R306&lt;&gt;"",R305&lt;&gt;""),(-Sheet1!L306/Sheet1!L305)^(360/(R306-R305-1))-1,"")</f>
        <v/>
      </c>
      <c r="B306" s="41" t="str">
        <f ca="1">IF(AND(Sheet1!L306&lt;0, Sheet1!$C$21&gt;R306+1,OR(Sheet1!$C$21&lt;=R307,Sheet1!L307="")),   -1*Sheet1!L306,"")</f>
        <v/>
      </c>
      <c r="C306" s="42">
        <f ca="1">IF(Sheet3!$B$5="",0,    IF(E306&lt;1,0,  IF(B306="","",     IF(OR(Sheet3!$B$6=0,INDIRECT(ADDRESS(ROW(),Sheet3!$B$3+16))="" ),D306/E306,    IF(E306&lt;0,0,    IF(OR( INDIRECT(ADDRESS(8,Sheet3!$B$3+16))="",INDIRECT(ADDRESS(ROW(),Sheet3!$B$3+17))=""),        (INDIRECT(ADDRESS(ROW(),Sheet3!$B$3+16))+B306)*Sheet3!$Q$4,         INDIRECT(ADDRESS(ROW(),Sheet3!$B$3+17))-INDIRECT(ADDRESS(ROW(),Sheet3!$B$3+16))))))))</f>
        <v>0</v>
      </c>
      <c r="D306" s="39">
        <f ca="1">IF(Sheet3!$B$5="",0,IF(B306="","",IF(E306&lt;1,0,   IF(INDIRECT(ADDRESS(ROW(), Sheet3!$B$3+17))="",        INDIRECT(ADDRESS(ROW(), Sheet3!$B$3+16))*  (1+Sheet3!$Q$4)   +B306*Sheet3!$Q$4,       INDIRECT(ADDRESS(ROW(), Sheet3!$B$3+17))))))</f>
        <v>0</v>
      </c>
      <c r="E306" s="40">
        <f ca="1">IF(AND(Sheet1!L306&lt;0,  Sheet1!$C$21&gt;R306),    IF(OR(Sheet1!$C$21&lt;=R307,  Sheet1!L307=""),       IF(AND(MOD(NOW(),1)&lt;TIME(9,39,0),Sheet1!$C$22=TODAY()),    Sheet1!$C$21-R306,     Sheet1!$C$21-R306-1),               R307-R306-1),    0)</f>
        <v>0</v>
      </c>
      <c r="F306" s="30"/>
      <c r="G306" s="25" t="str">
        <f>IF(LEFT(Sheet1!K307,2)="0x",Sheet1!K306,IF(AND(Sheet1!L306="",Sheet1!L305=""),"",G305))</f>
        <v/>
      </c>
      <c r="H306" s="81"/>
      <c r="I306" s="43" t="str">
        <f t="shared" si="25"/>
        <v/>
      </c>
      <c r="J306" s="29" t="str">
        <f t="shared" si="24"/>
        <v/>
      </c>
      <c r="K306" s="24" t="str">
        <f>IF(Sheet1!L306="","",IF(Sheet1!L306&gt;0,ROW(),""))</f>
        <v/>
      </c>
      <c r="L306" s="24" t="str">
        <f t="shared" ca="1" si="22"/>
        <v/>
      </c>
      <c r="M306" s="47" t="str">
        <f t="shared" ca="1" si="23"/>
        <v/>
      </c>
      <c r="N306" s="48" t="str">
        <f>IF(LEFT(Sheet1!K306,2)="0x",Sheet1!K306,IF(AND(Sheet1!L306="",Sheet1!L305=""),"",N305))</f>
        <v/>
      </c>
      <c r="O306" s="46">
        <f>IF(Sheet1!L306="",0,IF(Sheet1!O306&lt;TIME(7,39,0)+Sheet1!$E$3/24,1,0))</f>
        <v>0</v>
      </c>
      <c r="P306" s="46" t="str">
        <f ca="1">IF(AND(Sheet1!L306&lt;0, Sheet1!$C$21&gt;R306,OR(Sheet1!$C$21&lt;=R307,Sheet1!L307="")),   -1*Sheet1!L306,"")</f>
        <v/>
      </c>
    </row>
    <row r="307" spans="1:16" ht="15.75" x14ac:dyDescent="0.25">
      <c r="A307" s="456" t="str">
        <f>IF(AND(R307&lt;&gt;"",R306&lt;&gt;""),(-Sheet1!L307/Sheet1!L306)^(360/(R307-R306-1))-1,"")</f>
        <v/>
      </c>
      <c r="B307" s="41" t="str">
        <f ca="1">IF(AND(Sheet1!L307&lt;0, Sheet1!$C$21&gt;R307+1,OR(Sheet1!$C$21&lt;=R308,Sheet1!L308="")),   -1*Sheet1!L307,"")</f>
        <v/>
      </c>
      <c r="C307" s="42">
        <f ca="1">IF(Sheet3!$B$5="",0,    IF(E307&lt;1,0,  IF(B307="","",     IF(OR(Sheet3!$B$6=0,INDIRECT(ADDRESS(ROW(),Sheet3!$B$3+16))="" ),D307/E307,    IF(E307&lt;0,0,    IF(OR( INDIRECT(ADDRESS(8,Sheet3!$B$3+16))="",INDIRECT(ADDRESS(ROW(),Sheet3!$B$3+17))=""),        (INDIRECT(ADDRESS(ROW(),Sheet3!$B$3+16))+B307)*Sheet3!$Q$4,         INDIRECT(ADDRESS(ROW(),Sheet3!$B$3+17))-INDIRECT(ADDRESS(ROW(),Sheet3!$B$3+16))))))))</f>
        <v>0</v>
      </c>
      <c r="D307" s="39">
        <f ca="1">IF(Sheet3!$B$5="",0,IF(B307="","",IF(E307&lt;1,0,   IF(INDIRECT(ADDRESS(ROW(), Sheet3!$B$3+17))="",        INDIRECT(ADDRESS(ROW(), Sheet3!$B$3+16))*  (1+Sheet3!$Q$4)   +B307*Sheet3!$Q$4,       INDIRECT(ADDRESS(ROW(), Sheet3!$B$3+17))))))</f>
        <v>0</v>
      </c>
      <c r="E307" s="40">
        <f ca="1">IF(AND(Sheet1!L307&lt;0,  Sheet1!$C$21&gt;R307),    IF(OR(Sheet1!$C$21&lt;=R308,  Sheet1!L308=""),       IF(AND(MOD(NOW(),1)&lt;TIME(9,39,0),Sheet1!$C$22=TODAY()),    Sheet1!$C$21-R307,     Sheet1!$C$21-R307-1),               R308-R307-1),    0)</f>
        <v>0</v>
      </c>
      <c r="F307" s="30"/>
      <c r="G307" s="25" t="str">
        <f>IF(LEFT(Sheet1!K308,2)="0x",Sheet1!K307,IF(AND(Sheet1!L307="",Sheet1!L306=""),"",G306))</f>
        <v/>
      </c>
      <c r="H307" s="81"/>
      <c r="I307" s="43" t="str">
        <f t="shared" si="25"/>
        <v/>
      </c>
      <c r="J307" s="29" t="str">
        <f t="shared" si="24"/>
        <v/>
      </c>
      <c r="K307" s="24" t="str">
        <f>IF(Sheet1!L307="","",IF(Sheet1!L307&gt;0,ROW(),""))</f>
        <v/>
      </c>
      <c r="L307" s="24" t="str">
        <f t="shared" ca="1" si="22"/>
        <v/>
      </c>
      <c r="M307" s="47" t="str">
        <f t="shared" ca="1" si="23"/>
        <v/>
      </c>
      <c r="N307" s="48" t="str">
        <f>IF(LEFT(Sheet1!K307,2)="0x",Sheet1!K307,IF(AND(Sheet1!L307="",Sheet1!L306=""),"",N306))</f>
        <v/>
      </c>
      <c r="O307" s="46">
        <f>IF(Sheet1!L307="",0,IF(Sheet1!O307&lt;TIME(7,39,0)+Sheet1!$E$3/24,1,0))</f>
        <v>0</v>
      </c>
      <c r="P307" s="46" t="str">
        <f ca="1">IF(AND(Sheet1!L307&lt;0, Sheet1!$C$21&gt;R307,OR(Sheet1!$C$21&lt;=R308,Sheet1!L308="")),   -1*Sheet1!L307,"")</f>
        <v/>
      </c>
    </row>
    <row r="308" spans="1:16" ht="15.75" x14ac:dyDescent="0.25">
      <c r="A308" s="456" t="str">
        <f>IF(AND(R308&lt;&gt;"",R307&lt;&gt;""),(-Sheet1!L308/Sheet1!L307)^(360/(R308-R307-1))-1,"")</f>
        <v/>
      </c>
      <c r="B308" s="41" t="str">
        <f ca="1">IF(AND(Sheet1!L308&lt;0, Sheet1!$C$21&gt;R308+1,OR(Sheet1!$C$21&lt;=R309,Sheet1!L309="")),   -1*Sheet1!L308,"")</f>
        <v/>
      </c>
      <c r="C308" s="42">
        <f ca="1">IF(Sheet3!$B$5="",0,    IF(E308&lt;1,0,  IF(B308="","",     IF(OR(Sheet3!$B$6=0,INDIRECT(ADDRESS(ROW(),Sheet3!$B$3+16))="" ),D308/E308,    IF(E308&lt;0,0,    IF(OR( INDIRECT(ADDRESS(8,Sheet3!$B$3+16))="",INDIRECT(ADDRESS(ROW(),Sheet3!$B$3+17))=""),        (INDIRECT(ADDRESS(ROW(),Sheet3!$B$3+16))+B308)*Sheet3!$Q$4,         INDIRECT(ADDRESS(ROW(),Sheet3!$B$3+17))-INDIRECT(ADDRESS(ROW(),Sheet3!$B$3+16))))))))</f>
        <v>0</v>
      </c>
      <c r="D308" s="39">
        <f ca="1">IF(Sheet3!$B$5="",0,IF(B308="","",IF(E308&lt;1,0,   IF(INDIRECT(ADDRESS(ROW(), Sheet3!$B$3+17))="",        INDIRECT(ADDRESS(ROW(), Sheet3!$B$3+16))*  (1+Sheet3!$Q$4)   +B308*Sheet3!$Q$4,       INDIRECT(ADDRESS(ROW(), Sheet3!$B$3+17))))))</f>
        <v>0</v>
      </c>
      <c r="E308" s="40">
        <f ca="1">IF(AND(Sheet1!L308&lt;0,  Sheet1!$C$21&gt;R308),    IF(OR(Sheet1!$C$21&lt;=R309,  Sheet1!L309=""),       IF(AND(MOD(NOW(),1)&lt;TIME(9,39,0),Sheet1!$C$22=TODAY()),    Sheet1!$C$21-R308,     Sheet1!$C$21-R308-1),               R309-R308-1),    0)</f>
        <v>0</v>
      </c>
      <c r="F308" s="30"/>
      <c r="G308" s="25" t="str">
        <f>IF(LEFT(Sheet1!K309,2)="0x",Sheet1!K308,IF(AND(Sheet1!L308="",Sheet1!L307=""),"",G307))</f>
        <v/>
      </c>
      <c r="H308" s="81"/>
      <c r="I308" s="43" t="str">
        <f t="shared" si="25"/>
        <v/>
      </c>
      <c r="J308" s="29" t="str">
        <f t="shared" si="24"/>
        <v/>
      </c>
      <c r="K308" s="24" t="str">
        <f>IF(Sheet1!L308="","",IF(Sheet1!L308&gt;0,ROW(),""))</f>
        <v/>
      </c>
      <c r="L308" s="24" t="str">
        <f t="shared" ca="1" si="22"/>
        <v/>
      </c>
      <c r="M308" s="47" t="str">
        <f t="shared" ca="1" si="23"/>
        <v/>
      </c>
      <c r="N308" s="48" t="str">
        <f>IF(LEFT(Sheet1!K308,2)="0x",Sheet1!K308,IF(AND(Sheet1!L308="",Sheet1!L307=""),"",N307))</f>
        <v/>
      </c>
      <c r="O308" s="46">
        <f>IF(Sheet1!L308="",0,IF(Sheet1!O308&lt;TIME(7,39,0)+Sheet1!$E$3/24,1,0))</f>
        <v>0</v>
      </c>
      <c r="P308" s="46" t="str">
        <f ca="1">IF(AND(Sheet1!L308&lt;0, Sheet1!$C$21&gt;R308,OR(Sheet1!$C$21&lt;=R309,Sheet1!L309="")),   -1*Sheet1!L308,"")</f>
        <v/>
      </c>
    </row>
    <row r="309" spans="1:16" ht="15.75" x14ac:dyDescent="0.25">
      <c r="A309" s="456" t="str">
        <f>IF(AND(R309&lt;&gt;"",R308&lt;&gt;""),(-Sheet1!L309/Sheet1!L308)^(360/(R309-R308-1))-1,"")</f>
        <v/>
      </c>
      <c r="B309" s="41" t="str">
        <f ca="1">IF(AND(Sheet1!L309&lt;0, Sheet1!$C$21&gt;R309+1,OR(Sheet1!$C$21&lt;=R310,Sheet1!L310="")),   -1*Sheet1!L309,"")</f>
        <v/>
      </c>
      <c r="C309" s="42">
        <f ca="1">IF(Sheet3!$B$5="",0,    IF(E309&lt;1,0,  IF(B309="","",     IF(OR(Sheet3!$B$6=0,INDIRECT(ADDRESS(ROW(),Sheet3!$B$3+16))="" ),D309/E309,    IF(E309&lt;0,0,    IF(OR( INDIRECT(ADDRESS(8,Sheet3!$B$3+16))="",INDIRECT(ADDRESS(ROW(),Sheet3!$B$3+17))=""),        (INDIRECT(ADDRESS(ROW(),Sheet3!$B$3+16))+B309)*Sheet3!$Q$4,         INDIRECT(ADDRESS(ROW(),Sheet3!$B$3+17))-INDIRECT(ADDRESS(ROW(),Sheet3!$B$3+16))))))))</f>
        <v>0</v>
      </c>
      <c r="D309" s="39">
        <f ca="1">IF(Sheet3!$B$5="",0,IF(B309="","",IF(E309&lt;1,0,   IF(INDIRECT(ADDRESS(ROW(), Sheet3!$B$3+17))="",        INDIRECT(ADDRESS(ROW(), Sheet3!$B$3+16))*  (1+Sheet3!$Q$4)   +B309*Sheet3!$Q$4,       INDIRECT(ADDRESS(ROW(), Sheet3!$B$3+17))))))</f>
        <v>0</v>
      </c>
      <c r="E309" s="40">
        <f ca="1">IF(AND(Sheet1!L309&lt;0,  Sheet1!$C$21&gt;R309),    IF(OR(Sheet1!$C$21&lt;=R310,  Sheet1!L310=""),       IF(AND(MOD(NOW(),1)&lt;TIME(9,39,0),Sheet1!$C$22=TODAY()),    Sheet1!$C$21-R309,     Sheet1!$C$21-R309-1),               R310-R309-1),    0)</f>
        <v>0</v>
      </c>
      <c r="F309" s="30"/>
      <c r="G309" s="25" t="str">
        <f>IF(LEFT(Sheet1!K310,2)="0x",Sheet1!K309,IF(AND(Sheet1!L309="",Sheet1!L308=""),"",G308))</f>
        <v/>
      </c>
      <c r="H309" s="81"/>
      <c r="I309" s="43" t="str">
        <f t="shared" si="25"/>
        <v/>
      </c>
      <c r="J309" s="29" t="str">
        <f t="shared" si="24"/>
        <v/>
      </c>
      <c r="K309" s="24" t="str">
        <f>IF(Sheet1!L309="","",IF(Sheet1!L309&gt;0,ROW(),""))</f>
        <v/>
      </c>
      <c r="L309" s="24" t="str">
        <f t="shared" ca="1" si="22"/>
        <v/>
      </c>
      <c r="M309" s="47" t="str">
        <f t="shared" ca="1" si="23"/>
        <v/>
      </c>
      <c r="N309" s="48" t="str">
        <f>IF(LEFT(Sheet1!K309,2)="0x",Sheet1!K309,IF(AND(Sheet1!L309="",Sheet1!L308=""),"",N308))</f>
        <v/>
      </c>
      <c r="O309" s="46">
        <f>IF(Sheet1!L309="",0,IF(Sheet1!O309&lt;TIME(7,39,0)+Sheet1!$E$3/24,1,0))</f>
        <v>0</v>
      </c>
      <c r="P309" s="46" t="str">
        <f ca="1">IF(AND(Sheet1!L309&lt;0, Sheet1!$C$21&gt;R309,OR(Sheet1!$C$21&lt;=R310,Sheet1!L310="")),   -1*Sheet1!L309,"")</f>
        <v/>
      </c>
    </row>
    <row r="310" spans="1:16" ht="15.75" x14ac:dyDescent="0.25">
      <c r="A310" s="456" t="str">
        <f>IF(AND(R310&lt;&gt;"",R309&lt;&gt;""),(-Sheet1!L310/Sheet1!L309)^(360/(R310-R309-1))-1,"")</f>
        <v/>
      </c>
      <c r="B310" s="41" t="str">
        <f ca="1">IF(AND(Sheet1!L310&lt;0, Sheet1!$C$21&gt;R310+1,OR(Sheet1!$C$21&lt;=R311,Sheet1!L311="")),   -1*Sheet1!L310,"")</f>
        <v/>
      </c>
      <c r="C310" s="42">
        <f ca="1">IF(Sheet3!$B$5="",0,    IF(E310&lt;1,0,  IF(B310="","",     IF(OR(Sheet3!$B$6=0,INDIRECT(ADDRESS(ROW(),Sheet3!$B$3+16))="" ),D310/E310,    IF(E310&lt;0,0,    IF(OR( INDIRECT(ADDRESS(8,Sheet3!$B$3+16))="",INDIRECT(ADDRESS(ROW(),Sheet3!$B$3+17))=""),        (INDIRECT(ADDRESS(ROW(),Sheet3!$B$3+16))+B310)*Sheet3!$Q$4,         INDIRECT(ADDRESS(ROW(),Sheet3!$B$3+17))-INDIRECT(ADDRESS(ROW(),Sheet3!$B$3+16))))))))</f>
        <v>0</v>
      </c>
      <c r="D310" s="39">
        <f ca="1">IF(Sheet3!$B$5="",0,IF(B310="","",IF(E310&lt;1,0,   IF(INDIRECT(ADDRESS(ROW(), Sheet3!$B$3+17))="",        INDIRECT(ADDRESS(ROW(), Sheet3!$B$3+16))*  (1+Sheet3!$Q$4)   +B310*Sheet3!$Q$4,       INDIRECT(ADDRESS(ROW(), Sheet3!$B$3+17))))))</f>
        <v>0</v>
      </c>
      <c r="E310" s="40">
        <f ca="1">IF(AND(Sheet1!L310&lt;0,  Sheet1!$C$21&gt;R310),    IF(OR(Sheet1!$C$21&lt;=R311,  Sheet1!L311=""),       IF(AND(MOD(NOW(),1)&lt;TIME(9,39,0),Sheet1!$C$22=TODAY()),    Sheet1!$C$21-R310,     Sheet1!$C$21-R310-1),               R311-R310-1),    0)</f>
        <v>0</v>
      </c>
      <c r="F310" s="30"/>
      <c r="G310" s="25" t="str">
        <f>IF(LEFT(Sheet1!K311,2)="0x",Sheet1!K310,IF(AND(Sheet1!L310="",Sheet1!L309=""),"",G309))</f>
        <v/>
      </c>
      <c r="H310" s="81"/>
      <c r="I310" s="43" t="str">
        <f t="shared" si="25"/>
        <v/>
      </c>
      <c r="J310" s="29" t="str">
        <f t="shared" si="24"/>
        <v/>
      </c>
      <c r="K310" s="24" t="str">
        <f>IF(Sheet1!L310="","",IF(Sheet1!L310&gt;0,ROW(),""))</f>
        <v/>
      </c>
      <c r="L310" s="24" t="str">
        <f t="shared" ca="1" si="22"/>
        <v/>
      </c>
      <c r="M310" s="47" t="str">
        <f t="shared" ca="1" si="23"/>
        <v/>
      </c>
      <c r="N310" s="48" t="str">
        <f>IF(LEFT(Sheet1!K310,2)="0x",Sheet1!K310,IF(AND(Sheet1!L310="",Sheet1!L309=""),"",N309))</f>
        <v/>
      </c>
      <c r="O310" s="46">
        <f>IF(Sheet1!L310="",0,IF(Sheet1!O310&lt;TIME(7,39,0)+Sheet1!$E$3/24,1,0))</f>
        <v>0</v>
      </c>
      <c r="P310" s="46" t="str">
        <f ca="1">IF(AND(Sheet1!L310&lt;0, Sheet1!$C$21&gt;R310,OR(Sheet1!$C$21&lt;=R311,Sheet1!L311="")),   -1*Sheet1!L310,"")</f>
        <v/>
      </c>
    </row>
    <row r="311" spans="1:16" ht="15.75" x14ac:dyDescent="0.25">
      <c r="A311" s="456" t="str">
        <f>IF(AND(R311&lt;&gt;"",R310&lt;&gt;""),(-Sheet1!L311/Sheet1!L310)^(360/(R311-R310-1))-1,"")</f>
        <v/>
      </c>
      <c r="B311" s="41" t="str">
        <f ca="1">IF(AND(Sheet1!L311&lt;0, Sheet1!$C$21&gt;R311+1,OR(Sheet1!$C$21&lt;=R312,Sheet1!L312="")),   -1*Sheet1!L311,"")</f>
        <v/>
      </c>
      <c r="C311" s="42">
        <f ca="1">IF(Sheet3!$B$5="",0,    IF(E311&lt;1,0,  IF(B311="","",     IF(OR(Sheet3!$B$6=0,INDIRECT(ADDRESS(ROW(),Sheet3!$B$3+16))="" ),D311/E311,    IF(E311&lt;0,0,    IF(OR( INDIRECT(ADDRESS(8,Sheet3!$B$3+16))="",INDIRECT(ADDRESS(ROW(),Sheet3!$B$3+17))=""),        (INDIRECT(ADDRESS(ROW(),Sheet3!$B$3+16))+B311)*Sheet3!$Q$4,         INDIRECT(ADDRESS(ROW(),Sheet3!$B$3+17))-INDIRECT(ADDRESS(ROW(),Sheet3!$B$3+16))))))))</f>
        <v>0</v>
      </c>
      <c r="D311" s="39">
        <f ca="1">IF(Sheet3!$B$5="",0,IF(B311="","",IF(E311&lt;1,0,   IF(INDIRECT(ADDRESS(ROW(), Sheet3!$B$3+17))="",        INDIRECT(ADDRESS(ROW(), Sheet3!$B$3+16))*  (1+Sheet3!$Q$4)   +B311*Sheet3!$Q$4,       INDIRECT(ADDRESS(ROW(), Sheet3!$B$3+17))))))</f>
        <v>0</v>
      </c>
      <c r="E311" s="40">
        <f ca="1">IF(AND(Sheet1!L311&lt;0,  Sheet1!$C$21&gt;R311),    IF(OR(Sheet1!$C$21&lt;=R312,  Sheet1!L312=""),       IF(AND(MOD(NOW(),1)&lt;TIME(9,39,0),Sheet1!$C$22=TODAY()),    Sheet1!$C$21-R311,     Sheet1!$C$21-R311-1),               R312-R311-1),    0)</f>
        <v>0</v>
      </c>
      <c r="F311" s="30"/>
      <c r="G311" s="25" t="str">
        <f>IF(LEFT(Sheet1!K312,2)="0x",Sheet1!K311,IF(AND(Sheet1!L311="",Sheet1!L310=""),"",G310))</f>
        <v/>
      </c>
      <c r="H311" s="81"/>
      <c r="I311" s="43" t="str">
        <f t="shared" si="25"/>
        <v/>
      </c>
      <c r="J311" s="29" t="str">
        <f t="shared" si="24"/>
        <v/>
      </c>
      <c r="K311" s="24" t="str">
        <f>IF(Sheet1!L311="","",IF(Sheet1!L311&gt;0,ROW(),""))</f>
        <v/>
      </c>
      <c r="L311" s="24" t="str">
        <f t="shared" ca="1" si="22"/>
        <v/>
      </c>
      <c r="M311" s="47" t="str">
        <f t="shared" ca="1" si="23"/>
        <v/>
      </c>
      <c r="N311" s="48" t="str">
        <f>IF(LEFT(Sheet1!K311,2)="0x",Sheet1!K311,IF(AND(Sheet1!L311="",Sheet1!L310=""),"",N310))</f>
        <v/>
      </c>
      <c r="O311" s="46">
        <f>IF(Sheet1!L311="",0,IF(Sheet1!O311&lt;TIME(7,39,0)+Sheet1!$E$3/24,1,0))</f>
        <v>0</v>
      </c>
      <c r="P311" s="46" t="str">
        <f ca="1">IF(AND(Sheet1!L311&lt;0, Sheet1!$C$21&gt;R311,OR(Sheet1!$C$21&lt;=R312,Sheet1!L312="")),   -1*Sheet1!L311,"")</f>
        <v/>
      </c>
    </row>
    <row r="312" spans="1:16" ht="15.75" x14ac:dyDescent="0.25">
      <c r="A312" s="456" t="str">
        <f>IF(AND(R312&lt;&gt;"",R311&lt;&gt;""),(-Sheet1!L312/Sheet1!L311)^(360/(R312-R311-1))-1,"")</f>
        <v/>
      </c>
      <c r="B312" s="41" t="str">
        <f ca="1">IF(AND(Sheet1!L312&lt;0, Sheet1!$C$21&gt;R312+1,OR(Sheet1!$C$21&lt;=R313,Sheet1!L313="")),   -1*Sheet1!L312,"")</f>
        <v/>
      </c>
      <c r="C312" s="42">
        <f ca="1">IF(Sheet3!$B$5="",0,    IF(E312&lt;1,0,  IF(B312="","",     IF(OR(Sheet3!$B$6=0,INDIRECT(ADDRESS(ROW(),Sheet3!$B$3+16))="" ),D312/E312,    IF(E312&lt;0,0,    IF(OR( INDIRECT(ADDRESS(8,Sheet3!$B$3+16))="",INDIRECT(ADDRESS(ROW(),Sheet3!$B$3+17))=""),        (INDIRECT(ADDRESS(ROW(),Sheet3!$B$3+16))+B312)*Sheet3!$Q$4,         INDIRECT(ADDRESS(ROW(),Sheet3!$B$3+17))-INDIRECT(ADDRESS(ROW(),Sheet3!$B$3+16))))))))</f>
        <v>0</v>
      </c>
      <c r="D312" s="39">
        <f ca="1">IF(Sheet3!$B$5="",0,IF(B312="","",IF(E312&lt;1,0,   IF(INDIRECT(ADDRESS(ROW(), Sheet3!$B$3+17))="",        INDIRECT(ADDRESS(ROW(), Sheet3!$B$3+16))*  (1+Sheet3!$Q$4)   +B312*Sheet3!$Q$4,       INDIRECT(ADDRESS(ROW(), Sheet3!$B$3+17))))))</f>
        <v>0</v>
      </c>
      <c r="E312" s="40">
        <f ca="1">IF(AND(Sheet1!L312&lt;0,  Sheet1!$C$21&gt;R312),    IF(OR(Sheet1!$C$21&lt;=R313,  Sheet1!L313=""),       IF(AND(MOD(NOW(),1)&lt;TIME(9,39,0),Sheet1!$C$22=TODAY()),    Sheet1!$C$21-R312,     Sheet1!$C$21-R312-1),               R313-R312-1),    0)</f>
        <v>0</v>
      </c>
      <c r="F312" s="30"/>
      <c r="G312" s="25" t="str">
        <f>IF(LEFT(Sheet1!K313,2)="0x",Sheet1!K312,IF(AND(Sheet1!L312="",Sheet1!L311=""),"",G311))</f>
        <v/>
      </c>
      <c r="H312" s="81"/>
      <c r="I312" s="43" t="str">
        <f t="shared" si="25"/>
        <v/>
      </c>
      <c r="J312" s="29" t="str">
        <f t="shared" si="24"/>
        <v/>
      </c>
      <c r="K312" s="24" t="str">
        <f>IF(Sheet1!L312="","",IF(Sheet1!L312&gt;0,ROW(),""))</f>
        <v/>
      </c>
      <c r="L312" s="24" t="str">
        <f t="shared" ca="1" si="22"/>
        <v/>
      </c>
      <c r="M312" s="47" t="str">
        <f t="shared" ca="1" si="23"/>
        <v/>
      </c>
      <c r="N312" s="48" t="str">
        <f>IF(LEFT(Sheet1!K312,2)="0x",Sheet1!K312,IF(AND(Sheet1!L312="",Sheet1!L311=""),"",N311))</f>
        <v/>
      </c>
      <c r="O312" s="46">
        <f>IF(Sheet1!L312="",0,IF(Sheet1!O312&lt;TIME(7,39,0)+Sheet1!$E$3/24,1,0))</f>
        <v>0</v>
      </c>
      <c r="P312" s="46" t="str">
        <f ca="1">IF(AND(Sheet1!L312&lt;0, Sheet1!$C$21&gt;R312,OR(Sheet1!$C$21&lt;=R313,Sheet1!L313="")),   -1*Sheet1!L312,"")</f>
        <v/>
      </c>
    </row>
    <row r="313" spans="1:16" ht="15.75" x14ac:dyDescent="0.25">
      <c r="A313" s="456" t="str">
        <f>IF(AND(R313&lt;&gt;"",R312&lt;&gt;""),(-Sheet1!L313/Sheet1!L312)^(360/(R313-R312-1))-1,"")</f>
        <v/>
      </c>
      <c r="B313" s="41" t="str">
        <f ca="1">IF(AND(Sheet1!L313&lt;0, Sheet1!$C$21&gt;R313+1,OR(Sheet1!$C$21&lt;=R314,Sheet1!L314="")),   -1*Sheet1!L313,"")</f>
        <v/>
      </c>
      <c r="C313" s="42">
        <f ca="1">IF(Sheet3!$B$5="",0,    IF(E313&lt;1,0,  IF(B313="","",     IF(OR(Sheet3!$B$6=0,INDIRECT(ADDRESS(ROW(),Sheet3!$B$3+16))="" ),D313/E313,    IF(E313&lt;0,0,    IF(OR( INDIRECT(ADDRESS(8,Sheet3!$B$3+16))="",INDIRECT(ADDRESS(ROW(),Sheet3!$B$3+17))=""),        (INDIRECT(ADDRESS(ROW(),Sheet3!$B$3+16))+B313)*Sheet3!$Q$4,         INDIRECT(ADDRESS(ROW(),Sheet3!$B$3+17))-INDIRECT(ADDRESS(ROW(),Sheet3!$B$3+16))))))))</f>
        <v>0</v>
      </c>
      <c r="D313" s="39">
        <f ca="1">IF(Sheet3!$B$5="",0,IF(B313="","",IF(E313&lt;1,0,   IF(INDIRECT(ADDRESS(ROW(), Sheet3!$B$3+17))="",        INDIRECT(ADDRESS(ROW(), Sheet3!$B$3+16))*  (1+Sheet3!$Q$4)   +B313*Sheet3!$Q$4,       INDIRECT(ADDRESS(ROW(), Sheet3!$B$3+17))))))</f>
        <v>0</v>
      </c>
      <c r="E313" s="40">
        <f ca="1">IF(AND(Sheet1!L313&lt;0,  Sheet1!$C$21&gt;R313),    IF(OR(Sheet1!$C$21&lt;=R314,  Sheet1!L314=""),       IF(AND(MOD(NOW(),1)&lt;TIME(9,39,0),Sheet1!$C$22=TODAY()),    Sheet1!$C$21-R313,     Sheet1!$C$21-R313-1),               R314-R313-1),    0)</f>
        <v>0</v>
      </c>
      <c r="F313" s="30"/>
      <c r="G313" s="25" t="str">
        <f>IF(LEFT(Sheet1!K314,2)="0x",Sheet1!K313,IF(AND(Sheet1!L313="",Sheet1!L312=""),"",G312))</f>
        <v/>
      </c>
      <c r="H313" s="81"/>
      <c r="I313" s="43" t="str">
        <f t="shared" si="25"/>
        <v/>
      </c>
      <c r="J313" s="29" t="str">
        <f t="shared" si="24"/>
        <v/>
      </c>
      <c r="K313" s="24" t="str">
        <f>IF(Sheet1!L313="","",IF(Sheet1!L313&gt;0,ROW(),""))</f>
        <v/>
      </c>
      <c r="L313" s="24" t="str">
        <f t="shared" ca="1" si="22"/>
        <v/>
      </c>
      <c r="M313" s="47" t="str">
        <f t="shared" ca="1" si="23"/>
        <v/>
      </c>
      <c r="N313" s="48" t="str">
        <f>IF(LEFT(Sheet1!K313,2)="0x",Sheet1!K313,IF(AND(Sheet1!L313="",Sheet1!L312=""),"",N312))</f>
        <v/>
      </c>
      <c r="O313" s="46">
        <f>IF(Sheet1!L313="",0,IF(Sheet1!O313&lt;TIME(7,39,0)+Sheet1!$E$3/24,1,0))</f>
        <v>0</v>
      </c>
      <c r="P313" s="46" t="str">
        <f ca="1">IF(AND(Sheet1!L313&lt;0, Sheet1!$C$21&gt;R313,OR(Sheet1!$C$21&lt;=R314,Sheet1!L314="")),   -1*Sheet1!L313,"")</f>
        <v/>
      </c>
    </row>
    <row r="314" spans="1:16" ht="15.75" x14ac:dyDescent="0.25">
      <c r="A314" s="456" t="str">
        <f>IF(AND(R314&lt;&gt;"",R313&lt;&gt;""),(-Sheet1!L314/Sheet1!L313)^(360/(R314-R313-1))-1,"")</f>
        <v/>
      </c>
      <c r="B314" s="41" t="str">
        <f ca="1">IF(AND(Sheet1!L314&lt;0, Sheet1!$C$21&gt;R314+1,OR(Sheet1!$C$21&lt;=R315,Sheet1!L315="")),   -1*Sheet1!L314,"")</f>
        <v/>
      </c>
      <c r="C314" s="42">
        <f ca="1">IF(Sheet3!$B$5="",0,    IF(E314&lt;1,0,  IF(B314="","",     IF(OR(Sheet3!$B$6=0,INDIRECT(ADDRESS(ROW(),Sheet3!$B$3+16))="" ),D314/E314,    IF(E314&lt;0,0,    IF(OR( INDIRECT(ADDRESS(8,Sheet3!$B$3+16))="",INDIRECT(ADDRESS(ROW(),Sheet3!$B$3+17))=""),        (INDIRECT(ADDRESS(ROW(),Sheet3!$B$3+16))+B314)*Sheet3!$Q$4,         INDIRECT(ADDRESS(ROW(),Sheet3!$B$3+17))-INDIRECT(ADDRESS(ROW(),Sheet3!$B$3+16))))))))</f>
        <v>0</v>
      </c>
      <c r="D314" s="39">
        <f ca="1">IF(Sheet3!$B$5="",0,IF(B314="","",IF(E314&lt;1,0,   IF(INDIRECT(ADDRESS(ROW(), Sheet3!$B$3+17))="",        INDIRECT(ADDRESS(ROW(), Sheet3!$B$3+16))*  (1+Sheet3!$Q$4)   +B314*Sheet3!$Q$4,       INDIRECT(ADDRESS(ROW(), Sheet3!$B$3+17))))))</f>
        <v>0</v>
      </c>
      <c r="E314" s="40">
        <f ca="1">IF(AND(Sheet1!L314&lt;0,  Sheet1!$C$21&gt;R314),    IF(OR(Sheet1!$C$21&lt;=R315,  Sheet1!L315=""),       IF(AND(MOD(NOW(),1)&lt;TIME(9,39,0),Sheet1!$C$22=TODAY()),    Sheet1!$C$21-R314,     Sheet1!$C$21-R314-1),               R315-R314-1),    0)</f>
        <v>0</v>
      </c>
      <c r="F314" s="30"/>
      <c r="G314" s="25" t="str">
        <f>IF(LEFT(Sheet1!K315,2)="0x",Sheet1!K314,IF(AND(Sheet1!L314="",Sheet1!L313=""),"",G313))</f>
        <v/>
      </c>
      <c r="H314" s="81"/>
      <c r="I314" s="43" t="str">
        <f t="shared" si="25"/>
        <v/>
      </c>
      <c r="J314" s="29" t="str">
        <f t="shared" si="24"/>
        <v/>
      </c>
      <c r="K314" s="24" t="str">
        <f>IF(Sheet1!L314="","",IF(Sheet1!L314&gt;0,ROW(),""))</f>
        <v/>
      </c>
      <c r="L314" s="24" t="str">
        <f t="shared" ca="1" si="22"/>
        <v/>
      </c>
      <c r="M314" s="47" t="str">
        <f t="shared" ca="1" si="23"/>
        <v/>
      </c>
      <c r="N314" s="48" t="str">
        <f>IF(LEFT(Sheet1!K314,2)="0x",Sheet1!K314,IF(AND(Sheet1!L314="",Sheet1!L313=""),"",N313))</f>
        <v/>
      </c>
      <c r="O314" s="46">
        <f>IF(Sheet1!L314="",0,IF(Sheet1!O314&lt;TIME(7,39,0)+Sheet1!$E$3/24,1,0))</f>
        <v>0</v>
      </c>
      <c r="P314" s="46" t="str">
        <f ca="1">IF(AND(Sheet1!L314&lt;0, Sheet1!$C$21&gt;R314,OR(Sheet1!$C$21&lt;=R315,Sheet1!L315="")),   -1*Sheet1!L314,"")</f>
        <v/>
      </c>
    </row>
    <row r="315" spans="1:16" ht="15.75" x14ac:dyDescent="0.25">
      <c r="A315" s="456" t="str">
        <f>IF(AND(R315&lt;&gt;"",R314&lt;&gt;""),(-Sheet1!L315/Sheet1!L314)^(360/(R315-R314-1))-1,"")</f>
        <v/>
      </c>
      <c r="B315" s="41" t="str">
        <f ca="1">IF(AND(Sheet1!L315&lt;0, Sheet1!$C$21&gt;R315+1,OR(Sheet1!$C$21&lt;=R316,Sheet1!L316="")),   -1*Sheet1!L315,"")</f>
        <v/>
      </c>
      <c r="C315" s="42">
        <f ca="1">IF(Sheet3!$B$5="",0,    IF(E315&lt;1,0,  IF(B315="","",     IF(OR(Sheet3!$B$6=0,INDIRECT(ADDRESS(ROW(),Sheet3!$B$3+16))="" ),D315/E315,    IF(E315&lt;0,0,    IF(OR( INDIRECT(ADDRESS(8,Sheet3!$B$3+16))="",INDIRECT(ADDRESS(ROW(),Sheet3!$B$3+17))=""),        (INDIRECT(ADDRESS(ROW(),Sheet3!$B$3+16))+B315)*Sheet3!$Q$4,         INDIRECT(ADDRESS(ROW(),Sheet3!$B$3+17))-INDIRECT(ADDRESS(ROW(),Sheet3!$B$3+16))))))))</f>
        <v>0</v>
      </c>
      <c r="D315" s="39">
        <f ca="1">IF(Sheet3!$B$5="",0,IF(B315="","",IF(E315&lt;1,0,   IF(INDIRECT(ADDRESS(ROW(), Sheet3!$B$3+17))="",        INDIRECT(ADDRESS(ROW(), Sheet3!$B$3+16))*  (1+Sheet3!$Q$4)   +B315*Sheet3!$Q$4,       INDIRECT(ADDRESS(ROW(), Sheet3!$B$3+17))))))</f>
        <v>0</v>
      </c>
      <c r="E315" s="40">
        <f ca="1">IF(AND(Sheet1!L315&lt;0,  Sheet1!$C$21&gt;R315),    IF(OR(Sheet1!$C$21&lt;=R316,  Sheet1!L316=""),       IF(AND(MOD(NOW(),1)&lt;TIME(9,39,0),Sheet1!$C$22=TODAY()),    Sheet1!$C$21-R315,     Sheet1!$C$21-R315-1),               R316-R315-1),    0)</f>
        <v>0</v>
      </c>
      <c r="F315" s="30"/>
      <c r="G315" s="25" t="str">
        <f>IF(LEFT(Sheet1!K316,2)="0x",Sheet1!K315,IF(AND(Sheet1!L315="",Sheet1!L314=""),"",G314))</f>
        <v/>
      </c>
      <c r="H315" s="81"/>
      <c r="I315" s="43" t="str">
        <f t="shared" si="25"/>
        <v/>
      </c>
      <c r="J315" s="29" t="str">
        <f t="shared" si="24"/>
        <v/>
      </c>
      <c r="K315" s="24" t="str">
        <f>IF(Sheet1!L315="","",IF(Sheet1!L315&gt;0,ROW(),""))</f>
        <v/>
      </c>
      <c r="L315" s="24" t="str">
        <f t="shared" ca="1" si="22"/>
        <v/>
      </c>
      <c r="M315" s="47" t="str">
        <f t="shared" ca="1" si="23"/>
        <v/>
      </c>
      <c r="N315" s="48" t="str">
        <f>IF(LEFT(Sheet1!K315,2)="0x",Sheet1!K315,IF(AND(Sheet1!L315="",Sheet1!L314=""),"",N314))</f>
        <v/>
      </c>
      <c r="O315" s="46">
        <f>IF(Sheet1!L315="",0,IF(Sheet1!O315&lt;TIME(7,39,0)+Sheet1!$E$3/24,1,0))</f>
        <v>0</v>
      </c>
      <c r="P315" s="46" t="str">
        <f ca="1">IF(AND(Sheet1!L315&lt;0, Sheet1!$C$21&gt;R315,OR(Sheet1!$C$21&lt;=R316,Sheet1!L316="")),   -1*Sheet1!L315,"")</f>
        <v/>
      </c>
    </row>
    <row r="316" spans="1:16" ht="15.75" x14ac:dyDescent="0.25">
      <c r="A316" s="456" t="str">
        <f>IF(AND(R316&lt;&gt;"",R315&lt;&gt;""),(-Sheet1!L316/Sheet1!L315)^(360/(R316-R315-1))-1,"")</f>
        <v/>
      </c>
      <c r="B316" s="41" t="str">
        <f ca="1">IF(AND(Sheet1!L316&lt;0, Sheet1!$C$21&gt;R316+1,OR(Sheet1!$C$21&lt;=R317,Sheet1!L317="")),   -1*Sheet1!L316,"")</f>
        <v/>
      </c>
      <c r="C316" s="42">
        <f ca="1">IF(Sheet3!$B$5="",0,    IF(E316&lt;1,0,  IF(B316="","",     IF(OR(Sheet3!$B$6=0,INDIRECT(ADDRESS(ROW(),Sheet3!$B$3+16))="" ),D316/E316,    IF(E316&lt;0,0,    IF(OR( INDIRECT(ADDRESS(8,Sheet3!$B$3+16))="",INDIRECT(ADDRESS(ROW(),Sheet3!$B$3+17))=""),        (INDIRECT(ADDRESS(ROW(),Sheet3!$B$3+16))+B316)*Sheet3!$Q$4,         INDIRECT(ADDRESS(ROW(),Sheet3!$B$3+17))-INDIRECT(ADDRESS(ROW(),Sheet3!$B$3+16))))))))</f>
        <v>0</v>
      </c>
      <c r="D316" s="39">
        <f ca="1">IF(Sheet3!$B$5="",0,IF(B316="","",IF(E316&lt;1,0,   IF(INDIRECT(ADDRESS(ROW(), Sheet3!$B$3+17))="",        INDIRECT(ADDRESS(ROW(), Sheet3!$B$3+16))*  (1+Sheet3!$Q$4)   +B316*Sheet3!$Q$4,       INDIRECT(ADDRESS(ROW(), Sheet3!$B$3+17))))))</f>
        <v>0</v>
      </c>
      <c r="E316" s="40">
        <f ca="1">IF(AND(Sheet1!L316&lt;0,  Sheet1!$C$21&gt;R316),    IF(OR(Sheet1!$C$21&lt;=R317,  Sheet1!L317=""),       IF(AND(MOD(NOW(),1)&lt;TIME(9,39,0),Sheet1!$C$22=TODAY()),    Sheet1!$C$21-R316,     Sheet1!$C$21-R316-1),               R317-R316-1),    0)</f>
        <v>0</v>
      </c>
      <c r="F316" s="30"/>
      <c r="G316" s="25" t="str">
        <f>IF(LEFT(Sheet1!K317,2)="0x",Sheet1!K316,IF(AND(Sheet1!L316="",Sheet1!L315=""),"",G315))</f>
        <v/>
      </c>
      <c r="H316" s="81"/>
      <c r="I316" s="43" t="str">
        <f t="shared" si="25"/>
        <v/>
      </c>
      <c r="J316" s="29" t="str">
        <f t="shared" si="24"/>
        <v/>
      </c>
      <c r="K316" s="24" t="str">
        <f>IF(Sheet1!L316="","",IF(Sheet1!L316&gt;0,ROW(),""))</f>
        <v/>
      </c>
      <c r="L316" s="24" t="str">
        <f t="shared" ca="1" si="22"/>
        <v/>
      </c>
      <c r="M316" s="47" t="str">
        <f t="shared" ca="1" si="23"/>
        <v/>
      </c>
      <c r="N316" s="48" t="str">
        <f>IF(LEFT(Sheet1!K316,2)="0x",Sheet1!K316,IF(AND(Sheet1!L316="",Sheet1!L315=""),"",N315))</f>
        <v/>
      </c>
      <c r="O316" s="46">
        <f>IF(Sheet1!L316="",0,IF(Sheet1!O316&lt;TIME(7,39,0)+Sheet1!$E$3/24,1,0))</f>
        <v>0</v>
      </c>
      <c r="P316" s="46" t="str">
        <f ca="1">IF(AND(Sheet1!L316&lt;0, Sheet1!$C$21&gt;R316,OR(Sheet1!$C$21&lt;=R317,Sheet1!L317="")),   -1*Sheet1!L316,"")</f>
        <v/>
      </c>
    </row>
    <row r="317" spans="1:16" ht="15.75" x14ac:dyDescent="0.25">
      <c r="A317" s="456" t="str">
        <f>IF(AND(R317&lt;&gt;"",R316&lt;&gt;""),(-Sheet1!L317/Sheet1!L316)^(360/(R317-R316-1))-1,"")</f>
        <v/>
      </c>
      <c r="B317" s="41" t="str">
        <f ca="1">IF(AND(Sheet1!L317&lt;0, Sheet1!$C$21&gt;R317+1,OR(Sheet1!$C$21&lt;=R318,Sheet1!L318="")),   -1*Sheet1!L317,"")</f>
        <v/>
      </c>
      <c r="C317" s="42">
        <f ca="1">IF(Sheet3!$B$5="",0,    IF(E317&lt;1,0,  IF(B317="","",     IF(OR(Sheet3!$B$6=0,INDIRECT(ADDRESS(ROW(),Sheet3!$B$3+16))="" ),D317/E317,    IF(E317&lt;0,0,    IF(OR( INDIRECT(ADDRESS(8,Sheet3!$B$3+16))="",INDIRECT(ADDRESS(ROW(),Sheet3!$B$3+17))=""),        (INDIRECT(ADDRESS(ROW(),Sheet3!$B$3+16))+B317)*Sheet3!$Q$4,         INDIRECT(ADDRESS(ROW(),Sheet3!$B$3+17))-INDIRECT(ADDRESS(ROW(),Sheet3!$B$3+16))))))))</f>
        <v>0</v>
      </c>
      <c r="D317" s="39">
        <f ca="1">IF(Sheet3!$B$5="",0,IF(B317="","",IF(E317&lt;1,0,   IF(INDIRECT(ADDRESS(ROW(), Sheet3!$B$3+17))="",        INDIRECT(ADDRESS(ROW(), Sheet3!$B$3+16))*  (1+Sheet3!$Q$4)   +B317*Sheet3!$Q$4,       INDIRECT(ADDRESS(ROW(), Sheet3!$B$3+17))))))</f>
        <v>0</v>
      </c>
      <c r="E317" s="40">
        <f ca="1">IF(AND(Sheet1!L317&lt;0,  Sheet1!$C$21&gt;R317),    IF(OR(Sheet1!$C$21&lt;=R318,  Sheet1!L318=""),       IF(AND(MOD(NOW(),1)&lt;TIME(9,39,0),Sheet1!$C$22=TODAY()),    Sheet1!$C$21-R317,     Sheet1!$C$21-R317-1),               R318-R317-1),    0)</f>
        <v>0</v>
      </c>
      <c r="F317" s="30"/>
      <c r="G317" s="25" t="str">
        <f>IF(LEFT(Sheet1!K318,2)="0x",Sheet1!K317,IF(AND(Sheet1!L317="",Sheet1!L316=""),"",G316))</f>
        <v/>
      </c>
      <c r="H317" s="81"/>
      <c r="I317" s="43" t="str">
        <f t="shared" si="25"/>
        <v/>
      </c>
      <c r="J317" s="29" t="str">
        <f t="shared" si="24"/>
        <v/>
      </c>
      <c r="K317" s="24" t="str">
        <f>IF(Sheet1!L317="","",IF(Sheet1!L317&gt;0,ROW(),""))</f>
        <v/>
      </c>
      <c r="L317" s="24" t="str">
        <f t="shared" ca="1" si="22"/>
        <v/>
      </c>
      <c r="M317" s="47" t="str">
        <f t="shared" ca="1" si="23"/>
        <v/>
      </c>
      <c r="N317" s="48" t="str">
        <f>IF(LEFT(Sheet1!K317,2)="0x",Sheet1!K317,IF(AND(Sheet1!L317="",Sheet1!L316=""),"",N316))</f>
        <v/>
      </c>
      <c r="O317" s="46">
        <f>IF(Sheet1!L317="",0,IF(Sheet1!O317&lt;TIME(7,39,0)+Sheet1!$E$3/24,1,0))</f>
        <v>0</v>
      </c>
      <c r="P317" s="46" t="str">
        <f ca="1">IF(AND(Sheet1!L317&lt;0, Sheet1!$C$21&gt;R317,OR(Sheet1!$C$21&lt;=R318,Sheet1!L318="")),   -1*Sheet1!L317,"")</f>
        <v/>
      </c>
    </row>
    <row r="318" spans="1:16" ht="15.75" x14ac:dyDescent="0.25">
      <c r="A318" s="456" t="str">
        <f>IF(AND(R318&lt;&gt;"",R317&lt;&gt;""),(-Sheet1!L318/Sheet1!L317)^(360/(R318-R317-1))-1,"")</f>
        <v/>
      </c>
      <c r="B318" s="41" t="str">
        <f ca="1">IF(AND(Sheet1!L318&lt;0, Sheet1!$C$21&gt;R318+1,OR(Sheet1!$C$21&lt;=R319,Sheet1!L319="")),   -1*Sheet1!L318,"")</f>
        <v/>
      </c>
      <c r="C318" s="42">
        <f ca="1">IF(Sheet3!$B$5="",0,    IF(E318&lt;1,0,  IF(B318="","",     IF(OR(Sheet3!$B$6=0,INDIRECT(ADDRESS(ROW(),Sheet3!$B$3+16))="" ),D318/E318,    IF(E318&lt;0,0,    IF(OR( INDIRECT(ADDRESS(8,Sheet3!$B$3+16))="",INDIRECT(ADDRESS(ROW(),Sheet3!$B$3+17))=""),        (INDIRECT(ADDRESS(ROW(),Sheet3!$B$3+16))+B318)*Sheet3!$Q$4,         INDIRECT(ADDRESS(ROW(),Sheet3!$B$3+17))-INDIRECT(ADDRESS(ROW(),Sheet3!$B$3+16))))))))</f>
        <v>0</v>
      </c>
      <c r="D318" s="39">
        <f ca="1">IF(Sheet3!$B$5="",0,IF(B318="","",IF(E318&lt;1,0,   IF(INDIRECT(ADDRESS(ROW(), Sheet3!$B$3+17))="",        INDIRECT(ADDRESS(ROW(), Sheet3!$B$3+16))*  (1+Sheet3!$Q$4)   +B318*Sheet3!$Q$4,       INDIRECT(ADDRESS(ROW(), Sheet3!$B$3+17))))))</f>
        <v>0</v>
      </c>
      <c r="E318" s="40">
        <f ca="1">IF(AND(Sheet1!L318&lt;0,  Sheet1!$C$21&gt;R318),    IF(OR(Sheet1!$C$21&lt;=R319,  Sheet1!L319=""),       IF(AND(MOD(NOW(),1)&lt;TIME(9,39,0),Sheet1!$C$22=TODAY()),    Sheet1!$C$21-R318,     Sheet1!$C$21-R318-1),               R319-R318-1),    0)</f>
        <v>0</v>
      </c>
      <c r="F318" s="30"/>
      <c r="G318" s="25" t="str">
        <f>IF(LEFT(Sheet1!K319,2)="0x",Sheet1!K318,IF(AND(Sheet1!L318="",Sheet1!L317=""),"",G317))</f>
        <v/>
      </c>
      <c r="H318" s="81"/>
      <c r="I318" s="43" t="str">
        <f t="shared" si="25"/>
        <v/>
      </c>
      <c r="J318" s="29" t="str">
        <f t="shared" si="24"/>
        <v/>
      </c>
      <c r="K318" s="24" t="str">
        <f>IF(Sheet1!L318="","",IF(Sheet1!L318&gt;0,ROW(),""))</f>
        <v/>
      </c>
      <c r="L318" s="24" t="str">
        <f t="shared" ca="1" si="22"/>
        <v/>
      </c>
      <c r="M318" s="47" t="str">
        <f t="shared" ca="1" si="23"/>
        <v/>
      </c>
      <c r="N318" s="48" t="str">
        <f>IF(LEFT(Sheet1!K318,2)="0x",Sheet1!K318,IF(AND(Sheet1!L318="",Sheet1!L317=""),"",N317))</f>
        <v/>
      </c>
      <c r="O318" s="46">
        <f>IF(Sheet1!L318="",0,IF(Sheet1!O318&lt;TIME(7,39,0)+Sheet1!$E$3/24,1,0))</f>
        <v>0</v>
      </c>
      <c r="P318" s="46" t="str">
        <f ca="1">IF(AND(Sheet1!L318&lt;0, Sheet1!$C$21&gt;R318,OR(Sheet1!$C$21&lt;=R319,Sheet1!L319="")),   -1*Sheet1!L318,"")</f>
        <v/>
      </c>
    </row>
    <row r="319" spans="1:16" ht="15.75" x14ac:dyDescent="0.25">
      <c r="A319" s="456" t="str">
        <f>IF(AND(R319&lt;&gt;"",R318&lt;&gt;""),(-Sheet1!L319/Sheet1!L318)^(360/(R319-R318-1))-1,"")</f>
        <v/>
      </c>
      <c r="B319" s="41" t="str">
        <f ca="1">IF(AND(Sheet1!L319&lt;0, Sheet1!$C$21&gt;R319+1,OR(Sheet1!$C$21&lt;=R320,Sheet1!L320="")),   -1*Sheet1!L319,"")</f>
        <v/>
      </c>
      <c r="C319" s="42">
        <f ca="1">IF(Sheet3!$B$5="",0,    IF(E319&lt;1,0,  IF(B319="","",     IF(OR(Sheet3!$B$6=0,INDIRECT(ADDRESS(ROW(),Sheet3!$B$3+16))="" ),D319/E319,    IF(E319&lt;0,0,    IF(OR( INDIRECT(ADDRESS(8,Sheet3!$B$3+16))="",INDIRECT(ADDRESS(ROW(),Sheet3!$B$3+17))=""),        (INDIRECT(ADDRESS(ROW(),Sheet3!$B$3+16))+B319)*Sheet3!$Q$4,         INDIRECT(ADDRESS(ROW(),Sheet3!$B$3+17))-INDIRECT(ADDRESS(ROW(),Sheet3!$B$3+16))))))))</f>
        <v>0</v>
      </c>
      <c r="D319" s="39">
        <f ca="1">IF(Sheet3!$B$5="",0,IF(B319="","",IF(E319&lt;1,0,   IF(INDIRECT(ADDRESS(ROW(), Sheet3!$B$3+17))="",        INDIRECT(ADDRESS(ROW(), Sheet3!$B$3+16))*  (1+Sheet3!$Q$4)   +B319*Sheet3!$Q$4,       INDIRECT(ADDRESS(ROW(), Sheet3!$B$3+17))))))</f>
        <v>0</v>
      </c>
      <c r="E319" s="40">
        <f ca="1">IF(AND(Sheet1!L319&lt;0,  Sheet1!$C$21&gt;R319),    IF(OR(Sheet1!$C$21&lt;=R320,  Sheet1!L320=""),       IF(AND(MOD(NOW(),1)&lt;TIME(9,39,0),Sheet1!$C$22=TODAY()),    Sheet1!$C$21-R319,     Sheet1!$C$21-R319-1),               R320-R319-1),    0)</f>
        <v>0</v>
      </c>
      <c r="F319" s="30"/>
      <c r="G319" s="25" t="str">
        <f>IF(LEFT(Sheet1!K320,2)="0x",Sheet1!K319,IF(AND(Sheet1!L319="",Sheet1!L318=""),"",G318))</f>
        <v/>
      </c>
      <c r="H319" s="81"/>
      <c r="I319" s="43" t="str">
        <f t="shared" si="25"/>
        <v/>
      </c>
      <c r="J319" s="29" t="str">
        <f t="shared" si="24"/>
        <v/>
      </c>
      <c r="K319" s="24" t="str">
        <f>IF(Sheet1!L319="","",IF(Sheet1!L319&gt;0,ROW(),""))</f>
        <v/>
      </c>
      <c r="L319" s="24" t="str">
        <f t="shared" ca="1" si="22"/>
        <v/>
      </c>
      <c r="M319" s="47" t="str">
        <f t="shared" ca="1" si="23"/>
        <v/>
      </c>
      <c r="N319" s="48" t="str">
        <f>IF(LEFT(Sheet1!K319,2)="0x",Sheet1!K319,IF(AND(Sheet1!L319="",Sheet1!L318=""),"",N318))</f>
        <v/>
      </c>
      <c r="O319" s="46">
        <f>IF(Sheet1!L319="",0,IF(Sheet1!O319&lt;TIME(7,39,0)+Sheet1!$E$3/24,1,0))</f>
        <v>0</v>
      </c>
      <c r="P319" s="46" t="str">
        <f ca="1">IF(AND(Sheet1!L319&lt;0, Sheet1!$C$21&gt;R319,OR(Sheet1!$C$21&lt;=R320,Sheet1!L320="")),   -1*Sheet1!L319,"")</f>
        <v/>
      </c>
    </row>
    <row r="320" spans="1:16" ht="15.75" x14ac:dyDescent="0.25">
      <c r="A320" s="456" t="str">
        <f>IF(AND(R320&lt;&gt;"",R319&lt;&gt;""),(-Sheet1!L320/Sheet1!L319)^(360/(R320-R319-1))-1,"")</f>
        <v/>
      </c>
      <c r="B320" s="41" t="str">
        <f ca="1">IF(AND(Sheet1!L320&lt;0, Sheet1!$C$21&gt;R320+1,OR(Sheet1!$C$21&lt;=R321,Sheet1!L321="")),   -1*Sheet1!L320,"")</f>
        <v/>
      </c>
      <c r="C320" s="42">
        <f ca="1">IF(Sheet3!$B$5="",0,    IF(E320&lt;1,0,  IF(B320="","",     IF(OR(Sheet3!$B$6=0,INDIRECT(ADDRESS(ROW(),Sheet3!$B$3+16))="" ),D320/E320,    IF(E320&lt;0,0,    IF(OR( INDIRECT(ADDRESS(8,Sheet3!$B$3+16))="",INDIRECT(ADDRESS(ROW(),Sheet3!$B$3+17))=""),        (INDIRECT(ADDRESS(ROW(),Sheet3!$B$3+16))+B320)*Sheet3!$Q$4,         INDIRECT(ADDRESS(ROW(),Sheet3!$B$3+17))-INDIRECT(ADDRESS(ROW(),Sheet3!$B$3+16))))))))</f>
        <v>0</v>
      </c>
      <c r="D320" s="39">
        <f ca="1">IF(Sheet3!$B$5="",0,IF(B320="","",IF(E320&lt;1,0,   IF(INDIRECT(ADDRESS(ROW(), Sheet3!$B$3+17))="",        INDIRECT(ADDRESS(ROW(), Sheet3!$B$3+16))*  (1+Sheet3!$Q$4)   +B320*Sheet3!$Q$4,       INDIRECT(ADDRESS(ROW(), Sheet3!$B$3+17))))))</f>
        <v>0</v>
      </c>
      <c r="E320" s="40">
        <f ca="1">IF(AND(Sheet1!L320&lt;0,  Sheet1!$C$21&gt;R320),    IF(OR(Sheet1!$C$21&lt;=R321,  Sheet1!L321=""),       IF(AND(MOD(NOW(),1)&lt;TIME(9,39,0),Sheet1!$C$22=TODAY()),    Sheet1!$C$21-R320,     Sheet1!$C$21-R320-1),               R321-R320-1),    0)</f>
        <v>0</v>
      </c>
      <c r="F320" s="30"/>
      <c r="G320" s="25" t="str">
        <f>IF(LEFT(Sheet1!K321,2)="0x",Sheet1!K320,IF(AND(Sheet1!L320="",Sheet1!L319=""),"",G319))</f>
        <v/>
      </c>
      <c r="H320" s="81"/>
      <c r="I320" s="43" t="str">
        <f t="shared" si="25"/>
        <v/>
      </c>
      <c r="J320" s="29" t="str">
        <f t="shared" si="24"/>
        <v/>
      </c>
      <c r="K320" s="24" t="str">
        <f>IF(Sheet1!L320="","",IF(Sheet1!L320&gt;0,ROW(),""))</f>
        <v/>
      </c>
      <c r="L320" s="24" t="str">
        <f t="shared" ca="1" si="22"/>
        <v/>
      </c>
      <c r="M320" s="47" t="str">
        <f t="shared" ca="1" si="23"/>
        <v/>
      </c>
      <c r="N320" s="48" t="str">
        <f>IF(LEFT(Sheet1!K320,2)="0x",Sheet1!K320,IF(AND(Sheet1!L320="",Sheet1!L319=""),"",N319))</f>
        <v/>
      </c>
      <c r="O320" s="46">
        <f>IF(Sheet1!L320="",0,IF(Sheet1!O320&lt;TIME(7,39,0)+Sheet1!$E$3/24,1,0))</f>
        <v>0</v>
      </c>
      <c r="P320" s="46" t="str">
        <f ca="1">IF(AND(Sheet1!L320&lt;0, Sheet1!$C$21&gt;R320,OR(Sheet1!$C$21&lt;=R321,Sheet1!L321="")),   -1*Sheet1!L320,"")</f>
        <v/>
      </c>
    </row>
    <row r="321" spans="1:16" ht="15.75" x14ac:dyDescent="0.25">
      <c r="A321" s="456" t="str">
        <f>IF(AND(R321&lt;&gt;"",R320&lt;&gt;""),(-Sheet1!L321/Sheet1!L320)^(360/(R321-R320-1))-1,"")</f>
        <v/>
      </c>
      <c r="B321" s="41" t="str">
        <f ca="1">IF(AND(Sheet1!L321&lt;0, Sheet1!$C$21&gt;R321+1,OR(Sheet1!$C$21&lt;=R322,Sheet1!L322="")),   -1*Sheet1!L321,"")</f>
        <v/>
      </c>
      <c r="C321" s="42">
        <f ca="1">IF(Sheet3!$B$5="",0,    IF(E321&lt;1,0,  IF(B321="","",     IF(OR(Sheet3!$B$6=0,INDIRECT(ADDRESS(ROW(),Sheet3!$B$3+16))="" ),D321/E321,    IF(E321&lt;0,0,    IF(OR( INDIRECT(ADDRESS(8,Sheet3!$B$3+16))="",INDIRECT(ADDRESS(ROW(),Sheet3!$B$3+17))=""),        (INDIRECT(ADDRESS(ROW(),Sheet3!$B$3+16))+B321)*Sheet3!$Q$4,         INDIRECT(ADDRESS(ROW(),Sheet3!$B$3+17))-INDIRECT(ADDRESS(ROW(),Sheet3!$B$3+16))))))))</f>
        <v>0</v>
      </c>
      <c r="D321" s="39">
        <f ca="1">IF(Sheet3!$B$5="",0,IF(B321="","",IF(E321&lt;1,0,   IF(INDIRECT(ADDRESS(ROW(), Sheet3!$B$3+17))="",        INDIRECT(ADDRESS(ROW(), Sheet3!$B$3+16))*  (1+Sheet3!$Q$4)   +B321*Sheet3!$Q$4,       INDIRECT(ADDRESS(ROW(), Sheet3!$B$3+17))))))</f>
        <v>0</v>
      </c>
      <c r="E321" s="40">
        <f ca="1">IF(AND(Sheet1!L321&lt;0,  Sheet1!$C$21&gt;R321),    IF(OR(Sheet1!$C$21&lt;=R322,  Sheet1!L322=""),       IF(AND(MOD(NOW(),1)&lt;TIME(9,39,0),Sheet1!$C$22=TODAY()),    Sheet1!$C$21-R321,     Sheet1!$C$21-R321-1),               R322-R321-1),    0)</f>
        <v>0</v>
      </c>
      <c r="F321" s="30"/>
      <c r="G321" s="25" t="str">
        <f>IF(LEFT(Sheet1!K322,2)="0x",Sheet1!K321,IF(AND(Sheet1!L321="",Sheet1!L320=""),"",G320))</f>
        <v/>
      </c>
      <c r="H321" s="81"/>
      <c r="I321" s="43" t="str">
        <f t="shared" si="25"/>
        <v/>
      </c>
      <c r="J321" s="29" t="str">
        <f t="shared" si="24"/>
        <v/>
      </c>
      <c r="K321" s="24" t="str">
        <f>IF(Sheet1!L321="","",IF(Sheet1!L321&gt;0,ROW(),""))</f>
        <v/>
      </c>
      <c r="L321" s="24" t="str">
        <f t="shared" ca="1" si="22"/>
        <v/>
      </c>
      <c r="M321" s="47" t="str">
        <f t="shared" ca="1" si="23"/>
        <v/>
      </c>
      <c r="N321" s="48" t="str">
        <f>IF(LEFT(Sheet1!K321,2)="0x",Sheet1!K321,IF(AND(Sheet1!L321="",Sheet1!L320=""),"",N320))</f>
        <v/>
      </c>
      <c r="O321" s="46">
        <f>IF(Sheet1!L321="",0,IF(Sheet1!O321&lt;TIME(7,39,0)+Sheet1!$E$3/24,1,0))</f>
        <v>0</v>
      </c>
      <c r="P321" s="46" t="str">
        <f ca="1">IF(AND(Sheet1!L321&lt;0, Sheet1!$C$21&gt;R321,OR(Sheet1!$C$21&lt;=R322,Sheet1!L322="")),   -1*Sheet1!L321,"")</f>
        <v/>
      </c>
    </row>
    <row r="322" spans="1:16" ht="15.75" x14ac:dyDescent="0.25">
      <c r="A322" s="456" t="str">
        <f>IF(AND(R322&lt;&gt;"",R321&lt;&gt;""),(-Sheet1!L322/Sheet1!L321)^(360/(R322-R321-1))-1,"")</f>
        <v/>
      </c>
      <c r="B322" s="41" t="str">
        <f ca="1">IF(AND(Sheet1!L322&lt;0, Sheet1!$C$21&gt;R322+1,OR(Sheet1!$C$21&lt;=R323,Sheet1!L323="")),   -1*Sheet1!L322,"")</f>
        <v/>
      </c>
      <c r="C322" s="42">
        <f ca="1">IF(Sheet3!$B$5="",0,    IF(E322&lt;1,0,  IF(B322="","",     IF(OR(Sheet3!$B$6=0,INDIRECT(ADDRESS(ROW(),Sheet3!$B$3+16))="" ),D322/E322,    IF(E322&lt;0,0,    IF(OR( INDIRECT(ADDRESS(8,Sheet3!$B$3+16))="",INDIRECT(ADDRESS(ROW(),Sheet3!$B$3+17))=""),        (INDIRECT(ADDRESS(ROW(),Sheet3!$B$3+16))+B322)*Sheet3!$Q$4,         INDIRECT(ADDRESS(ROW(),Sheet3!$B$3+17))-INDIRECT(ADDRESS(ROW(),Sheet3!$B$3+16))))))))</f>
        <v>0</v>
      </c>
      <c r="D322" s="39">
        <f ca="1">IF(Sheet3!$B$5="",0,IF(B322="","",IF(E322&lt;1,0,   IF(INDIRECT(ADDRESS(ROW(), Sheet3!$B$3+17))="",        INDIRECT(ADDRESS(ROW(), Sheet3!$B$3+16))*  (1+Sheet3!$Q$4)   +B322*Sheet3!$Q$4,       INDIRECT(ADDRESS(ROW(), Sheet3!$B$3+17))))))</f>
        <v>0</v>
      </c>
      <c r="E322" s="40">
        <f ca="1">IF(AND(Sheet1!L322&lt;0,  Sheet1!$C$21&gt;R322),    IF(OR(Sheet1!$C$21&lt;=R323,  Sheet1!L323=""),       IF(AND(MOD(NOW(),1)&lt;TIME(9,39,0),Sheet1!$C$22=TODAY()),    Sheet1!$C$21-R322,     Sheet1!$C$21-R322-1),               R323-R322-1),    0)</f>
        <v>0</v>
      </c>
      <c r="F322" s="30"/>
      <c r="G322" s="25" t="str">
        <f>IF(LEFT(Sheet1!K323,2)="0x",Sheet1!K322,IF(AND(Sheet1!L322="",Sheet1!L321=""),"",G321))</f>
        <v/>
      </c>
      <c r="H322" s="81"/>
      <c r="I322" s="43" t="str">
        <f t="shared" si="25"/>
        <v/>
      </c>
      <c r="J322" s="29" t="str">
        <f t="shared" si="24"/>
        <v/>
      </c>
      <c r="K322" s="24" t="str">
        <f>IF(Sheet1!L322="","",IF(Sheet1!L322&gt;0,ROW(),""))</f>
        <v/>
      </c>
      <c r="L322" s="24" t="str">
        <f t="shared" ca="1" si="22"/>
        <v/>
      </c>
      <c r="M322" s="47" t="str">
        <f t="shared" ca="1" si="23"/>
        <v/>
      </c>
      <c r="N322" s="48" t="str">
        <f>IF(LEFT(Sheet1!K322,2)="0x",Sheet1!K322,IF(AND(Sheet1!L322="",Sheet1!L321=""),"",N321))</f>
        <v/>
      </c>
      <c r="O322" s="46">
        <f>IF(Sheet1!L322="",0,IF(Sheet1!O322&lt;TIME(7,39,0)+Sheet1!$E$3/24,1,0))</f>
        <v>0</v>
      </c>
      <c r="P322" s="46" t="str">
        <f ca="1">IF(AND(Sheet1!L322&lt;0, Sheet1!$C$21&gt;R322,OR(Sheet1!$C$21&lt;=R323,Sheet1!L323="")),   -1*Sheet1!L322,"")</f>
        <v/>
      </c>
    </row>
    <row r="323" spans="1:16" ht="15.75" x14ac:dyDescent="0.25">
      <c r="A323" s="456" t="str">
        <f>IF(AND(R323&lt;&gt;"",R322&lt;&gt;""),(-Sheet1!L323/Sheet1!L322)^(360/(R323-R322-1))-1,"")</f>
        <v/>
      </c>
      <c r="B323" s="41" t="str">
        <f ca="1">IF(AND(Sheet1!L323&lt;0, Sheet1!$C$21&gt;R323+1,OR(Sheet1!$C$21&lt;=R324,Sheet1!L324="")),   -1*Sheet1!L323,"")</f>
        <v/>
      </c>
      <c r="C323" s="42">
        <f ca="1">IF(Sheet3!$B$5="",0,    IF(E323&lt;1,0,  IF(B323="","",     IF(OR(Sheet3!$B$6=0,INDIRECT(ADDRESS(ROW(),Sheet3!$B$3+16))="" ),D323/E323,    IF(E323&lt;0,0,    IF(OR( INDIRECT(ADDRESS(8,Sheet3!$B$3+16))="",INDIRECT(ADDRESS(ROW(),Sheet3!$B$3+17))=""),        (INDIRECT(ADDRESS(ROW(),Sheet3!$B$3+16))+B323)*Sheet3!$Q$4,         INDIRECT(ADDRESS(ROW(),Sheet3!$B$3+17))-INDIRECT(ADDRESS(ROW(),Sheet3!$B$3+16))))))))</f>
        <v>0</v>
      </c>
      <c r="D323" s="39">
        <f ca="1">IF(Sheet3!$B$5="",0,IF(B323="","",IF(E323&lt;1,0,   IF(INDIRECT(ADDRESS(ROW(), Sheet3!$B$3+17))="",        INDIRECT(ADDRESS(ROW(), Sheet3!$B$3+16))*  (1+Sheet3!$Q$4)   +B323*Sheet3!$Q$4,       INDIRECT(ADDRESS(ROW(), Sheet3!$B$3+17))))))</f>
        <v>0</v>
      </c>
      <c r="E323" s="40">
        <f ca="1">IF(AND(Sheet1!L323&lt;0,  Sheet1!$C$21&gt;R323),    IF(OR(Sheet1!$C$21&lt;=R324,  Sheet1!L324=""),       IF(AND(MOD(NOW(),1)&lt;TIME(9,39,0),Sheet1!$C$22=TODAY()),    Sheet1!$C$21-R323,     Sheet1!$C$21-R323-1),               R324-R323-1),    0)</f>
        <v>0</v>
      </c>
      <c r="F323" s="30"/>
      <c r="G323" s="25" t="str">
        <f>IF(LEFT(Sheet1!K324,2)="0x",Sheet1!K323,IF(AND(Sheet1!L323="",Sheet1!L322=""),"",G322))</f>
        <v/>
      </c>
      <c r="H323" s="81"/>
      <c r="I323" s="43" t="str">
        <f t="shared" si="25"/>
        <v/>
      </c>
      <c r="J323" s="29" t="str">
        <f t="shared" si="24"/>
        <v/>
      </c>
      <c r="K323" s="24" t="str">
        <f>IF(Sheet1!L323="","",IF(Sheet1!L323&gt;0,ROW(),""))</f>
        <v/>
      </c>
      <c r="L323" s="24" t="str">
        <f t="shared" ca="1" si="22"/>
        <v/>
      </c>
      <c r="M323" s="47" t="str">
        <f t="shared" ca="1" si="23"/>
        <v/>
      </c>
      <c r="N323" s="48" t="str">
        <f>IF(LEFT(Sheet1!K323,2)="0x",Sheet1!K323,IF(AND(Sheet1!L323="",Sheet1!L322=""),"",N322))</f>
        <v/>
      </c>
      <c r="O323" s="46">
        <f>IF(Sheet1!L323="",0,IF(Sheet1!O323&lt;TIME(7,39,0)+Sheet1!$E$3/24,1,0))</f>
        <v>0</v>
      </c>
      <c r="P323" s="46" t="str">
        <f ca="1">IF(AND(Sheet1!L323&lt;0, Sheet1!$C$21&gt;R323,OR(Sheet1!$C$21&lt;=R324,Sheet1!L324="")),   -1*Sheet1!L323,"")</f>
        <v/>
      </c>
    </row>
    <row r="324" spans="1:16" ht="15.75" x14ac:dyDescent="0.25">
      <c r="A324" s="456" t="str">
        <f>IF(AND(R324&lt;&gt;"",R323&lt;&gt;""),(-Sheet1!L324/Sheet1!L323)^(360/(R324-R323-1))-1,"")</f>
        <v/>
      </c>
      <c r="B324" s="41" t="str">
        <f ca="1">IF(AND(Sheet1!L324&lt;0, Sheet1!$C$21&gt;R324+1,OR(Sheet1!$C$21&lt;=R325,Sheet1!L325="")),   -1*Sheet1!L324,"")</f>
        <v/>
      </c>
      <c r="C324" s="42">
        <f ca="1">IF(Sheet3!$B$5="",0,    IF(E324&lt;1,0,  IF(B324="","",     IF(OR(Sheet3!$B$6=0,INDIRECT(ADDRESS(ROW(),Sheet3!$B$3+16))="" ),D324/E324,    IF(E324&lt;0,0,    IF(OR( INDIRECT(ADDRESS(8,Sheet3!$B$3+16))="",INDIRECT(ADDRESS(ROW(),Sheet3!$B$3+17))=""),        (INDIRECT(ADDRESS(ROW(),Sheet3!$B$3+16))+B324)*Sheet3!$Q$4,         INDIRECT(ADDRESS(ROW(),Sheet3!$B$3+17))-INDIRECT(ADDRESS(ROW(),Sheet3!$B$3+16))))))))</f>
        <v>0</v>
      </c>
      <c r="D324" s="39">
        <f ca="1">IF(Sheet3!$B$5="",0,IF(B324="","",IF(E324&lt;1,0,   IF(INDIRECT(ADDRESS(ROW(), Sheet3!$B$3+17))="",        INDIRECT(ADDRESS(ROW(), Sheet3!$B$3+16))*  (1+Sheet3!$Q$4)   +B324*Sheet3!$Q$4,       INDIRECT(ADDRESS(ROW(), Sheet3!$B$3+17))))))</f>
        <v>0</v>
      </c>
      <c r="E324" s="40">
        <f ca="1">IF(AND(Sheet1!L324&lt;0,  Sheet1!$C$21&gt;R324),    IF(OR(Sheet1!$C$21&lt;=R325,  Sheet1!L325=""),       IF(AND(MOD(NOW(),1)&lt;TIME(9,39,0),Sheet1!$C$22=TODAY()),    Sheet1!$C$21-R324,     Sheet1!$C$21-R324-1),               R325-R324-1),    0)</f>
        <v>0</v>
      </c>
      <c r="F324" s="30"/>
      <c r="G324" s="25" t="str">
        <f>IF(LEFT(Sheet1!K325,2)="0x",Sheet1!K324,IF(AND(Sheet1!L324="",Sheet1!L323=""),"",G323))</f>
        <v/>
      </c>
      <c r="H324" s="81"/>
      <c r="I324" s="43" t="str">
        <f t="shared" si="25"/>
        <v/>
      </c>
      <c r="J324" s="29" t="str">
        <f t="shared" si="24"/>
        <v/>
      </c>
      <c r="K324" s="24" t="str">
        <f>IF(Sheet1!L324="","",IF(Sheet1!L324&gt;0,ROW(),""))</f>
        <v/>
      </c>
      <c r="L324" s="24" t="str">
        <f t="shared" ca="1" si="22"/>
        <v/>
      </c>
      <c r="M324" s="47" t="str">
        <f t="shared" ca="1" si="23"/>
        <v/>
      </c>
      <c r="N324" s="48" t="str">
        <f>IF(LEFT(Sheet1!K324,2)="0x",Sheet1!K324,IF(AND(Sheet1!L324="",Sheet1!L323=""),"",N323))</f>
        <v/>
      </c>
      <c r="O324" s="46">
        <f>IF(Sheet1!L324="",0,IF(Sheet1!O324&lt;TIME(7,39,0)+Sheet1!$E$3/24,1,0))</f>
        <v>0</v>
      </c>
      <c r="P324" s="46" t="str">
        <f ca="1">IF(AND(Sheet1!L324&lt;0, Sheet1!$C$21&gt;R324,OR(Sheet1!$C$21&lt;=R325,Sheet1!L325="")),   -1*Sheet1!L324,"")</f>
        <v/>
      </c>
    </row>
    <row r="325" spans="1:16" ht="15.75" x14ac:dyDescent="0.25">
      <c r="A325" s="456" t="str">
        <f>IF(AND(R325&lt;&gt;"",R324&lt;&gt;""),(-Sheet1!L325/Sheet1!L324)^(360/(R325-R324-1))-1,"")</f>
        <v/>
      </c>
      <c r="B325" s="41" t="str">
        <f ca="1">IF(AND(Sheet1!L325&lt;0, Sheet1!$C$21&gt;R325+1,OR(Sheet1!$C$21&lt;=R326,Sheet1!L326="")),   -1*Sheet1!L325,"")</f>
        <v/>
      </c>
      <c r="C325" s="42">
        <f ca="1">IF(Sheet3!$B$5="",0,    IF(E325&lt;1,0,  IF(B325="","",     IF(OR(Sheet3!$B$6=0,INDIRECT(ADDRESS(ROW(),Sheet3!$B$3+16))="" ),D325/E325,    IF(E325&lt;0,0,    IF(OR( INDIRECT(ADDRESS(8,Sheet3!$B$3+16))="",INDIRECT(ADDRESS(ROW(),Sheet3!$B$3+17))=""),        (INDIRECT(ADDRESS(ROW(),Sheet3!$B$3+16))+B325)*Sheet3!$Q$4,         INDIRECT(ADDRESS(ROW(),Sheet3!$B$3+17))-INDIRECT(ADDRESS(ROW(),Sheet3!$B$3+16))))))))</f>
        <v>0</v>
      </c>
      <c r="D325" s="39">
        <f ca="1">IF(Sheet3!$B$5="",0,IF(B325="","",IF(E325&lt;1,0,   IF(INDIRECT(ADDRESS(ROW(), Sheet3!$B$3+17))="",        INDIRECT(ADDRESS(ROW(), Sheet3!$B$3+16))*  (1+Sheet3!$Q$4)   +B325*Sheet3!$Q$4,       INDIRECT(ADDRESS(ROW(), Sheet3!$B$3+17))))))</f>
        <v>0</v>
      </c>
      <c r="E325" s="40">
        <f ca="1">IF(AND(Sheet1!L325&lt;0,  Sheet1!$C$21&gt;R325),    IF(OR(Sheet1!$C$21&lt;=R326,  Sheet1!L326=""),       IF(AND(MOD(NOW(),1)&lt;TIME(9,39,0),Sheet1!$C$22=TODAY()),    Sheet1!$C$21-R325,     Sheet1!$C$21-R325-1),               R326-R325-1),    0)</f>
        <v>0</v>
      </c>
      <c r="F325" s="30"/>
      <c r="G325" s="25" t="str">
        <f>IF(LEFT(Sheet1!K326,2)="0x",Sheet1!K325,IF(AND(Sheet1!L325="",Sheet1!L324=""),"",G324))</f>
        <v/>
      </c>
      <c r="H325" s="81"/>
      <c r="I325" s="43" t="str">
        <f t="shared" si="25"/>
        <v/>
      </c>
      <c r="J325" s="29" t="str">
        <f t="shared" si="24"/>
        <v/>
      </c>
      <c r="K325" s="24" t="str">
        <f>IF(Sheet1!L325="","",IF(Sheet1!L325&gt;0,ROW(),""))</f>
        <v/>
      </c>
      <c r="L325" s="24" t="str">
        <f t="shared" ca="1" si="22"/>
        <v/>
      </c>
      <c r="M325" s="47" t="str">
        <f t="shared" ca="1" si="23"/>
        <v/>
      </c>
      <c r="N325" s="48" t="str">
        <f>IF(LEFT(Sheet1!K325,2)="0x",Sheet1!K325,IF(AND(Sheet1!L325="",Sheet1!L324=""),"",N324))</f>
        <v/>
      </c>
      <c r="O325" s="46">
        <f>IF(Sheet1!L325="",0,IF(Sheet1!O325&lt;TIME(7,39,0)+Sheet1!$E$3/24,1,0))</f>
        <v>0</v>
      </c>
      <c r="P325" s="46" t="str">
        <f ca="1">IF(AND(Sheet1!L325&lt;0, Sheet1!$C$21&gt;R325,OR(Sheet1!$C$21&lt;=R326,Sheet1!L326="")),   -1*Sheet1!L325,"")</f>
        <v/>
      </c>
    </row>
    <row r="326" spans="1:16" ht="15.75" x14ac:dyDescent="0.25">
      <c r="A326" s="456" t="str">
        <f>IF(AND(R326&lt;&gt;"",R325&lt;&gt;""),(-Sheet1!L326/Sheet1!L325)^(360/(R326-R325-1))-1,"")</f>
        <v/>
      </c>
      <c r="B326" s="41" t="str">
        <f ca="1">IF(AND(Sheet1!L326&lt;0, Sheet1!$C$21&gt;R326+1,OR(Sheet1!$C$21&lt;=R327,Sheet1!L327="")),   -1*Sheet1!L326,"")</f>
        <v/>
      </c>
      <c r="C326" s="42">
        <f ca="1">IF(Sheet3!$B$5="",0,    IF(E326&lt;1,0,  IF(B326="","",     IF(OR(Sheet3!$B$6=0,INDIRECT(ADDRESS(ROW(),Sheet3!$B$3+16))="" ),D326/E326,    IF(E326&lt;0,0,    IF(OR( INDIRECT(ADDRESS(8,Sheet3!$B$3+16))="",INDIRECT(ADDRESS(ROW(),Sheet3!$B$3+17))=""),        (INDIRECT(ADDRESS(ROW(),Sheet3!$B$3+16))+B326)*Sheet3!$Q$4,         INDIRECT(ADDRESS(ROW(),Sheet3!$B$3+17))-INDIRECT(ADDRESS(ROW(),Sheet3!$B$3+16))))))))</f>
        <v>0</v>
      </c>
      <c r="D326" s="39">
        <f ca="1">IF(Sheet3!$B$5="",0,IF(B326="","",IF(E326&lt;1,0,   IF(INDIRECT(ADDRESS(ROW(), Sheet3!$B$3+17))="",        INDIRECT(ADDRESS(ROW(), Sheet3!$B$3+16))*  (1+Sheet3!$Q$4)   +B326*Sheet3!$Q$4,       INDIRECT(ADDRESS(ROW(), Sheet3!$B$3+17))))))</f>
        <v>0</v>
      </c>
      <c r="E326" s="40">
        <f ca="1">IF(AND(Sheet1!L326&lt;0,  Sheet1!$C$21&gt;R326),    IF(OR(Sheet1!$C$21&lt;=R327,  Sheet1!L327=""),       IF(AND(MOD(NOW(),1)&lt;TIME(9,39,0),Sheet1!$C$22=TODAY()),    Sheet1!$C$21-R326,     Sheet1!$C$21-R326-1),               R327-R326-1),    0)</f>
        <v>0</v>
      </c>
      <c r="F326" s="30"/>
      <c r="G326" s="25" t="str">
        <f>IF(LEFT(Sheet1!K327,2)="0x",Sheet1!K326,IF(AND(Sheet1!L326="",Sheet1!L325=""),"",G325))</f>
        <v/>
      </c>
      <c r="H326" s="81"/>
      <c r="I326" s="43" t="str">
        <f t="shared" si="25"/>
        <v/>
      </c>
      <c r="J326" s="29" t="str">
        <f t="shared" si="24"/>
        <v/>
      </c>
      <c r="K326" s="24" t="str">
        <f>IF(Sheet1!L326="","",IF(Sheet1!L326&gt;0,ROW(),""))</f>
        <v/>
      </c>
      <c r="L326" s="24" t="str">
        <f t="shared" ca="1" si="22"/>
        <v/>
      </c>
      <c r="M326" s="47" t="str">
        <f t="shared" ca="1" si="23"/>
        <v/>
      </c>
      <c r="N326" s="48" t="str">
        <f>IF(LEFT(Sheet1!K326,2)="0x",Sheet1!K326,IF(AND(Sheet1!L326="",Sheet1!L325=""),"",N325))</f>
        <v/>
      </c>
      <c r="O326" s="46">
        <f>IF(Sheet1!L326="",0,IF(Sheet1!O326&lt;TIME(7,39,0)+Sheet1!$E$3/24,1,0))</f>
        <v>0</v>
      </c>
      <c r="P326" s="46" t="str">
        <f ca="1">IF(AND(Sheet1!L326&lt;0, Sheet1!$C$21&gt;R326,OR(Sheet1!$C$21&lt;=R327,Sheet1!L327="")),   -1*Sheet1!L326,"")</f>
        <v/>
      </c>
    </row>
    <row r="327" spans="1:16" ht="15.75" x14ac:dyDescent="0.25">
      <c r="A327" s="456" t="str">
        <f>IF(AND(R327&lt;&gt;"",R326&lt;&gt;""),(-Sheet1!L327/Sheet1!L326)^(360/(R327-R326-1))-1,"")</f>
        <v/>
      </c>
      <c r="B327" s="41" t="str">
        <f ca="1">IF(AND(Sheet1!L327&lt;0, Sheet1!$C$21&gt;R327+1,OR(Sheet1!$C$21&lt;=R328,Sheet1!L328="")),   -1*Sheet1!L327,"")</f>
        <v/>
      </c>
      <c r="C327" s="42">
        <f ca="1">IF(Sheet3!$B$5="",0,    IF(E327&lt;1,0,  IF(B327="","",     IF(OR(Sheet3!$B$6=0,INDIRECT(ADDRESS(ROW(),Sheet3!$B$3+16))="" ),D327/E327,    IF(E327&lt;0,0,    IF(OR( INDIRECT(ADDRESS(8,Sheet3!$B$3+16))="",INDIRECT(ADDRESS(ROW(),Sheet3!$B$3+17))=""),        (INDIRECT(ADDRESS(ROW(),Sheet3!$B$3+16))+B327)*Sheet3!$Q$4,         INDIRECT(ADDRESS(ROW(),Sheet3!$B$3+17))-INDIRECT(ADDRESS(ROW(),Sheet3!$B$3+16))))))))</f>
        <v>0</v>
      </c>
      <c r="D327" s="39">
        <f ca="1">IF(Sheet3!$B$5="",0,IF(B327="","",IF(E327&lt;1,0,   IF(INDIRECT(ADDRESS(ROW(), Sheet3!$B$3+17))="",        INDIRECT(ADDRESS(ROW(), Sheet3!$B$3+16))*  (1+Sheet3!$Q$4)   +B327*Sheet3!$Q$4,       INDIRECT(ADDRESS(ROW(), Sheet3!$B$3+17))))))</f>
        <v>0</v>
      </c>
      <c r="E327" s="40">
        <f ca="1">IF(AND(Sheet1!L327&lt;0,  Sheet1!$C$21&gt;R327),    IF(OR(Sheet1!$C$21&lt;=R328,  Sheet1!L328=""),       IF(AND(MOD(NOW(),1)&lt;TIME(9,39,0),Sheet1!$C$22=TODAY()),    Sheet1!$C$21-R327,     Sheet1!$C$21-R327-1),               R328-R327-1),    0)</f>
        <v>0</v>
      </c>
      <c r="F327" s="30"/>
      <c r="G327" s="25" t="str">
        <f>IF(LEFT(Sheet1!K328,2)="0x",Sheet1!K327,IF(AND(Sheet1!L327="",Sheet1!L326=""),"",G326))</f>
        <v/>
      </c>
      <c r="H327" s="81"/>
      <c r="I327" s="43" t="str">
        <f t="shared" si="25"/>
        <v/>
      </c>
      <c r="J327" s="29" t="str">
        <f t="shared" si="24"/>
        <v/>
      </c>
      <c r="K327" s="24" t="str">
        <f>IF(Sheet1!L327="","",IF(Sheet1!L327&gt;0,ROW(),""))</f>
        <v/>
      </c>
      <c r="L327" s="24" t="str">
        <f t="shared" ca="1" si="22"/>
        <v/>
      </c>
      <c r="M327" s="47" t="str">
        <f t="shared" ca="1" si="23"/>
        <v/>
      </c>
      <c r="N327" s="48" t="str">
        <f>IF(LEFT(Sheet1!K327,2)="0x",Sheet1!K327,IF(AND(Sheet1!L327="",Sheet1!L326=""),"",N326))</f>
        <v/>
      </c>
      <c r="O327" s="46">
        <f>IF(Sheet1!L327="",0,IF(Sheet1!O327&lt;TIME(7,39,0)+Sheet1!$E$3/24,1,0))</f>
        <v>0</v>
      </c>
      <c r="P327" s="46" t="str">
        <f ca="1">IF(AND(Sheet1!L327&lt;0, Sheet1!$C$21&gt;R327,OR(Sheet1!$C$21&lt;=R328,Sheet1!L328="")),   -1*Sheet1!L327,"")</f>
        <v/>
      </c>
    </row>
    <row r="328" spans="1:16" ht="15.75" x14ac:dyDescent="0.25">
      <c r="A328" s="456" t="str">
        <f>IF(AND(R328&lt;&gt;"",R327&lt;&gt;""),(-Sheet1!L328/Sheet1!L327)^(360/(R328-R327-1))-1,"")</f>
        <v/>
      </c>
      <c r="B328" s="41" t="str">
        <f ca="1">IF(AND(Sheet1!L328&lt;0, Sheet1!$C$21&gt;R328+1,OR(Sheet1!$C$21&lt;=R329,Sheet1!L329="")),   -1*Sheet1!L328,"")</f>
        <v/>
      </c>
      <c r="C328" s="42">
        <f ca="1">IF(Sheet3!$B$5="",0,    IF(E328&lt;1,0,  IF(B328="","",     IF(OR(Sheet3!$B$6=0,INDIRECT(ADDRESS(ROW(),Sheet3!$B$3+16))="" ),D328/E328,    IF(E328&lt;0,0,    IF(OR( INDIRECT(ADDRESS(8,Sheet3!$B$3+16))="",INDIRECT(ADDRESS(ROW(),Sheet3!$B$3+17))=""),        (INDIRECT(ADDRESS(ROW(),Sheet3!$B$3+16))+B328)*Sheet3!$Q$4,         INDIRECT(ADDRESS(ROW(),Sheet3!$B$3+17))-INDIRECT(ADDRESS(ROW(),Sheet3!$B$3+16))))))))</f>
        <v>0</v>
      </c>
      <c r="D328" s="39">
        <f ca="1">IF(Sheet3!$B$5="",0,IF(B328="","",IF(E328&lt;1,0,   IF(INDIRECT(ADDRESS(ROW(), Sheet3!$B$3+17))="",        INDIRECT(ADDRESS(ROW(), Sheet3!$B$3+16))*  (1+Sheet3!$Q$4)   +B328*Sheet3!$Q$4,       INDIRECT(ADDRESS(ROW(), Sheet3!$B$3+17))))))</f>
        <v>0</v>
      </c>
      <c r="E328" s="40">
        <f ca="1">IF(AND(Sheet1!L328&lt;0,  Sheet1!$C$21&gt;R328),    IF(OR(Sheet1!$C$21&lt;=R329,  Sheet1!L329=""),       IF(AND(MOD(NOW(),1)&lt;TIME(9,39,0),Sheet1!$C$22=TODAY()),    Sheet1!$C$21-R328,     Sheet1!$C$21-R328-1),               R329-R328-1),    0)</f>
        <v>0</v>
      </c>
      <c r="F328" s="30"/>
      <c r="G328" s="25" t="str">
        <f>IF(LEFT(Sheet1!K329,2)="0x",Sheet1!K328,IF(AND(Sheet1!L328="",Sheet1!L327=""),"",G327))</f>
        <v/>
      </c>
      <c r="H328" s="81"/>
      <c r="I328" s="43" t="str">
        <f t="shared" si="25"/>
        <v/>
      </c>
      <c r="J328" s="29" t="str">
        <f t="shared" si="24"/>
        <v/>
      </c>
      <c r="K328" s="24" t="str">
        <f>IF(Sheet1!L328="","",IF(Sheet1!L328&gt;0,ROW(),""))</f>
        <v/>
      </c>
      <c r="L328" s="24" t="str">
        <f t="shared" ca="1" si="22"/>
        <v/>
      </c>
      <c r="M328" s="47" t="str">
        <f t="shared" ca="1" si="23"/>
        <v/>
      </c>
      <c r="N328" s="48" t="str">
        <f>IF(LEFT(Sheet1!K328,2)="0x",Sheet1!K328,IF(AND(Sheet1!L328="",Sheet1!L327=""),"",N327))</f>
        <v/>
      </c>
      <c r="O328" s="46">
        <f>IF(Sheet1!L328="",0,IF(Sheet1!O328&lt;TIME(7,39,0)+Sheet1!$E$3/24,1,0))</f>
        <v>0</v>
      </c>
      <c r="P328" s="46" t="str">
        <f ca="1">IF(AND(Sheet1!L328&lt;0, Sheet1!$C$21&gt;R328,OR(Sheet1!$C$21&lt;=R329,Sheet1!L329="")),   -1*Sheet1!L328,"")</f>
        <v/>
      </c>
    </row>
    <row r="329" spans="1:16" ht="15.75" x14ac:dyDescent="0.25">
      <c r="A329" s="456" t="str">
        <f>IF(AND(R329&lt;&gt;"",R328&lt;&gt;""),(-Sheet1!L329/Sheet1!L328)^(360/(R329-R328-1))-1,"")</f>
        <v/>
      </c>
      <c r="B329" s="41" t="str">
        <f ca="1">IF(AND(Sheet1!L329&lt;0, Sheet1!$C$21&gt;R329+1,OR(Sheet1!$C$21&lt;=R330,Sheet1!L330="")),   -1*Sheet1!L329,"")</f>
        <v/>
      </c>
      <c r="C329" s="42">
        <f ca="1">IF(Sheet3!$B$5="",0,    IF(E329&lt;1,0,  IF(B329="","",     IF(OR(Sheet3!$B$6=0,INDIRECT(ADDRESS(ROW(),Sheet3!$B$3+16))="" ),D329/E329,    IF(E329&lt;0,0,    IF(OR( INDIRECT(ADDRESS(8,Sheet3!$B$3+16))="",INDIRECT(ADDRESS(ROW(),Sheet3!$B$3+17))=""),        (INDIRECT(ADDRESS(ROW(),Sheet3!$B$3+16))+B329)*Sheet3!$Q$4,         INDIRECT(ADDRESS(ROW(),Sheet3!$B$3+17))-INDIRECT(ADDRESS(ROW(),Sheet3!$B$3+16))))))))</f>
        <v>0</v>
      </c>
      <c r="D329" s="39">
        <f ca="1">IF(Sheet3!$B$5="",0,IF(B329="","",IF(E329&lt;1,0,   IF(INDIRECT(ADDRESS(ROW(), Sheet3!$B$3+17))="",        INDIRECT(ADDRESS(ROW(), Sheet3!$B$3+16))*  (1+Sheet3!$Q$4)   +B329*Sheet3!$Q$4,       INDIRECT(ADDRESS(ROW(), Sheet3!$B$3+17))))))</f>
        <v>0</v>
      </c>
      <c r="E329" s="40">
        <f ca="1">IF(AND(Sheet1!L329&lt;0,  Sheet1!$C$21&gt;R329),    IF(OR(Sheet1!$C$21&lt;=R330,  Sheet1!L330=""),       IF(AND(MOD(NOW(),1)&lt;TIME(9,39,0),Sheet1!$C$22=TODAY()),    Sheet1!$C$21-R329,     Sheet1!$C$21-R329-1),               R330-R329-1),    0)</f>
        <v>0</v>
      </c>
      <c r="F329" s="30"/>
      <c r="G329" s="25" t="str">
        <f>IF(LEFT(Sheet1!K330,2)="0x",Sheet1!K329,IF(AND(Sheet1!L329="",Sheet1!L328=""),"",G328))</f>
        <v/>
      </c>
      <c r="H329" s="81"/>
      <c r="I329" s="43" t="str">
        <f t="shared" si="25"/>
        <v/>
      </c>
      <c r="J329" s="29" t="str">
        <f t="shared" si="24"/>
        <v/>
      </c>
      <c r="K329" s="24" t="str">
        <f>IF(Sheet1!L329="","",IF(Sheet1!L329&gt;0,ROW(),""))</f>
        <v/>
      </c>
      <c r="L329" s="24" t="str">
        <f t="shared" ca="1" si="22"/>
        <v/>
      </c>
      <c r="M329" s="47" t="str">
        <f t="shared" ca="1" si="23"/>
        <v/>
      </c>
      <c r="N329" s="48" t="str">
        <f>IF(LEFT(Sheet1!K329,2)="0x",Sheet1!K329,IF(AND(Sheet1!L329="",Sheet1!L328=""),"",N328))</f>
        <v/>
      </c>
      <c r="O329" s="46">
        <f>IF(Sheet1!L329="",0,IF(Sheet1!O329&lt;TIME(7,39,0)+Sheet1!$E$3/24,1,0))</f>
        <v>0</v>
      </c>
      <c r="P329" s="46" t="str">
        <f ca="1">IF(AND(Sheet1!L329&lt;0, Sheet1!$C$21&gt;R329,OR(Sheet1!$C$21&lt;=R330,Sheet1!L330="")),   -1*Sheet1!L329,"")</f>
        <v/>
      </c>
    </row>
    <row r="330" spans="1:16" ht="15.75" x14ac:dyDescent="0.25">
      <c r="A330" s="456" t="str">
        <f>IF(AND(R330&lt;&gt;"",R329&lt;&gt;""),(-Sheet1!L330/Sheet1!L329)^(360/(R330-R329-1))-1,"")</f>
        <v/>
      </c>
      <c r="B330" s="41" t="str">
        <f ca="1">IF(AND(Sheet1!L330&lt;0, Sheet1!$C$21&gt;R330+1,OR(Sheet1!$C$21&lt;=R331,Sheet1!L331="")),   -1*Sheet1!L330,"")</f>
        <v/>
      </c>
      <c r="C330" s="42">
        <f ca="1">IF(Sheet3!$B$5="",0,    IF(E330&lt;1,0,  IF(B330="","",     IF(OR(Sheet3!$B$6=0,INDIRECT(ADDRESS(ROW(),Sheet3!$B$3+16))="" ),D330/E330,    IF(E330&lt;0,0,    IF(OR( INDIRECT(ADDRESS(8,Sheet3!$B$3+16))="",INDIRECT(ADDRESS(ROW(),Sheet3!$B$3+17))=""),        (INDIRECT(ADDRESS(ROW(),Sheet3!$B$3+16))+B330)*Sheet3!$Q$4,         INDIRECT(ADDRESS(ROW(),Sheet3!$B$3+17))-INDIRECT(ADDRESS(ROW(),Sheet3!$B$3+16))))))))</f>
        <v>0</v>
      </c>
      <c r="D330" s="39">
        <f ca="1">IF(Sheet3!$B$5="",0,IF(B330="","",IF(E330&lt;1,0,   IF(INDIRECT(ADDRESS(ROW(), Sheet3!$B$3+17))="",        INDIRECT(ADDRESS(ROW(), Sheet3!$B$3+16))*  (1+Sheet3!$Q$4)   +B330*Sheet3!$Q$4,       INDIRECT(ADDRESS(ROW(), Sheet3!$B$3+17))))))</f>
        <v>0</v>
      </c>
      <c r="E330" s="40">
        <f ca="1">IF(AND(Sheet1!L330&lt;0,  Sheet1!$C$21&gt;R330),    IF(OR(Sheet1!$C$21&lt;=R331,  Sheet1!L331=""),       IF(AND(MOD(NOW(),1)&lt;TIME(9,39,0),Sheet1!$C$22=TODAY()),    Sheet1!$C$21-R330,     Sheet1!$C$21-R330-1),               R331-R330-1),    0)</f>
        <v>0</v>
      </c>
      <c r="F330" s="30"/>
      <c r="G330" s="25" t="str">
        <f>IF(LEFT(Sheet1!K331,2)="0x",Sheet1!K330,IF(AND(Sheet1!L330="",Sheet1!L329=""),"",G329))</f>
        <v/>
      </c>
      <c r="H330" s="81"/>
      <c r="I330" s="43" t="str">
        <f t="shared" si="25"/>
        <v/>
      </c>
      <c r="J330" s="29" t="str">
        <f t="shared" si="24"/>
        <v/>
      </c>
      <c r="K330" s="24" t="str">
        <f>IF(Sheet1!L330="","",IF(Sheet1!L330&gt;0,ROW(),""))</f>
        <v/>
      </c>
      <c r="L330" s="24" t="str">
        <f t="shared" ca="1" si="22"/>
        <v/>
      </c>
      <c r="M330" s="47" t="str">
        <f t="shared" ca="1" si="23"/>
        <v/>
      </c>
      <c r="N330" s="48" t="str">
        <f>IF(LEFT(Sheet1!K330,2)="0x",Sheet1!K330,IF(AND(Sheet1!L330="",Sheet1!L329=""),"",N329))</f>
        <v/>
      </c>
      <c r="O330" s="46">
        <f>IF(Sheet1!L330="",0,IF(Sheet1!O330&lt;TIME(7,39,0)+Sheet1!$E$3/24,1,0))</f>
        <v>0</v>
      </c>
      <c r="P330" s="46" t="str">
        <f ca="1">IF(AND(Sheet1!L330&lt;0, Sheet1!$C$21&gt;R330,OR(Sheet1!$C$21&lt;=R331,Sheet1!L331="")),   -1*Sheet1!L330,"")</f>
        <v/>
      </c>
    </row>
    <row r="331" spans="1:16" ht="15.75" x14ac:dyDescent="0.25">
      <c r="A331" s="456" t="str">
        <f>IF(AND(R331&lt;&gt;"",R330&lt;&gt;""),(-Sheet1!L331/Sheet1!L330)^(360/(R331-R330-1))-1,"")</f>
        <v/>
      </c>
      <c r="B331" s="41" t="str">
        <f ca="1">IF(AND(Sheet1!L331&lt;0, Sheet1!$C$21&gt;R331+1,OR(Sheet1!$C$21&lt;=R332,Sheet1!L332="")),   -1*Sheet1!L331,"")</f>
        <v/>
      </c>
      <c r="C331" s="42">
        <f ca="1">IF(Sheet3!$B$5="",0,    IF(E331&lt;1,0,  IF(B331="","",     IF(OR(Sheet3!$B$6=0,INDIRECT(ADDRESS(ROW(),Sheet3!$B$3+16))="" ),D331/E331,    IF(E331&lt;0,0,    IF(OR( INDIRECT(ADDRESS(8,Sheet3!$B$3+16))="",INDIRECT(ADDRESS(ROW(),Sheet3!$B$3+17))=""),        (INDIRECT(ADDRESS(ROW(),Sheet3!$B$3+16))+B331)*Sheet3!$Q$4,         INDIRECT(ADDRESS(ROW(),Sheet3!$B$3+17))-INDIRECT(ADDRESS(ROW(),Sheet3!$B$3+16))))))))</f>
        <v>0</v>
      </c>
      <c r="D331" s="39">
        <f ca="1">IF(Sheet3!$B$5="",0,IF(B331="","",IF(E331&lt;1,0,   IF(INDIRECT(ADDRESS(ROW(), Sheet3!$B$3+17))="",        INDIRECT(ADDRESS(ROW(), Sheet3!$B$3+16))*  (1+Sheet3!$Q$4)   +B331*Sheet3!$Q$4,       INDIRECT(ADDRESS(ROW(), Sheet3!$B$3+17))))))</f>
        <v>0</v>
      </c>
      <c r="E331" s="40">
        <f ca="1">IF(AND(Sheet1!L331&lt;0,  Sheet1!$C$21&gt;R331),    IF(OR(Sheet1!$C$21&lt;=R332,  Sheet1!L332=""),       IF(AND(MOD(NOW(),1)&lt;TIME(9,39,0),Sheet1!$C$22=TODAY()),    Sheet1!$C$21-R331,     Sheet1!$C$21-R331-1),               R332-R331-1),    0)</f>
        <v>0</v>
      </c>
      <c r="F331" s="30"/>
      <c r="G331" s="25" t="str">
        <f>IF(LEFT(Sheet1!K332,2)="0x",Sheet1!K331,IF(AND(Sheet1!L331="",Sheet1!L330=""),"",G330))</f>
        <v/>
      </c>
      <c r="H331" s="81"/>
      <c r="I331" s="43" t="str">
        <f t="shared" si="25"/>
        <v/>
      </c>
      <c r="J331" s="29" t="str">
        <f t="shared" si="24"/>
        <v/>
      </c>
      <c r="K331" s="24" t="str">
        <f>IF(Sheet1!L331="","",IF(Sheet1!L331&gt;0,ROW(),""))</f>
        <v/>
      </c>
      <c r="L331" s="24" t="str">
        <f t="shared" ca="1" si="22"/>
        <v/>
      </c>
      <c r="M331" s="47" t="str">
        <f t="shared" ca="1" si="23"/>
        <v/>
      </c>
      <c r="N331" s="48" t="str">
        <f>IF(LEFT(Sheet1!K331,2)="0x",Sheet1!K331,IF(AND(Sheet1!L331="",Sheet1!L330=""),"",N330))</f>
        <v/>
      </c>
      <c r="O331" s="46">
        <f>IF(Sheet1!L331="",0,IF(Sheet1!O331&lt;TIME(7,39,0)+Sheet1!$E$3/24,1,0))</f>
        <v>0</v>
      </c>
      <c r="P331" s="46" t="str">
        <f ca="1">IF(AND(Sheet1!L331&lt;0, Sheet1!$C$21&gt;R331,OR(Sheet1!$C$21&lt;=R332,Sheet1!L332="")),   -1*Sheet1!L331,"")</f>
        <v/>
      </c>
    </row>
    <row r="332" spans="1:16" ht="15.75" x14ac:dyDescent="0.25">
      <c r="A332" s="456" t="str">
        <f>IF(AND(R332&lt;&gt;"",R331&lt;&gt;""),(-Sheet1!L332/Sheet1!L331)^(360/(R332-R331-1))-1,"")</f>
        <v/>
      </c>
      <c r="B332" s="41" t="str">
        <f ca="1">IF(AND(Sheet1!L332&lt;0, Sheet1!$C$21&gt;R332+1,OR(Sheet1!$C$21&lt;=R333,Sheet1!L333="")),   -1*Sheet1!L332,"")</f>
        <v/>
      </c>
      <c r="C332" s="42">
        <f ca="1">IF(Sheet3!$B$5="",0,    IF(E332&lt;1,0,  IF(B332="","",     IF(OR(Sheet3!$B$6=0,INDIRECT(ADDRESS(ROW(),Sheet3!$B$3+16))="" ),D332/E332,    IF(E332&lt;0,0,    IF(OR( INDIRECT(ADDRESS(8,Sheet3!$B$3+16))="",INDIRECT(ADDRESS(ROW(),Sheet3!$B$3+17))=""),        (INDIRECT(ADDRESS(ROW(),Sheet3!$B$3+16))+B332)*Sheet3!$Q$4,         INDIRECT(ADDRESS(ROW(),Sheet3!$B$3+17))-INDIRECT(ADDRESS(ROW(),Sheet3!$B$3+16))))))))</f>
        <v>0</v>
      </c>
      <c r="D332" s="39">
        <f ca="1">IF(Sheet3!$B$5="",0,IF(B332="","",IF(E332&lt;1,0,   IF(INDIRECT(ADDRESS(ROW(), Sheet3!$B$3+17))="",        INDIRECT(ADDRESS(ROW(), Sheet3!$B$3+16))*  (1+Sheet3!$Q$4)   +B332*Sheet3!$Q$4,       INDIRECT(ADDRESS(ROW(), Sheet3!$B$3+17))))))</f>
        <v>0</v>
      </c>
      <c r="E332" s="40">
        <f ca="1">IF(AND(Sheet1!L332&lt;0,  Sheet1!$C$21&gt;R332),    IF(OR(Sheet1!$C$21&lt;=R333,  Sheet1!L333=""),       IF(AND(MOD(NOW(),1)&lt;TIME(9,39,0),Sheet1!$C$22=TODAY()),    Sheet1!$C$21-R332,     Sheet1!$C$21-R332-1),               R333-R332-1),    0)</f>
        <v>0</v>
      </c>
      <c r="F332" s="30"/>
      <c r="G332" s="25" t="str">
        <f>IF(LEFT(Sheet1!K333,2)="0x",Sheet1!K332,IF(AND(Sheet1!L332="",Sheet1!L331=""),"",G331))</f>
        <v/>
      </c>
      <c r="H332" s="81"/>
      <c r="I332" s="43" t="str">
        <f t="shared" si="25"/>
        <v/>
      </c>
      <c r="J332" s="29" t="str">
        <f t="shared" si="24"/>
        <v/>
      </c>
      <c r="K332" s="24" t="str">
        <f>IF(Sheet1!L332="","",IF(Sheet1!L332&gt;0,ROW(),""))</f>
        <v/>
      </c>
      <c r="L332" s="24" t="str">
        <f t="shared" ca="1" si="22"/>
        <v/>
      </c>
      <c r="M332" s="47" t="str">
        <f t="shared" ca="1" si="23"/>
        <v/>
      </c>
      <c r="N332" s="48" t="str">
        <f>IF(LEFT(Sheet1!K332,2)="0x",Sheet1!K332,IF(AND(Sheet1!L332="",Sheet1!L331=""),"",N331))</f>
        <v/>
      </c>
      <c r="O332" s="46">
        <f>IF(Sheet1!L332="",0,IF(Sheet1!O332&lt;TIME(7,39,0)+Sheet1!$E$3/24,1,0))</f>
        <v>0</v>
      </c>
      <c r="P332" s="46" t="str">
        <f ca="1">IF(AND(Sheet1!L332&lt;0, Sheet1!$C$21&gt;R332,OR(Sheet1!$C$21&lt;=R333,Sheet1!L333="")),   -1*Sheet1!L332,"")</f>
        <v/>
      </c>
    </row>
    <row r="333" spans="1:16" ht="15.75" x14ac:dyDescent="0.25">
      <c r="A333" s="456" t="str">
        <f>IF(AND(R333&lt;&gt;"",R332&lt;&gt;""),(-Sheet1!L333/Sheet1!L332)^(360/(R333-R332-1))-1,"")</f>
        <v/>
      </c>
      <c r="B333" s="41" t="str">
        <f ca="1">IF(AND(Sheet1!L333&lt;0, Sheet1!$C$21&gt;R333+1,OR(Sheet1!$C$21&lt;=R334,Sheet1!L334="")),   -1*Sheet1!L333,"")</f>
        <v/>
      </c>
      <c r="C333" s="42">
        <f ca="1">IF(Sheet3!$B$5="",0,    IF(E333&lt;1,0,  IF(B333="","",     IF(OR(Sheet3!$B$6=0,INDIRECT(ADDRESS(ROW(),Sheet3!$B$3+16))="" ),D333/E333,    IF(E333&lt;0,0,    IF(OR( INDIRECT(ADDRESS(8,Sheet3!$B$3+16))="",INDIRECT(ADDRESS(ROW(),Sheet3!$B$3+17))=""),        (INDIRECT(ADDRESS(ROW(),Sheet3!$B$3+16))+B333)*Sheet3!$Q$4,         INDIRECT(ADDRESS(ROW(),Sheet3!$B$3+17))-INDIRECT(ADDRESS(ROW(),Sheet3!$B$3+16))))))))</f>
        <v>0</v>
      </c>
      <c r="D333" s="39">
        <f ca="1">IF(Sheet3!$B$5="",0,IF(B333="","",IF(E333&lt;1,0,   IF(INDIRECT(ADDRESS(ROW(), Sheet3!$B$3+17))="",        INDIRECT(ADDRESS(ROW(), Sheet3!$B$3+16))*  (1+Sheet3!$Q$4)   +B333*Sheet3!$Q$4,       INDIRECT(ADDRESS(ROW(), Sheet3!$B$3+17))))))</f>
        <v>0</v>
      </c>
      <c r="E333" s="40">
        <f ca="1">IF(AND(Sheet1!L333&lt;0,  Sheet1!$C$21&gt;R333),    IF(OR(Sheet1!$C$21&lt;=R334,  Sheet1!L334=""),       IF(AND(MOD(NOW(),1)&lt;TIME(9,39,0),Sheet1!$C$22=TODAY()),    Sheet1!$C$21-R333,     Sheet1!$C$21-R333-1),               R334-R333-1),    0)</f>
        <v>0</v>
      </c>
      <c r="F333" s="30"/>
      <c r="G333" s="25" t="str">
        <f>IF(LEFT(Sheet1!K334,2)="0x",Sheet1!K333,IF(AND(Sheet1!L333="",Sheet1!L332=""),"",G332))</f>
        <v/>
      </c>
      <c r="H333" s="81"/>
      <c r="I333" s="43" t="str">
        <f t="shared" si="25"/>
        <v/>
      </c>
      <c r="J333" s="29" t="str">
        <f t="shared" si="24"/>
        <v/>
      </c>
      <c r="K333" s="24" t="str">
        <f>IF(Sheet1!L333="","",IF(Sheet1!L333&gt;0,ROW(),""))</f>
        <v/>
      </c>
      <c r="L333" s="24" t="str">
        <f t="shared" ca="1" si="22"/>
        <v/>
      </c>
      <c r="M333" s="47" t="str">
        <f t="shared" ca="1" si="23"/>
        <v/>
      </c>
      <c r="N333" s="48" t="str">
        <f>IF(LEFT(Sheet1!K333,2)="0x",Sheet1!K333,IF(AND(Sheet1!L333="",Sheet1!L332=""),"",N332))</f>
        <v/>
      </c>
      <c r="O333" s="46">
        <f>IF(Sheet1!L333="",0,IF(Sheet1!O333&lt;TIME(7,39,0)+Sheet1!$E$3/24,1,0))</f>
        <v>0</v>
      </c>
      <c r="P333" s="46" t="str">
        <f ca="1">IF(AND(Sheet1!L333&lt;0, Sheet1!$C$21&gt;R333,OR(Sheet1!$C$21&lt;=R334,Sheet1!L334="")),   -1*Sheet1!L333,"")</f>
        <v/>
      </c>
    </row>
    <row r="334" spans="1:16" ht="15.75" x14ac:dyDescent="0.25">
      <c r="A334" s="456" t="str">
        <f>IF(AND(R334&lt;&gt;"",R333&lt;&gt;""),(-Sheet1!L334/Sheet1!L333)^(360/(R334-R333-1))-1,"")</f>
        <v/>
      </c>
      <c r="B334" s="41" t="str">
        <f ca="1">IF(AND(Sheet1!L334&lt;0, Sheet1!$C$21&gt;R334+1,OR(Sheet1!$C$21&lt;=R335,Sheet1!L335="")),   -1*Sheet1!L334,"")</f>
        <v/>
      </c>
      <c r="C334" s="42">
        <f ca="1">IF(Sheet3!$B$5="",0,    IF(E334&lt;1,0,  IF(B334="","",     IF(OR(Sheet3!$B$6=0,INDIRECT(ADDRESS(ROW(),Sheet3!$B$3+16))="" ),D334/E334,    IF(E334&lt;0,0,    IF(OR( INDIRECT(ADDRESS(8,Sheet3!$B$3+16))="",INDIRECT(ADDRESS(ROW(),Sheet3!$B$3+17))=""),        (INDIRECT(ADDRESS(ROW(),Sheet3!$B$3+16))+B334)*Sheet3!$Q$4,         INDIRECT(ADDRESS(ROW(),Sheet3!$B$3+17))-INDIRECT(ADDRESS(ROW(),Sheet3!$B$3+16))))))))</f>
        <v>0</v>
      </c>
      <c r="D334" s="39">
        <f ca="1">IF(Sheet3!$B$5="",0,IF(B334="","",IF(E334&lt;1,0,   IF(INDIRECT(ADDRESS(ROW(), Sheet3!$B$3+17))="",        INDIRECT(ADDRESS(ROW(), Sheet3!$B$3+16))*  (1+Sheet3!$Q$4)   +B334*Sheet3!$Q$4,       INDIRECT(ADDRESS(ROW(), Sheet3!$B$3+17))))))</f>
        <v>0</v>
      </c>
      <c r="E334" s="40">
        <f ca="1">IF(AND(Sheet1!L334&lt;0,  Sheet1!$C$21&gt;R334),    IF(OR(Sheet1!$C$21&lt;=R335,  Sheet1!L335=""),       IF(AND(MOD(NOW(),1)&lt;TIME(9,39,0),Sheet1!$C$22=TODAY()),    Sheet1!$C$21-R334,     Sheet1!$C$21-R334-1),               R335-R334-1),    0)</f>
        <v>0</v>
      </c>
      <c r="F334" s="30"/>
      <c r="G334" s="25" t="str">
        <f>IF(LEFT(Sheet1!K335,2)="0x",Sheet1!K334,IF(AND(Sheet1!L334="",Sheet1!L333=""),"",G333))</f>
        <v/>
      </c>
      <c r="H334" s="81"/>
      <c r="I334" s="43" t="str">
        <f t="shared" si="25"/>
        <v/>
      </c>
      <c r="J334" s="29" t="str">
        <f t="shared" si="24"/>
        <v/>
      </c>
      <c r="K334" s="24" t="str">
        <f>IF(Sheet1!L334="","",IF(Sheet1!L334&gt;0,ROW(),""))</f>
        <v/>
      </c>
      <c r="L334" s="24" t="str">
        <f t="shared" ref="L334:L397" ca="1" si="26">IF(B334&lt;&gt;"",ROW(),"")</f>
        <v/>
      </c>
      <c r="M334" s="47" t="str">
        <f t="shared" ref="M334:M397" ca="1" si="27">IF(P334&lt;&gt;"",ROW(),"")</f>
        <v/>
      </c>
      <c r="N334" s="48" t="str">
        <f>IF(LEFT(Sheet1!K334,2)="0x",Sheet1!K334,IF(AND(Sheet1!L334="",Sheet1!L333=""),"",N333))</f>
        <v/>
      </c>
      <c r="O334" s="46">
        <f>IF(Sheet1!L334="",0,IF(Sheet1!O334&lt;TIME(7,39,0)+Sheet1!$E$3/24,1,0))</f>
        <v>0</v>
      </c>
      <c r="P334" s="46" t="str">
        <f ca="1">IF(AND(Sheet1!L334&lt;0, Sheet1!$C$21&gt;R334,OR(Sheet1!$C$21&lt;=R335,Sheet1!L335="")),   -1*Sheet1!L334,"")</f>
        <v/>
      </c>
    </row>
    <row r="335" spans="1:16" ht="15.75" x14ac:dyDescent="0.25">
      <c r="A335" s="456" t="str">
        <f>IF(AND(R335&lt;&gt;"",R334&lt;&gt;""),(-Sheet1!L335/Sheet1!L334)^(360/(R335-R334-1))-1,"")</f>
        <v/>
      </c>
      <c r="B335" s="41" t="str">
        <f ca="1">IF(AND(Sheet1!L335&lt;0, Sheet1!$C$21&gt;R335+1,OR(Sheet1!$C$21&lt;=R336,Sheet1!L336="")),   -1*Sheet1!L335,"")</f>
        <v/>
      </c>
      <c r="C335" s="42">
        <f ca="1">IF(Sheet3!$B$5="",0,    IF(E335&lt;1,0,  IF(B335="","",     IF(OR(Sheet3!$B$6=0,INDIRECT(ADDRESS(ROW(),Sheet3!$B$3+16))="" ),D335/E335,    IF(E335&lt;0,0,    IF(OR( INDIRECT(ADDRESS(8,Sheet3!$B$3+16))="",INDIRECT(ADDRESS(ROW(),Sheet3!$B$3+17))=""),        (INDIRECT(ADDRESS(ROW(),Sheet3!$B$3+16))+B335)*Sheet3!$Q$4,         INDIRECT(ADDRESS(ROW(),Sheet3!$B$3+17))-INDIRECT(ADDRESS(ROW(),Sheet3!$B$3+16))))))))</f>
        <v>0</v>
      </c>
      <c r="D335" s="39">
        <f ca="1">IF(Sheet3!$B$5="",0,IF(B335="","",IF(E335&lt;1,0,   IF(INDIRECT(ADDRESS(ROW(), Sheet3!$B$3+17))="",        INDIRECT(ADDRESS(ROW(), Sheet3!$B$3+16))*  (1+Sheet3!$Q$4)   +B335*Sheet3!$Q$4,       INDIRECT(ADDRESS(ROW(), Sheet3!$B$3+17))))))</f>
        <v>0</v>
      </c>
      <c r="E335" s="40">
        <f ca="1">IF(AND(Sheet1!L335&lt;0,  Sheet1!$C$21&gt;R335),    IF(OR(Sheet1!$C$21&lt;=R336,  Sheet1!L336=""),       IF(AND(MOD(NOW(),1)&lt;TIME(9,39,0),Sheet1!$C$22=TODAY()),    Sheet1!$C$21-R335,     Sheet1!$C$21-R335-1),               R336-R335-1),    0)</f>
        <v>0</v>
      </c>
      <c r="F335" s="30"/>
      <c r="G335" s="25" t="str">
        <f>IF(LEFT(Sheet1!K336,2)="0x",Sheet1!K335,IF(AND(Sheet1!L335="",Sheet1!L334=""),"",G334))</f>
        <v/>
      </c>
      <c r="H335" s="81"/>
      <c r="I335" s="43" t="str">
        <f t="shared" si="25"/>
        <v/>
      </c>
      <c r="J335" s="29" t="str">
        <f t="shared" si="24"/>
        <v/>
      </c>
      <c r="K335" s="24" t="str">
        <f>IF(Sheet1!L335="","",IF(Sheet1!L335&gt;0,ROW(),""))</f>
        <v/>
      </c>
      <c r="L335" s="24" t="str">
        <f t="shared" ca="1" si="26"/>
        <v/>
      </c>
      <c r="M335" s="47" t="str">
        <f t="shared" ca="1" si="27"/>
        <v/>
      </c>
      <c r="N335" s="48" t="str">
        <f>IF(LEFT(Sheet1!K335,2)="0x",Sheet1!K335,IF(AND(Sheet1!L335="",Sheet1!L334=""),"",N334))</f>
        <v/>
      </c>
      <c r="O335" s="46">
        <f>IF(Sheet1!L335="",0,IF(Sheet1!O335&lt;TIME(7,39,0)+Sheet1!$E$3/24,1,0))</f>
        <v>0</v>
      </c>
      <c r="P335" s="46" t="str">
        <f ca="1">IF(AND(Sheet1!L335&lt;0, Sheet1!$C$21&gt;R335,OR(Sheet1!$C$21&lt;=R336,Sheet1!L336="")),   -1*Sheet1!L335,"")</f>
        <v/>
      </c>
    </row>
    <row r="336" spans="1:16" ht="15.75" x14ac:dyDescent="0.25">
      <c r="A336" s="456" t="str">
        <f>IF(AND(R336&lt;&gt;"",R335&lt;&gt;""),(-Sheet1!L336/Sheet1!L335)^(360/(R336-R335-1))-1,"")</f>
        <v/>
      </c>
      <c r="B336" s="41" t="str">
        <f ca="1">IF(AND(Sheet1!L336&lt;0, Sheet1!$C$21&gt;R336+1,OR(Sheet1!$C$21&lt;=R337,Sheet1!L337="")),   -1*Sheet1!L336,"")</f>
        <v/>
      </c>
      <c r="C336" s="42">
        <f ca="1">IF(Sheet3!$B$5="",0,    IF(E336&lt;1,0,  IF(B336="","",     IF(OR(Sheet3!$B$6=0,INDIRECT(ADDRESS(ROW(),Sheet3!$B$3+16))="" ),D336/E336,    IF(E336&lt;0,0,    IF(OR( INDIRECT(ADDRESS(8,Sheet3!$B$3+16))="",INDIRECT(ADDRESS(ROW(),Sheet3!$B$3+17))=""),        (INDIRECT(ADDRESS(ROW(),Sheet3!$B$3+16))+B336)*Sheet3!$Q$4,         INDIRECT(ADDRESS(ROW(),Sheet3!$B$3+17))-INDIRECT(ADDRESS(ROW(),Sheet3!$B$3+16))))))))</f>
        <v>0</v>
      </c>
      <c r="D336" s="39">
        <f ca="1">IF(Sheet3!$B$5="",0,IF(B336="","",IF(E336&lt;1,0,   IF(INDIRECT(ADDRESS(ROW(), Sheet3!$B$3+17))="",        INDIRECT(ADDRESS(ROW(), Sheet3!$B$3+16))*  (1+Sheet3!$Q$4)   +B336*Sheet3!$Q$4,       INDIRECT(ADDRESS(ROW(), Sheet3!$B$3+17))))))</f>
        <v>0</v>
      </c>
      <c r="E336" s="40">
        <f ca="1">IF(AND(Sheet1!L336&lt;0,  Sheet1!$C$21&gt;R336),    IF(OR(Sheet1!$C$21&lt;=R337,  Sheet1!L337=""),       IF(AND(MOD(NOW(),1)&lt;TIME(9,39,0),Sheet1!$C$22=TODAY()),    Sheet1!$C$21-R336,     Sheet1!$C$21-R336-1),               R337-R336-1),    0)</f>
        <v>0</v>
      </c>
      <c r="F336" s="30"/>
      <c r="G336" s="25" t="str">
        <f>IF(LEFT(Sheet1!K337,2)="0x",Sheet1!K336,IF(AND(Sheet1!L336="",Sheet1!L335=""),"",G335))</f>
        <v/>
      </c>
      <c r="H336" s="81"/>
      <c r="I336" s="43" t="str">
        <f t="shared" si="25"/>
        <v/>
      </c>
      <c r="J336" s="29" t="str">
        <f t="shared" si="24"/>
        <v/>
      </c>
      <c r="K336" s="24" t="str">
        <f>IF(Sheet1!L336="","",IF(Sheet1!L336&gt;0,ROW(),""))</f>
        <v/>
      </c>
      <c r="L336" s="24" t="str">
        <f t="shared" ca="1" si="26"/>
        <v/>
      </c>
      <c r="M336" s="47" t="str">
        <f t="shared" ca="1" si="27"/>
        <v/>
      </c>
      <c r="N336" s="48" t="str">
        <f>IF(LEFT(Sheet1!K336,2)="0x",Sheet1!K336,IF(AND(Sheet1!L336="",Sheet1!L335=""),"",N335))</f>
        <v/>
      </c>
      <c r="O336" s="46">
        <f>IF(Sheet1!L336="",0,IF(Sheet1!O336&lt;TIME(7,39,0)+Sheet1!$E$3/24,1,0))</f>
        <v>0</v>
      </c>
      <c r="P336" s="46" t="str">
        <f ca="1">IF(AND(Sheet1!L336&lt;0, Sheet1!$C$21&gt;R336,OR(Sheet1!$C$21&lt;=R337,Sheet1!L337="")),   -1*Sheet1!L336,"")</f>
        <v/>
      </c>
    </row>
    <row r="337" spans="1:16" ht="15.75" x14ac:dyDescent="0.25">
      <c r="A337" s="456" t="str">
        <f>IF(AND(R337&lt;&gt;"",R336&lt;&gt;""),(-Sheet1!L337/Sheet1!L336)^(360/(R337-R336-1))-1,"")</f>
        <v/>
      </c>
      <c r="B337" s="41" t="str">
        <f ca="1">IF(AND(Sheet1!L337&lt;0, Sheet1!$C$21&gt;R337+1,OR(Sheet1!$C$21&lt;=R338,Sheet1!L338="")),   -1*Sheet1!L337,"")</f>
        <v/>
      </c>
      <c r="C337" s="42">
        <f ca="1">IF(Sheet3!$B$5="",0,    IF(E337&lt;1,0,  IF(B337="","",     IF(OR(Sheet3!$B$6=0,INDIRECT(ADDRESS(ROW(),Sheet3!$B$3+16))="" ),D337/E337,    IF(E337&lt;0,0,    IF(OR( INDIRECT(ADDRESS(8,Sheet3!$B$3+16))="",INDIRECT(ADDRESS(ROW(),Sheet3!$B$3+17))=""),        (INDIRECT(ADDRESS(ROW(),Sheet3!$B$3+16))+B337)*Sheet3!$Q$4,         INDIRECT(ADDRESS(ROW(),Sheet3!$B$3+17))-INDIRECT(ADDRESS(ROW(),Sheet3!$B$3+16))))))))</f>
        <v>0</v>
      </c>
      <c r="D337" s="39">
        <f ca="1">IF(Sheet3!$B$5="",0,IF(B337="","",IF(E337&lt;1,0,   IF(INDIRECT(ADDRESS(ROW(), Sheet3!$B$3+17))="",        INDIRECT(ADDRESS(ROW(), Sheet3!$B$3+16))*  (1+Sheet3!$Q$4)   +B337*Sheet3!$Q$4,       INDIRECT(ADDRESS(ROW(), Sheet3!$B$3+17))))))</f>
        <v>0</v>
      </c>
      <c r="E337" s="40">
        <f ca="1">IF(AND(Sheet1!L337&lt;0,  Sheet1!$C$21&gt;R337),    IF(OR(Sheet1!$C$21&lt;=R338,  Sheet1!L338=""),       IF(AND(MOD(NOW(),1)&lt;TIME(9,39,0),Sheet1!$C$22=TODAY()),    Sheet1!$C$21-R337,     Sheet1!$C$21-R337-1),               R338-R337-1),    0)</f>
        <v>0</v>
      </c>
      <c r="F337" s="30"/>
      <c r="G337" s="25" t="str">
        <f>IF(LEFT(Sheet1!K338,2)="0x",Sheet1!K337,IF(AND(Sheet1!L337="",Sheet1!L336=""),"",G336))</f>
        <v/>
      </c>
      <c r="H337" s="81"/>
      <c r="I337" s="43" t="str">
        <f t="shared" si="25"/>
        <v/>
      </c>
      <c r="J337" s="29" t="str">
        <f t="shared" si="24"/>
        <v/>
      </c>
      <c r="K337" s="24" t="str">
        <f>IF(Sheet1!L337="","",IF(Sheet1!L337&gt;0,ROW(),""))</f>
        <v/>
      </c>
      <c r="L337" s="24" t="str">
        <f t="shared" ca="1" si="26"/>
        <v/>
      </c>
      <c r="M337" s="47" t="str">
        <f t="shared" ca="1" si="27"/>
        <v/>
      </c>
      <c r="N337" s="48" t="str">
        <f>IF(LEFT(Sheet1!K337,2)="0x",Sheet1!K337,IF(AND(Sheet1!L337="",Sheet1!L336=""),"",N336))</f>
        <v/>
      </c>
      <c r="O337" s="46">
        <f>IF(Sheet1!L337="",0,IF(Sheet1!O337&lt;TIME(7,39,0)+Sheet1!$E$3/24,1,0))</f>
        <v>0</v>
      </c>
      <c r="P337" s="46" t="str">
        <f ca="1">IF(AND(Sheet1!L337&lt;0, Sheet1!$C$21&gt;R337,OR(Sheet1!$C$21&lt;=R338,Sheet1!L338="")),   -1*Sheet1!L337,"")</f>
        <v/>
      </c>
    </row>
    <row r="338" spans="1:16" ht="15.75" x14ac:dyDescent="0.25">
      <c r="A338" s="456" t="str">
        <f>IF(AND(R338&lt;&gt;"",R337&lt;&gt;""),(-Sheet1!L338/Sheet1!L337)^(360/(R338-R337-1))-1,"")</f>
        <v/>
      </c>
      <c r="B338" s="41" t="str">
        <f ca="1">IF(AND(Sheet1!L338&lt;0, Sheet1!$C$21&gt;R338+1,OR(Sheet1!$C$21&lt;=R339,Sheet1!L339="")),   -1*Sheet1!L338,"")</f>
        <v/>
      </c>
      <c r="C338" s="42">
        <f ca="1">IF(Sheet3!$B$5="",0,    IF(E338&lt;1,0,  IF(B338="","",     IF(OR(Sheet3!$B$6=0,INDIRECT(ADDRESS(ROW(),Sheet3!$B$3+16))="" ),D338/E338,    IF(E338&lt;0,0,    IF(OR( INDIRECT(ADDRESS(8,Sheet3!$B$3+16))="",INDIRECT(ADDRESS(ROW(),Sheet3!$B$3+17))=""),        (INDIRECT(ADDRESS(ROW(),Sheet3!$B$3+16))+B338)*Sheet3!$Q$4,         INDIRECT(ADDRESS(ROW(),Sheet3!$B$3+17))-INDIRECT(ADDRESS(ROW(),Sheet3!$B$3+16))))))))</f>
        <v>0</v>
      </c>
      <c r="D338" s="39">
        <f ca="1">IF(Sheet3!$B$5="",0,IF(B338="","",IF(E338&lt;1,0,   IF(INDIRECT(ADDRESS(ROW(), Sheet3!$B$3+17))="",        INDIRECT(ADDRESS(ROW(), Sheet3!$B$3+16))*  (1+Sheet3!$Q$4)   +B338*Sheet3!$Q$4,       INDIRECT(ADDRESS(ROW(), Sheet3!$B$3+17))))))</f>
        <v>0</v>
      </c>
      <c r="E338" s="40">
        <f ca="1">IF(AND(Sheet1!L338&lt;0,  Sheet1!$C$21&gt;R338),    IF(OR(Sheet1!$C$21&lt;=R339,  Sheet1!L339=""),       IF(AND(MOD(NOW(),1)&lt;TIME(9,39,0),Sheet1!$C$22=TODAY()),    Sheet1!$C$21-R338,     Sheet1!$C$21-R338-1),               R339-R338-1),    0)</f>
        <v>0</v>
      </c>
      <c r="F338" s="30"/>
      <c r="G338" s="25" t="str">
        <f>IF(LEFT(Sheet1!K339,2)="0x",Sheet1!K338,IF(AND(Sheet1!L338="",Sheet1!L337=""),"",G337))</f>
        <v/>
      </c>
      <c r="H338" s="81"/>
      <c r="I338" s="43" t="str">
        <f t="shared" si="25"/>
        <v/>
      </c>
      <c r="J338" s="29" t="str">
        <f t="shared" si="24"/>
        <v/>
      </c>
      <c r="K338" s="24" t="str">
        <f>IF(Sheet1!L338="","",IF(Sheet1!L338&gt;0,ROW(),""))</f>
        <v/>
      </c>
      <c r="L338" s="24" t="str">
        <f t="shared" ca="1" si="26"/>
        <v/>
      </c>
      <c r="M338" s="47" t="str">
        <f t="shared" ca="1" si="27"/>
        <v/>
      </c>
      <c r="N338" s="48" t="str">
        <f>IF(LEFT(Sheet1!K338,2)="0x",Sheet1!K338,IF(AND(Sheet1!L338="",Sheet1!L337=""),"",N337))</f>
        <v/>
      </c>
      <c r="O338" s="46">
        <f>IF(Sheet1!L338="",0,IF(Sheet1!O338&lt;TIME(7,39,0)+Sheet1!$E$3/24,1,0))</f>
        <v>0</v>
      </c>
      <c r="P338" s="46" t="str">
        <f ca="1">IF(AND(Sheet1!L338&lt;0, Sheet1!$C$21&gt;R338,OR(Sheet1!$C$21&lt;=R339,Sheet1!L339="")),   -1*Sheet1!L338,"")</f>
        <v/>
      </c>
    </row>
    <row r="339" spans="1:16" ht="15.75" x14ac:dyDescent="0.25">
      <c r="A339" s="456" t="str">
        <f>IF(AND(R339&lt;&gt;"",R338&lt;&gt;""),(-Sheet1!L339/Sheet1!L338)^(360/(R339-R338-1))-1,"")</f>
        <v/>
      </c>
      <c r="B339" s="41" t="str">
        <f ca="1">IF(AND(Sheet1!L339&lt;0, Sheet1!$C$21&gt;R339+1,OR(Sheet1!$C$21&lt;=R340,Sheet1!L340="")),   -1*Sheet1!L339,"")</f>
        <v/>
      </c>
      <c r="C339" s="42">
        <f ca="1">IF(Sheet3!$B$5="",0,    IF(E339&lt;1,0,  IF(B339="","",     IF(OR(Sheet3!$B$6=0,INDIRECT(ADDRESS(ROW(),Sheet3!$B$3+16))="" ),D339/E339,    IF(E339&lt;0,0,    IF(OR( INDIRECT(ADDRESS(8,Sheet3!$B$3+16))="",INDIRECT(ADDRESS(ROW(),Sheet3!$B$3+17))=""),        (INDIRECT(ADDRESS(ROW(),Sheet3!$B$3+16))+B339)*Sheet3!$Q$4,         INDIRECT(ADDRESS(ROW(),Sheet3!$B$3+17))-INDIRECT(ADDRESS(ROW(),Sheet3!$B$3+16))))))))</f>
        <v>0</v>
      </c>
      <c r="D339" s="39">
        <f ca="1">IF(Sheet3!$B$5="",0,IF(B339="","",IF(E339&lt;1,0,   IF(INDIRECT(ADDRESS(ROW(), Sheet3!$B$3+17))="",        INDIRECT(ADDRESS(ROW(), Sheet3!$B$3+16))*  (1+Sheet3!$Q$4)   +B339*Sheet3!$Q$4,       INDIRECT(ADDRESS(ROW(), Sheet3!$B$3+17))))))</f>
        <v>0</v>
      </c>
      <c r="E339" s="40">
        <f ca="1">IF(AND(Sheet1!L339&lt;0,  Sheet1!$C$21&gt;R339),    IF(OR(Sheet1!$C$21&lt;=R340,  Sheet1!L340=""),       IF(AND(MOD(NOW(),1)&lt;TIME(9,39,0),Sheet1!$C$22=TODAY()),    Sheet1!$C$21-R339,     Sheet1!$C$21-R339-1),               R340-R339-1),    0)</f>
        <v>0</v>
      </c>
      <c r="F339" s="30"/>
      <c r="G339" s="25" t="str">
        <f>IF(LEFT(Sheet1!K340,2)="0x",Sheet1!K339,IF(AND(Sheet1!L339="",Sheet1!L338=""),"",G338))</f>
        <v/>
      </c>
      <c r="H339" s="81"/>
      <c r="I339" s="43" t="str">
        <f t="shared" si="25"/>
        <v/>
      </c>
      <c r="J339" s="29" t="str">
        <f t="shared" si="24"/>
        <v/>
      </c>
      <c r="K339" s="24" t="str">
        <f>IF(Sheet1!L339="","",IF(Sheet1!L339&gt;0,ROW(),""))</f>
        <v/>
      </c>
      <c r="L339" s="24" t="str">
        <f t="shared" ca="1" si="26"/>
        <v/>
      </c>
      <c r="M339" s="47" t="str">
        <f t="shared" ca="1" si="27"/>
        <v/>
      </c>
      <c r="N339" s="48" t="str">
        <f>IF(LEFT(Sheet1!K339,2)="0x",Sheet1!K339,IF(AND(Sheet1!L339="",Sheet1!L338=""),"",N338))</f>
        <v/>
      </c>
      <c r="O339" s="46">
        <f>IF(Sheet1!L339="",0,IF(Sheet1!O339&lt;TIME(7,39,0)+Sheet1!$E$3/24,1,0))</f>
        <v>0</v>
      </c>
      <c r="P339" s="46" t="str">
        <f ca="1">IF(AND(Sheet1!L339&lt;0, Sheet1!$C$21&gt;R339,OR(Sheet1!$C$21&lt;=R340,Sheet1!L340="")),   -1*Sheet1!L339,"")</f>
        <v/>
      </c>
    </row>
    <row r="340" spans="1:16" ht="15.75" x14ac:dyDescent="0.25">
      <c r="A340" s="456" t="str">
        <f>IF(AND(R340&lt;&gt;"",R339&lt;&gt;""),(-Sheet1!L340/Sheet1!L339)^(360/(R340-R339-1))-1,"")</f>
        <v/>
      </c>
      <c r="B340" s="41" t="str">
        <f ca="1">IF(AND(Sheet1!L340&lt;0, Sheet1!$C$21&gt;R340+1,OR(Sheet1!$C$21&lt;=R341,Sheet1!L341="")),   -1*Sheet1!L340,"")</f>
        <v/>
      </c>
      <c r="C340" s="42">
        <f ca="1">IF(Sheet3!$B$5="",0,    IF(E340&lt;1,0,  IF(B340="","",     IF(OR(Sheet3!$B$6=0,INDIRECT(ADDRESS(ROW(),Sheet3!$B$3+16))="" ),D340/E340,    IF(E340&lt;0,0,    IF(OR( INDIRECT(ADDRESS(8,Sheet3!$B$3+16))="",INDIRECT(ADDRESS(ROW(),Sheet3!$B$3+17))=""),        (INDIRECT(ADDRESS(ROW(),Sheet3!$B$3+16))+B340)*Sheet3!$Q$4,         INDIRECT(ADDRESS(ROW(),Sheet3!$B$3+17))-INDIRECT(ADDRESS(ROW(),Sheet3!$B$3+16))))))))</f>
        <v>0</v>
      </c>
      <c r="D340" s="39">
        <f ca="1">IF(Sheet3!$B$5="",0,IF(B340="","",IF(E340&lt;1,0,   IF(INDIRECT(ADDRESS(ROW(), Sheet3!$B$3+17))="",        INDIRECT(ADDRESS(ROW(), Sheet3!$B$3+16))*  (1+Sheet3!$Q$4)   +B340*Sheet3!$Q$4,       INDIRECT(ADDRESS(ROW(), Sheet3!$B$3+17))))))</f>
        <v>0</v>
      </c>
      <c r="E340" s="40">
        <f ca="1">IF(AND(Sheet1!L340&lt;0,  Sheet1!$C$21&gt;R340),    IF(OR(Sheet1!$C$21&lt;=R341,  Sheet1!L341=""),       IF(AND(MOD(NOW(),1)&lt;TIME(9,39,0),Sheet1!$C$22=TODAY()),    Sheet1!$C$21-R340,     Sheet1!$C$21-R340-1),               R341-R340-1),    0)</f>
        <v>0</v>
      </c>
      <c r="F340" s="30"/>
      <c r="G340" s="25" t="str">
        <f>IF(LEFT(Sheet1!K341,2)="0x",Sheet1!K340,IF(AND(Sheet1!L340="",Sheet1!L339=""),"",G339))</f>
        <v/>
      </c>
      <c r="H340" s="81"/>
      <c r="I340" s="43" t="str">
        <f t="shared" si="25"/>
        <v/>
      </c>
      <c r="J340" s="29" t="str">
        <f t="shared" si="24"/>
        <v/>
      </c>
      <c r="K340" s="24" t="str">
        <f>IF(Sheet1!L340="","",IF(Sheet1!L340&gt;0,ROW(),""))</f>
        <v/>
      </c>
      <c r="L340" s="24" t="str">
        <f t="shared" ca="1" si="26"/>
        <v/>
      </c>
      <c r="M340" s="47" t="str">
        <f t="shared" ca="1" si="27"/>
        <v/>
      </c>
      <c r="N340" s="48" t="str">
        <f>IF(LEFT(Sheet1!K340,2)="0x",Sheet1!K340,IF(AND(Sheet1!L340="",Sheet1!L339=""),"",N339))</f>
        <v/>
      </c>
      <c r="O340" s="46">
        <f>IF(Sheet1!L340="",0,IF(Sheet1!O340&lt;TIME(7,39,0)+Sheet1!$E$3/24,1,0))</f>
        <v>0</v>
      </c>
      <c r="P340" s="46" t="str">
        <f ca="1">IF(AND(Sheet1!L340&lt;0, Sheet1!$C$21&gt;R340,OR(Sheet1!$C$21&lt;=R341,Sheet1!L341="")),   -1*Sheet1!L340,"")</f>
        <v/>
      </c>
    </row>
    <row r="341" spans="1:16" ht="15.75" x14ac:dyDescent="0.25">
      <c r="A341" s="456" t="str">
        <f>IF(AND(R341&lt;&gt;"",R340&lt;&gt;""),(-Sheet1!L341/Sheet1!L340)^(360/(R341-R340-1))-1,"")</f>
        <v/>
      </c>
      <c r="B341" s="41" t="str">
        <f ca="1">IF(AND(Sheet1!L341&lt;0, Sheet1!$C$21&gt;R341+1,OR(Sheet1!$C$21&lt;=R342,Sheet1!L342="")),   -1*Sheet1!L341,"")</f>
        <v/>
      </c>
      <c r="C341" s="42">
        <f ca="1">IF(Sheet3!$B$5="",0,    IF(E341&lt;1,0,  IF(B341="","",     IF(OR(Sheet3!$B$6=0,INDIRECT(ADDRESS(ROW(),Sheet3!$B$3+16))="" ),D341/E341,    IF(E341&lt;0,0,    IF(OR( INDIRECT(ADDRESS(8,Sheet3!$B$3+16))="",INDIRECT(ADDRESS(ROW(),Sheet3!$B$3+17))=""),        (INDIRECT(ADDRESS(ROW(),Sheet3!$B$3+16))+B341)*Sheet3!$Q$4,         INDIRECT(ADDRESS(ROW(),Sheet3!$B$3+17))-INDIRECT(ADDRESS(ROW(),Sheet3!$B$3+16))))))))</f>
        <v>0</v>
      </c>
      <c r="D341" s="39">
        <f ca="1">IF(Sheet3!$B$5="",0,IF(B341="","",IF(E341&lt;1,0,   IF(INDIRECT(ADDRESS(ROW(), Sheet3!$B$3+17))="",        INDIRECT(ADDRESS(ROW(), Sheet3!$B$3+16))*  (1+Sheet3!$Q$4)   +B341*Sheet3!$Q$4,       INDIRECT(ADDRESS(ROW(), Sheet3!$B$3+17))))))</f>
        <v>0</v>
      </c>
      <c r="E341" s="40">
        <f ca="1">IF(AND(Sheet1!L341&lt;0,  Sheet1!$C$21&gt;R341),    IF(OR(Sheet1!$C$21&lt;=R342,  Sheet1!L342=""),       IF(AND(MOD(NOW(),1)&lt;TIME(9,39,0),Sheet1!$C$22=TODAY()),    Sheet1!$C$21-R341,     Sheet1!$C$21-R341-1),               R342-R341-1),    0)</f>
        <v>0</v>
      </c>
      <c r="F341" s="30"/>
      <c r="G341" s="25" t="str">
        <f>IF(LEFT(Sheet1!K342,2)="0x",Sheet1!K341,IF(AND(Sheet1!L341="",Sheet1!L340=""),"",G340))</f>
        <v/>
      </c>
      <c r="H341" s="81"/>
      <c r="I341" s="43" t="str">
        <f t="shared" si="25"/>
        <v/>
      </c>
      <c r="J341" s="29" t="str">
        <f t="shared" si="24"/>
        <v/>
      </c>
      <c r="K341" s="24" t="str">
        <f>IF(Sheet1!L341="","",IF(Sheet1!L341&gt;0,ROW(),""))</f>
        <v/>
      </c>
      <c r="L341" s="24" t="str">
        <f t="shared" ca="1" si="26"/>
        <v/>
      </c>
      <c r="M341" s="47" t="str">
        <f t="shared" ca="1" si="27"/>
        <v/>
      </c>
      <c r="N341" s="48" t="str">
        <f>IF(LEFT(Sheet1!K341,2)="0x",Sheet1!K341,IF(AND(Sheet1!L341="",Sheet1!L340=""),"",N340))</f>
        <v/>
      </c>
      <c r="O341" s="46">
        <f>IF(Sheet1!L341="",0,IF(Sheet1!O341&lt;TIME(7,39,0)+Sheet1!$E$3/24,1,0))</f>
        <v>0</v>
      </c>
      <c r="P341" s="46" t="str">
        <f ca="1">IF(AND(Sheet1!L341&lt;0, Sheet1!$C$21&gt;R341,OR(Sheet1!$C$21&lt;=R342,Sheet1!L342="")),   -1*Sheet1!L341,"")</f>
        <v/>
      </c>
    </row>
    <row r="342" spans="1:16" ht="15.75" x14ac:dyDescent="0.25">
      <c r="A342" s="456" t="str">
        <f>IF(AND(R342&lt;&gt;"",R341&lt;&gt;""),(-Sheet1!L342/Sheet1!L341)^(360/(R342-R341-1))-1,"")</f>
        <v/>
      </c>
      <c r="B342" s="41" t="str">
        <f ca="1">IF(AND(Sheet1!L342&lt;0, Sheet1!$C$21&gt;R342+1,OR(Sheet1!$C$21&lt;=R343,Sheet1!L343="")),   -1*Sheet1!L342,"")</f>
        <v/>
      </c>
      <c r="C342" s="42">
        <f ca="1">IF(Sheet3!$B$5="",0,    IF(E342&lt;1,0,  IF(B342="","",     IF(OR(Sheet3!$B$6=0,INDIRECT(ADDRESS(ROW(),Sheet3!$B$3+16))="" ),D342/E342,    IF(E342&lt;0,0,    IF(OR( INDIRECT(ADDRESS(8,Sheet3!$B$3+16))="",INDIRECT(ADDRESS(ROW(),Sheet3!$B$3+17))=""),        (INDIRECT(ADDRESS(ROW(),Sheet3!$B$3+16))+B342)*Sheet3!$Q$4,         INDIRECT(ADDRESS(ROW(),Sheet3!$B$3+17))-INDIRECT(ADDRESS(ROW(),Sheet3!$B$3+16))))))))</f>
        <v>0</v>
      </c>
      <c r="D342" s="39">
        <f ca="1">IF(Sheet3!$B$5="",0,IF(B342="","",IF(E342&lt;1,0,   IF(INDIRECT(ADDRESS(ROW(), Sheet3!$B$3+17))="",        INDIRECT(ADDRESS(ROW(), Sheet3!$B$3+16))*  (1+Sheet3!$Q$4)   +B342*Sheet3!$Q$4,       INDIRECT(ADDRESS(ROW(), Sheet3!$B$3+17))))))</f>
        <v>0</v>
      </c>
      <c r="E342" s="40">
        <f ca="1">IF(AND(Sheet1!L342&lt;0,  Sheet1!$C$21&gt;R342),    IF(OR(Sheet1!$C$21&lt;=R343,  Sheet1!L343=""),       IF(AND(MOD(NOW(),1)&lt;TIME(9,39,0),Sheet1!$C$22=TODAY()),    Sheet1!$C$21-R342,     Sheet1!$C$21-R342-1),               R343-R342-1),    0)</f>
        <v>0</v>
      </c>
      <c r="F342" s="30"/>
      <c r="G342" s="25" t="str">
        <f>IF(LEFT(Sheet1!K343,2)="0x",Sheet1!K342,IF(AND(Sheet1!L342="",Sheet1!L341=""),"",G341))</f>
        <v/>
      </c>
      <c r="H342" s="81"/>
      <c r="I342" s="43" t="str">
        <f t="shared" si="25"/>
        <v/>
      </c>
      <c r="J342" s="29" t="str">
        <f t="shared" si="24"/>
        <v/>
      </c>
      <c r="K342" s="24" t="str">
        <f>IF(Sheet1!L342="","",IF(Sheet1!L342&gt;0,ROW(),""))</f>
        <v/>
      </c>
      <c r="L342" s="24" t="str">
        <f t="shared" ca="1" si="26"/>
        <v/>
      </c>
      <c r="M342" s="47" t="str">
        <f t="shared" ca="1" si="27"/>
        <v/>
      </c>
      <c r="N342" s="48" t="str">
        <f>IF(LEFT(Sheet1!K342,2)="0x",Sheet1!K342,IF(AND(Sheet1!L342="",Sheet1!L341=""),"",N341))</f>
        <v/>
      </c>
      <c r="O342" s="46">
        <f>IF(Sheet1!L342="",0,IF(Sheet1!O342&lt;TIME(7,39,0)+Sheet1!$E$3/24,1,0))</f>
        <v>0</v>
      </c>
      <c r="P342" s="46" t="str">
        <f ca="1">IF(AND(Sheet1!L342&lt;0, Sheet1!$C$21&gt;R342,OR(Sheet1!$C$21&lt;=R343,Sheet1!L343="")),   -1*Sheet1!L342,"")</f>
        <v/>
      </c>
    </row>
    <row r="343" spans="1:16" ht="15.75" x14ac:dyDescent="0.25">
      <c r="A343" s="456" t="str">
        <f>IF(AND(R343&lt;&gt;"",R342&lt;&gt;""),(-Sheet1!L343/Sheet1!L342)^(360/(R343-R342-1))-1,"")</f>
        <v/>
      </c>
      <c r="B343" s="41" t="str">
        <f ca="1">IF(AND(Sheet1!L343&lt;0, Sheet1!$C$21&gt;R343+1,OR(Sheet1!$C$21&lt;=R344,Sheet1!L344="")),   -1*Sheet1!L343,"")</f>
        <v/>
      </c>
      <c r="C343" s="42">
        <f ca="1">IF(Sheet3!$B$5="",0,    IF(E343&lt;1,0,  IF(B343="","",     IF(OR(Sheet3!$B$6=0,INDIRECT(ADDRESS(ROW(),Sheet3!$B$3+16))="" ),D343/E343,    IF(E343&lt;0,0,    IF(OR( INDIRECT(ADDRESS(8,Sheet3!$B$3+16))="",INDIRECT(ADDRESS(ROW(),Sheet3!$B$3+17))=""),        (INDIRECT(ADDRESS(ROW(),Sheet3!$B$3+16))+B343)*Sheet3!$Q$4,         INDIRECT(ADDRESS(ROW(),Sheet3!$B$3+17))-INDIRECT(ADDRESS(ROW(),Sheet3!$B$3+16))))))))</f>
        <v>0</v>
      </c>
      <c r="D343" s="39">
        <f ca="1">IF(Sheet3!$B$5="",0,IF(B343="","",IF(E343&lt;1,0,   IF(INDIRECT(ADDRESS(ROW(), Sheet3!$B$3+17))="",        INDIRECT(ADDRESS(ROW(), Sheet3!$B$3+16))*  (1+Sheet3!$Q$4)   +B343*Sheet3!$Q$4,       INDIRECT(ADDRESS(ROW(), Sheet3!$B$3+17))))))</f>
        <v>0</v>
      </c>
      <c r="E343" s="40">
        <f ca="1">IF(AND(Sheet1!L343&lt;0,  Sheet1!$C$21&gt;R343),    IF(OR(Sheet1!$C$21&lt;=R344,  Sheet1!L344=""),       IF(AND(MOD(NOW(),1)&lt;TIME(9,39,0),Sheet1!$C$22=TODAY()),    Sheet1!$C$21-R343,     Sheet1!$C$21-R343-1),               R344-R343-1),    0)</f>
        <v>0</v>
      </c>
      <c r="F343" s="30"/>
      <c r="G343" s="25" t="str">
        <f>IF(LEFT(Sheet1!K344,2)="0x",Sheet1!K343,IF(AND(Sheet1!L343="",Sheet1!L342=""),"",G342))</f>
        <v/>
      </c>
      <c r="H343" s="81"/>
      <c r="I343" s="43" t="str">
        <f t="shared" si="25"/>
        <v/>
      </c>
      <c r="J343" s="29" t="str">
        <f t="shared" si="24"/>
        <v/>
      </c>
      <c r="K343" s="24" t="str">
        <f>IF(Sheet1!L343="","",IF(Sheet1!L343&gt;0,ROW(),""))</f>
        <v/>
      </c>
      <c r="L343" s="24" t="str">
        <f t="shared" ca="1" si="26"/>
        <v/>
      </c>
      <c r="M343" s="47" t="str">
        <f t="shared" ca="1" si="27"/>
        <v/>
      </c>
      <c r="N343" s="48" t="str">
        <f>IF(LEFT(Sheet1!K343,2)="0x",Sheet1!K343,IF(AND(Sheet1!L343="",Sheet1!L342=""),"",N342))</f>
        <v/>
      </c>
      <c r="O343" s="46">
        <f>IF(Sheet1!L343="",0,IF(Sheet1!O343&lt;TIME(7,39,0)+Sheet1!$E$3/24,1,0))</f>
        <v>0</v>
      </c>
      <c r="P343" s="46" t="str">
        <f ca="1">IF(AND(Sheet1!L343&lt;0, Sheet1!$C$21&gt;R343,OR(Sheet1!$C$21&lt;=R344,Sheet1!L344="")),   -1*Sheet1!L343,"")</f>
        <v/>
      </c>
    </row>
    <row r="344" spans="1:16" ht="15.75" x14ac:dyDescent="0.25">
      <c r="A344" s="456" t="str">
        <f>IF(AND(R344&lt;&gt;"",R343&lt;&gt;""),(-Sheet1!L344/Sheet1!L343)^(360/(R344-R343-1))-1,"")</f>
        <v/>
      </c>
      <c r="B344" s="41" t="str">
        <f ca="1">IF(AND(Sheet1!L344&lt;0, Sheet1!$C$21&gt;R344+1,OR(Sheet1!$C$21&lt;=R345,Sheet1!L345="")),   -1*Sheet1!L344,"")</f>
        <v/>
      </c>
      <c r="C344" s="42">
        <f ca="1">IF(Sheet3!$B$5="",0,    IF(E344&lt;1,0,  IF(B344="","",     IF(OR(Sheet3!$B$6=0,INDIRECT(ADDRESS(ROW(),Sheet3!$B$3+16))="" ),D344/E344,    IF(E344&lt;0,0,    IF(OR( INDIRECT(ADDRESS(8,Sheet3!$B$3+16))="",INDIRECT(ADDRESS(ROW(),Sheet3!$B$3+17))=""),        (INDIRECT(ADDRESS(ROW(),Sheet3!$B$3+16))+B344)*Sheet3!$Q$4,         INDIRECT(ADDRESS(ROW(),Sheet3!$B$3+17))-INDIRECT(ADDRESS(ROW(),Sheet3!$B$3+16))))))))</f>
        <v>0</v>
      </c>
      <c r="D344" s="39">
        <f ca="1">IF(Sheet3!$B$5="",0,IF(B344="","",IF(E344&lt;1,0,   IF(INDIRECT(ADDRESS(ROW(), Sheet3!$B$3+17))="",        INDIRECT(ADDRESS(ROW(), Sheet3!$B$3+16))*  (1+Sheet3!$Q$4)   +B344*Sheet3!$Q$4,       INDIRECT(ADDRESS(ROW(), Sheet3!$B$3+17))))))</f>
        <v>0</v>
      </c>
      <c r="E344" s="40">
        <f ca="1">IF(AND(Sheet1!L344&lt;0,  Sheet1!$C$21&gt;R344),    IF(OR(Sheet1!$C$21&lt;=R345,  Sheet1!L345=""),       IF(AND(MOD(NOW(),1)&lt;TIME(9,39,0),Sheet1!$C$22=TODAY()),    Sheet1!$C$21-R344,     Sheet1!$C$21-R344-1),               R345-R344-1),    0)</f>
        <v>0</v>
      </c>
      <c r="F344" s="30"/>
      <c r="G344" s="25" t="str">
        <f>IF(LEFT(Sheet1!K345,2)="0x",Sheet1!K344,IF(AND(Sheet1!L344="",Sheet1!L343=""),"",G343))</f>
        <v/>
      </c>
      <c r="H344" s="81"/>
      <c r="I344" s="43" t="str">
        <f t="shared" si="25"/>
        <v/>
      </c>
      <c r="J344" s="29" t="str">
        <f t="shared" si="24"/>
        <v/>
      </c>
      <c r="K344" s="24" t="str">
        <f>IF(Sheet1!L344="","",IF(Sheet1!L344&gt;0,ROW(),""))</f>
        <v/>
      </c>
      <c r="L344" s="24" t="str">
        <f t="shared" ca="1" si="26"/>
        <v/>
      </c>
      <c r="M344" s="47" t="str">
        <f t="shared" ca="1" si="27"/>
        <v/>
      </c>
      <c r="N344" s="48" t="str">
        <f>IF(LEFT(Sheet1!K344,2)="0x",Sheet1!K344,IF(AND(Sheet1!L344="",Sheet1!L343=""),"",N343))</f>
        <v/>
      </c>
      <c r="O344" s="46">
        <f>IF(Sheet1!L344="",0,IF(Sheet1!O344&lt;TIME(7,39,0)+Sheet1!$E$3/24,1,0))</f>
        <v>0</v>
      </c>
      <c r="P344" s="46" t="str">
        <f ca="1">IF(AND(Sheet1!L344&lt;0, Sheet1!$C$21&gt;R344,OR(Sheet1!$C$21&lt;=R345,Sheet1!L345="")),   -1*Sheet1!L344,"")</f>
        <v/>
      </c>
    </row>
    <row r="345" spans="1:16" ht="15.75" x14ac:dyDescent="0.25">
      <c r="A345" s="456" t="str">
        <f>IF(AND(R345&lt;&gt;"",R344&lt;&gt;""),(-Sheet1!L345/Sheet1!L344)^(360/(R345-R344-1))-1,"")</f>
        <v/>
      </c>
      <c r="B345" s="41" t="str">
        <f ca="1">IF(AND(Sheet1!L345&lt;0, Sheet1!$C$21&gt;R345+1,OR(Sheet1!$C$21&lt;=R346,Sheet1!L346="")),   -1*Sheet1!L345,"")</f>
        <v/>
      </c>
      <c r="C345" s="42">
        <f ca="1">IF(Sheet3!$B$5="",0,    IF(E345&lt;1,0,  IF(B345="","",     IF(OR(Sheet3!$B$6=0,INDIRECT(ADDRESS(ROW(),Sheet3!$B$3+16))="" ),D345/E345,    IF(E345&lt;0,0,    IF(OR( INDIRECT(ADDRESS(8,Sheet3!$B$3+16))="",INDIRECT(ADDRESS(ROW(),Sheet3!$B$3+17))=""),        (INDIRECT(ADDRESS(ROW(),Sheet3!$B$3+16))+B345)*Sheet3!$Q$4,         INDIRECT(ADDRESS(ROW(),Sheet3!$B$3+17))-INDIRECT(ADDRESS(ROW(),Sheet3!$B$3+16))))))))</f>
        <v>0</v>
      </c>
      <c r="D345" s="39">
        <f ca="1">IF(Sheet3!$B$5="",0,IF(B345="","",IF(E345&lt;1,0,   IF(INDIRECT(ADDRESS(ROW(), Sheet3!$B$3+17))="",        INDIRECT(ADDRESS(ROW(), Sheet3!$B$3+16))*  (1+Sheet3!$Q$4)   +B345*Sheet3!$Q$4,       INDIRECT(ADDRESS(ROW(), Sheet3!$B$3+17))))))</f>
        <v>0</v>
      </c>
      <c r="E345" s="40">
        <f ca="1">IF(AND(Sheet1!L345&lt;0,  Sheet1!$C$21&gt;R345),    IF(OR(Sheet1!$C$21&lt;=R346,  Sheet1!L346=""),       IF(AND(MOD(NOW(),1)&lt;TIME(9,39,0),Sheet1!$C$22=TODAY()),    Sheet1!$C$21-R345,     Sheet1!$C$21-R345-1),               R346-R345-1),    0)</f>
        <v>0</v>
      </c>
      <c r="F345" s="30"/>
      <c r="G345" s="25" t="str">
        <f>IF(LEFT(Sheet1!K346,2)="0x",Sheet1!K345,IF(AND(Sheet1!L345="",Sheet1!L344=""),"",G344))</f>
        <v/>
      </c>
      <c r="H345" s="81"/>
      <c r="I345" s="43" t="str">
        <f t="shared" si="25"/>
        <v/>
      </c>
      <c r="J345" s="29" t="str">
        <f t="shared" ref="J345:J408" si="28">IF(I345="","",INDEX(G:G,I345))</f>
        <v/>
      </c>
      <c r="K345" s="24" t="str">
        <f>IF(Sheet1!L345="","",IF(Sheet1!L345&gt;0,ROW(),""))</f>
        <v/>
      </c>
      <c r="L345" s="24" t="str">
        <f t="shared" ca="1" si="26"/>
        <v/>
      </c>
      <c r="M345" s="47" t="str">
        <f t="shared" ca="1" si="27"/>
        <v/>
      </c>
      <c r="N345" s="48" t="str">
        <f>IF(LEFT(Sheet1!K345,2)="0x",Sheet1!K345,IF(AND(Sheet1!L345="",Sheet1!L344=""),"",N344))</f>
        <v/>
      </c>
      <c r="O345" s="46">
        <f>IF(Sheet1!L345="",0,IF(Sheet1!O345&lt;TIME(7,39,0)+Sheet1!$E$3/24,1,0))</f>
        <v>0</v>
      </c>
      <c r="P345" s="46" t="str">
        <f ca="1">IF(AND(Sheet1!L345&lt;0, Sheet1!$C$21&gt;R345,OR(Sheet1!$C$21&lt;=R346,Sheet1!L346="")),   -1*Sheet1!L345,"")</f>
        <v/>
      </c>
    </row>
    <row r="346" spans="1:16" ht="15.75" x14ac:dyDescent="0.25">
      <c r="A346" s="456" t="str">
        <f>IF(AND(R346&lt;&gt;"",R345&lt;&gt;""),(-Sheet1!L346/Sheet1!L345)^(360/(R346-R345-1))-1,"")</f>
        <v/>
      </c>
      <c r="B346" s="41" t="str">
        <f ca="1">IF(AND(Sheet1!L346&lt;0, Sheet1!$C$21&gt;R346+1,OR(Sheet1!$C$21&lt;=R347,Sheet1!L347="")),   -1*Sheet1!L346,"")</f>
        <v/>
      </c>
      <c r="C346" s="42">
        <f ca="1">IF(Sheet3!$B$5="",0,    IF(E346&lt;1,0,  IF(B346="","",     IF(OR(Sheet3!$B$6=0,INDIRECT(ADDRESS(ROW(),Sheet3!$B$3+16))="" ),D346/E346,    IF(E346&lt;0,0,    IF(OR( INDIRECT(ADDRESS(8,Sheet3!$B$3+16))="",INDIRECT(ADDRESS(ROW(),Sheet3!$B$3+17))=""),        (INDIRECT(ADDRESS(ROW(),Sheet3!$B$3+16))+B346)*Sheet3!$Q$4,         INDIRECT(ADDRESS(ROW(),Sheet3!$B$3+17))-INDIRECT(ADDRESS(ROW(),Sheet3!$B$3+16))))))))</f>
        <v>0</v>
      </c>
      <c r="D346" s="39">
        <f ca="1">IF(Sheet3!$B$5="",0,IF(B346="","",IF(E346&lt;1,0,   IF(INDIRECT(ADDRESS(ROW(), Sheet3!$B$3+17))="",        INDIRECT(ADDRESS(ROW(), Sheet3!$B$3+16))*  (1+Sheet3!$Q$4)   +B346*Sheet3!$Q$4,       INDIRECT(ADDRESS(ROW(), Sheet3!$B$3+17))))))</f>
        <v>0</v>
      </c>
      <c r="E346" s="40">
        <f ca="1">IF(AND(Sheet1!L346&lt;0,  Sheet1!$C$21&gt;R346),    IF(OR(Sheet1!$C$21&lt;=R347,  Sheet1!L347=""),       IF(AND(MOD(NOW(),1)&lt;TIME(9,39,0),Sheet1!$C$22=TODAY()),    Sheet1!$C$21-R346,     Sheet1!$C$21-R346-1),               R347-R346-1),    0)</f>
        <v>0</v>
      </c>
      <c r="F346" s="30"/>
      <c r="G346" s="25" t="str">
        <f>IF(LEFT(Sheet1!K347,2)="0x",Sheet1!K346,IF(AND(Sheet1!L346="",Sheet1!L345=""),"",G345))</f>
        <v/>
      </c>
      <c r="H346" s="81"/>
      <c r="I346" s="43" t="str">
        <f t="shared" si="25"/>
        <v/>
      </c>
      <c r="J346" s="29" t="str">
        <f t="shared" si="28"/>
        <v/>
      </c>
      <c r="K346" s="24" t="str">
        <f>IF(Sheet1!L346="","",IF(Sheet1!L346&gt;0,ROW(),""))</f>
        <v/>
      </c>
      <c r="L346" s="24" t="str">
        <f t="shared" ca="1" si="26"/>
        <v/>
      </c>
      <c r="M346" s="47" t="str">
        <f t="shared" ca="1" si="27"/>
        <v/>
      </c>
      <c r="N346" s="48" t="str">
        <f>IF(LEFT(Sheet1!K346,2)="0x",Sheet1!K346,IF(AND(Sheet1!L346="",Sheet1!L345=""),"",N345))</f>
        <v/>
      </c>
      <c r="O346" s="46">
        <f>IF(Sheet1!L346="",0,IF(Sheet1!O346&lt;TIME(7,39,0)+Sheet1!$E$3/24,1,0))</f>
        <v>0</v>
      </c>
      <c r="P346" s="46" t="str">
        <f ca="1">IF(AND(Sheet1!L346&lt;0, Sheet1!$C$21&gt;R346,OR(Sheet1!$C$21&lt;=R347,Sheet1!L347="")),   -1*Sheet1!L346,"")</f>
        <v/>
      </c>
    </row>
    <row r="347" spans="1:16" ht="15.75" x14ac:dyDescent="0.25">
      <c r="A347" s="456" t="str">
        <f>IF(AND(R347&lt;&gt;"",R346&lt;&gt;""),(-Sheet1!L347/Sheet1!L346)^(360/(R347-R346-1))-1,"")</f>
        <v/>
      </c>
      <c r="B347" s="41" t="str">
        <f ca="1">IF(AND(Sheet1!L347&lt;0, Sheet1!$C$21&gt;R347+1,OR(Sheet1!$C$21&lt;=R348,Sheet1!L348="")),   -1*Sheet1!L347,"")</f>
        <v/>
      </c>
      <c r="C347" s="42">
        <f ca="1">IF(Sheet3!$B$5="",0,    IF(E347&lt;1,0,  IF(B347="","",     IF(OR(Sheet3!$B$6=0,INDIRECT(ADDRESS(ROW(),Sheet3!$B$3+16))="" ),D347/E347,    IF(E347&lt;0,0,    IF(OR( INDIRECT(ADDRESS(8,Sheet3!$B$3+16))="",INDIRECT(ADDRESS(ROW(),Sheet3!$B$3+17))=""),        (INDIRECT(ADDRESS(ROW(),Sheet3!$B$3+16))+B347)*Sheet3!$Q$4,         INDIRECT(ADDRESS(ROW(),Sheet3!$B$3+17))-INDIRECT(ADDRESS(ROW(),Sheet3!$B$3+16))))))))</f>
        <v>0</v>
      </c>
      <c r="D347" s="39">
        <f ca="1">IF(Sheet3!$B$5="",0,IF(B347="","",IF(E347&lt;1,0,   IF(INDIRECT(ADDRESS(ROW(), Sheet3!$B$3+17))="",        INDIRECT(ADDRESS(ROW(), Sheet3!$B$3+16))*  (1+Sheet3!$Q$4)   +B347*Sheet3!$Q$4,       INDIRECT(ADDRESS(ROW(), Sheet3!$B$3+17))))))</f>
        <v>0</v>
      </c>
      <c r="E347" s="40">
        <f ca="1">IF(AND(Sheet1!L347&lt;0,  Sheet1!$C$21&gt;R347),    IF(OR(Sheet1!$C$21&lt;=R348,  Sheet1!L348=""),       IF(AND(MOD(NOW(),1)&lt;TIME(9,39,0),Sheet1!$C$22=TODAY()),    Sheet1!$C$21-R347,     Sheet1!$C$21-R347-1),               R348-R347-1),    0)</f>
        <v>0</v>
      </c>
      <c r="F347" s="30"/>
      <c r="G347" s="25" t="str">
        <f>IF(LEFT(Sheet1!K348,2)="0x",Sheet1!K347,IF(AND(Sheet1!L347="",Sheet1!L346=""),"",G346))</f>
        <v/>
      </c>
      <c r="H347" s="81"/>
      <c r="I347" s="43" t="str">
        <f t="shared" si="25"/>
        <v/>
      </c>
      <c r="J347" s="29" t="str">
        <f t="shared" si="28"/>
        <v/>
      </c>
      <c r="K347" s="24" t="str">
        <f>IF(Sheet1!L347="","",IF(Sheet1!L347&gt;0,ROW(),""))</f>
        <v/>
      </c>
      <c r="L347" s="24" t="str">
        <f t="shared" ca="1" si="26"/>
        <v/>
      </c>
      <c r="M347" s="47" t="str">
        <f t="shared" ca="1" si="27"/>
        <v/>
      </c>
      <c r="N347" s="48" t="str">
        <f>IF(LEFT(Sheet1!K347,2)="0x",Sheet1!K347,IF(AND(Sheet1!L347="",Sheet1!L346=""),"",N346))</f>
        <v/>
      </c>
      <c r="O347" s="46">
        <f>IF(Sheet1!L347="",0,IF(Sheet1!O347&lt;TIME(7,39,0)+Sheet1!$E$3/24,1,0))</f>
        <v>0</v>
      </c>
      <c r="P347" s="46" t="str">
        <f ca="1">IF(AND(Sheet1!L347&lt;0, Sheet1!$C$21&gt;R347,OR(Sheet1!$C$21&lt;=R348,Sheet1!L348="")),   -1*Sheet1!L347,"")</f>
        <v/>
      </c>
    </row>
    <row r="348" spans="1:16" ht="15.75" x14ac:dyDescent="0.25">
      <c r="A348" s="456" t="str">
        <f>IF(AND(R348&lt;&gt;"",R347&lt;&gt;""),(-Sheet1!L348/Sheet1!L347)^(360/(R348-R347-1))-1,"")</f>
        <v/>
      </c>
      <c r="B348" s="41" t="str">
        <f ca="1">IF(AND(Sheet1!L348&lt;0, Sheet1!$C$21&gt;R348+1,OR(Sheet1!$C$21&lt;=R349,Sheet1!L349="")),   -1*Sheet1!L348,"")</f>
        <v/>
      </c>
      <c r="C348" s="42">
        <f ca="1">IF(Sheet3!$B$5="",0,    IF(E348&lt;1,0,  IF(B348="","",     IF(OR(Sheet3!$B$6=0,INDIRECT(ADDRESS(ROW(),Sheet3!$B$3+16))="" ),D348/E348,    IF(E348&lt;0,0,    IF(OR( INDIRECT(ADDRESS(8,Sheet3!$B$3+16))="",INDIRECT(ADDRESS(ROW(),Sheet3!$B$3+17))=""),        (INDIRECT(ADDRESS(ROW(),Sheet3!$B$3+16))+B348)*Sheet3!$Q$4,         INDIRECT(ADDRESS(ROW(),Sheet3!$B$3+17))-INDIRECT(ADDRESS(ROW(),Sheet3!$B$3+16))))))))</f>
        <v>0</v>
      </c>
      <c r="D348" s="39">
        <f ca="1">IF(Sheet3!$B$5="",0,IF(B348="","",IF(E348&lt;1,0,   IF(INDIRECT(ADDRESS(ROW(), Sheet3!$B$3+17))="",        INDIRECT(ADDRESS(ROW(), Sheet3!$B$3+16))*  (1+Sheet3!$Q$4)   +B348*Sheet3!$Q$4,       INDIRECT(ADDRESS(ROW(), Sheet3!$B$3+17))))))</f>
        <v>0</v>
      </c>
      <c r="E348" s="40">
        <f ca="1">IF(AND(Sheet1!L348&lt;0,  Sheet1!$C$21&gt;R348),    IF(OR(Sheet1!$C$21&lt;=R349,  Sheet1!L349=""),       IF(AND(MOD(NOW(),1)&lt;TIME(9,39,0),Sheet1!$C$22=TODAY()),    Sheet1!$C$21-R348,     Sheet1!$C$21-R348-1),               R349-R348-1),    0)</f>
        <v>0</v>
      </c>
      <c r="F348" s="30"/>
      <c r="G348" s="25" t="str">
        <f>IF(LEFT(Sheet1!K349,2)="0x",Sheet1!K348,IF(AND(Sheet1!L348="",Sheet1!L347=""),"",G347))</f>
        <v/>
      </c>
      <c r="H348" s="81"/>
      <c r="I348" s="43" t="str">
        <f t="shared" si="25"/>
        <v/>
      </c>
      <c r="J348" s="29" t="str">
        <f t="shared" si="28"/>
        <v/>
      </c>
      <c r="K348" s="24" t="str">
        <f>IF(Sheet1!L348="","",IF(Sheet1!L348&gt;0,ROW(),""))</f>
        <v/>
      </c>
      <c r="L348" s="24" t="str">
        <f t="shared" ca="1" si="26"/>
        <v/>
      </c>
      <c r="M348" s="47" t="str">
        <f t="shared" ca="1" si="27"/>
        <v/>
      </c>
      <c r="N348" s="48" t="str">
        <f>IF(LEFT(Sheet1!K348,2)="0x",Sheet1!K348,IF(AND(Sheet1!L348="",Sheet1!L347=""),"",N347))</f>
        <v/>
      </c>
      <c r="O348" s="46">
        <f>IF(Sheet1!L348="",0,IF(Sheet1!O348&lt;TIME(7,39,0)+Sheet1!$E$3/24,1,0))</f>
        <v>0</v>
      </c>
      <c r="P348" s="46" t="str">
        <f ca="1">IF(AND(Sheet1!L348&lt;0, Sheet1!$C$21&gt;R348,OR(Sheet1!$C$21&lt;=R349,Sheet1!L349="")),   -1*Sheet1!L348,"")</f>
        <v/>
      </c>
    </row>
    <row r="349" spans="1:16" ht="15.75" x14ac:dyDescent="0.25">
      <c r="A349" s="456" t="str">
        <f>IF(AND(R349&lt;&gt;"",R348&lt;&gt;""),(-Sheet1!L349/Sheet1!L348)^(360/(R349-R348-1))-1,"")</f>
        <v/>
      </c>
      <c r="B349" s="41" t="str">
        <f ca="1">IF(AND(Sheet1!L349&lt;0, Sheet1!$C$21&gt;R349+1,OR(Sheet1!$C$21&lt;=R350,Sheet1!L350="")),   -1*Sheet1!L349,"")</f>
        <v/>
      </c>
      <c r="C349" s="42">
        <f ca="1">IF(Sheet3!$B$5="",0,    IF(E349&lt;1,0,  IF(B349="","",     IF(OR(Sheet3!$B$6=0,INDIRECT(ADDRESS(ROW(),Sheet3!$B$3+16))="" ),D349/E349,    IF(E349&lt;0,0,    IF(OR( INDIRECT(ADDRESS(8,Sheet3!$B$3+16))="",INDIRECT(ADDRESS(ROW(),Sheet3!$B$3+17))=""),        (INDIRECT(ADDRESS(ROW(),Sheet3!$B$3+16))+B349)*Sheet3!$Q$4,         INDIRECT(ADDRESS(ROW(),Sheet3!$B$3+17))-INDIRECT(ADDRESS(ROW(),Sheet3!$B$3+16))))))))</f>
        <v>0</v>
      </c>
      <c r="D349" s="39">
        <f ca="1">IF(Sheet3!$B$5="",0,IF(B349="","",IF(E349&lt;1,0,   IF(INDIRECT(ADDRESS(ROW(), Sheet3!$B$3+17))="",        INDIRECT(ADDRESS(ROW(), Sheet3!$B$3+16))*  (1+Sheet3!$Q$4)   +B349*Sheet3!$Q$4,       INDIRECT(ADDRESS(ROW(), Sheet3!$B$3+17))))))</f>
        <v>0</v>
      </c>
      <c r="E349" s="40">
        <f ca="1">IF(AND(Sheet1!L349&lt;0,  Sheet1!$C$21&gt;R349),    IF(OR(Sheet1!$C$21&lt;=R350,  Sheet1!L350=""),       IF(AND(MOD(NOW(),1)&lt;TIME(9,39,0),Sheet1!$C$22=TODAY()),    Sheet1!$C$21-R349,     Sheet1!$C$21-R349-1),               R350-R349-1),    0)</f>
        <v>0</v>
      </c>
      <c r="F349" s="30"/>
      <c r="G349" s="25" t="str">
        <f>IF(LEFT(Sheet1!K350,2)="0x",Sheet1!K349,IF(AND(Sheet1!L349="",Sheet1!L348=""),"",G348))</f>
        <v/>
      </c>
      <c r="H349" s="81"/>
      <c r="I349" s="43" t="str">
        <f t="shared" si="25"/>
        <v/>
      </c>
      <c r="J349" s="29" t="str">
        <f t="shared" si="28"/>
        <v/>
      </c>
      <c r="K349" s="24" t="str">
        <f>IF(Sheet1!L349="","",IF(Sheet1!L349&gt;0,ROW(),""))</f>
        <v/>
      </c>
      <c r="L349" s="24" t="str">
        <f t="shared" ca="1" si="26"/>
        <v/>
      </c>
      <c r="M349" s="47" t="str">
        <f t="shared" ca="1" si="27"/>
        <v/>
      </c>
      <c r="N349" s="48" t="str">
        <f>IF(LEFT(Sheet1!K349,2)="0x",Sheet1!K349,IF(AND(Sheet1!L349="",Sheet1!L348=""),"",N348))</f>
        <v/>
      </c>
      <c r="O349" s="46">
        <f>IF(Sheet1!L349="",0,IF(Sheet1!O349&lt;TIME(7,39,0)+Sheet1!$E$3/24,1,0))</f>
        <v>0</v>
      </c>
      <c r="P349" s="46" t="str">
        <f ca="1">IF(AND(Sheet1!L349&lt;0, Sheet1!$C$21&gt;R349,OR(Sheet1!$C$21&lt;=R350,Sheet1!L350="")),   -1*Sheet1!L349,"")</f>
        <v/>
      </c>
    </row>
    <row r="350" spans="1:16" ht="15.75" x14ac:dyDescent="0.25">
      <c r="A350" s="456" t="str">
        <f>IF(AND(R350&lt;&gt;"",R349&lt;&gt;""),(-Sheet1!L350/Sheet1!L349)^(360/(R350-R349-1))-1,"")</f>
        <v/>
      </c>
      <c r="B350" s="41" t="str">
        <f ca="1">IF(AND(Sheet1!L350&lt;0, Sheet1!$C$21&gt;R350+1,OR(Sheet1!$C$21&lt;=R351,Sheet1!L351="")),   -1*Sheet1!L350,"")</f>
        <v/>
      </c>
      <c r="C350" s="42">
        <f ca="1">IF(Sheet3!$B$5="",0,    IF(E350&lt;1,0,  IF(B350="","",     IF(OR(Sheet3!$B$6=0,INDIRECT(ADDRESS(ROW(),Sheet3!$B$3+16))="" ),D350/E350,    IF(E350&lt;0,0,    IF(OR( INDIRECT(ADDRESS(8,Sheet3!$B$3+16))="",INDIRECT(ADDRESS(ROW(),Sheet3!$B$3+17))=""),        (INDIRECT(ADDRESS(ROW(),Sheet3!$B$3+16))+B350)*Sheet3!$Q$4,         INDIRECT(ADDRESS(ROW(),Sheet3!$B$3+17))-INDIRECT(ADDRESS(ROW(),Sheet3!$B$3+16))))))))</f>
        <v>0</v>
      </c>
      <c r="D350" s="39">
        <f ca="1">IF(Sheet3!$B$5="",0,IF(B350="","",IF(E350&lt;1,0,   IF(INDIRECT(ADDRESS(ROW(), Sheet3!$B$3+17))="",        INDIRECT(ADDRESS(ROW(), Sheet3!$B$3+16))*  (1+Sheet3!$Q$4)   +B350*Sheet3!$Q$4,       INDIRECT(ADDRESS(ROW(), Sheet3!$B$3+17))))))</f>
        <v>0</v>
      </c>
      <c r="E350" s="40">
        <f ca="1">IF(AND(Sheet1!L350&lt;0,  Sheet1!$C$21&gt;R350),    IF(OR(Sheet1!$C$21&lt;=R351,  Sheet1!L351=""),       IF(AND(MOD(NOW(),1)&lt;TIME(9,39,0),Sheet1!$C$22=TODAY()),    Sheet1!$C$21-R350,     Sheet1!$C$21-R350-1),               R351-R350-1),    0)</f>
        <v>0</v>
      </c>
      <c r="F350" s="30"/>
      <c r="G350" s="25" t="str">
        <f>IF(LEFT(Sheet1!K351,2)="0x",Sheet1!K350,IF(AND(Sheet1!L350="",Sheet1!L349=""),"",G349))</f>
        <v/>
      </c>
      <c r="H350" s="81"/>
      <c r="I350" s="43" t="str">
        <f t="shared" si="25"/>
        <v/>
      </c>
      <c r="J350" s="29" t="str">
        <f t="shared" si="28"/>
        <v/>
      </c>
      <c r="K350" s="24" t="str">
        <f>IF(Sheet1!L350="","",IF(Sheet1!L350&gt;0,ROW(),""))</f>
        <v/>
      </c>
      <c r="L350" s="24" t="str">
        <f t="shared" ca="1" si="26"/>
        <v/>
      </c>
      <c r="M350" s="47" t="str">
        <f t="shared" ca="1" si="27"/>
        <v/>
      </c>
      <c r="N350" s="48" t="str">
        <f>IF(LEFT(Sheet1!K350,2)="0x",Sheet1!K350,IF(AND(Sheet1!L350="",Sheet1!L349=""),"",N349))</f>
        <v/>
      </c>
      <c r="O350" s="46">
        <f>IF(Sheet1!L350="",0,IF(Sheet1!O350&lt;TIME(7,39,0)+Sheet1!$E$3/24,1,0))</f>
        <v>0</v>
      </c>
      <c r="P350" s="46" t="str">
        <f ca="1">IF(AND(Sheet1!L350&lt;0, Sheet1!$C$21&gt;R350,OR(Sheet1!$C$21&lt;=R351,Sheet1!L351="")),   -1*Sheet1!L350,"")</f>
        <v/>
      </c>
    </row>
    <row r="351" spans="1:16" ht="15.75" x14ac:dyDescent="0.25">
      <c r="A351" s="456" t="str">
        <f>IF(AND(R351&lt;&gt;"",R350&lt;&gt;""),(-Sheet1!L351/Sheet1!L350)^(360/(R351-R350-1))-1,"")</f>
        <v/>
      </c>
      <c r="B351" s="41" t="str">
        <f ca="1">IF(AND(Sheet1!L351&lt;0, Sheet1!$C$21&gt;R351+1,OR(Sheet1!$C$21&lt;=R352,Sheet1!L352="")),   -1*Sheet1!L351,"")</f>
        <v/>
      </c>
      <c r="C351" s="42">
        <f ca="1">IF(Sheet3!$B$5="",0,    IF(E351&lt;1,0,  IF(B351="","",     IF(OR(Sheet3!$B$6=0,INDIRECT(ADDRESS(ROW(),Sheet3!$B$3+16))="" ),D351/E351,    IF(E351&lt;0,0,    IF(OR( INDIRECT(ADDRESS(8,Sheet3!$B$3+16))="",INDIRECT(ADDRESS(ROW(),Sheet3!$B$3+17))=""),        (INDIRECT(ADDRESS(ROW(),Sheet3!$B$3+16))+B351)*Sheet3!$Q$4,         INDIRECT(ADDRESS(ROW(),Sheet3!$B$3+17))-INDIRECT(ADDRESS(ROW(),Sheet3!$B$3+16))))))))</f>
        <v>0</v>
      </c>
      <c r="D351" s="39">
        <f ca="1">IF(Sheet3!$B$5="",0,IF(B351="","",IF(E351&lt;1,0,   IF(INDIRECT(ADDRESS(ROW(), Sheet3!$B$3+17))="",        INDIRECT(ADDRESS(ROW(), Sheet3!$B$3+16))*  (1+Sheet3!$Q$4)   +B351*Sheet3!$Q$4,       INDIRECT(ADDRESS(ROW(), Sheet3!$B$3+17))))))</f>
        <v>0</v>
      </c>
      <c r="E351" s="40">
        <f ca="1">IF(AND(Sheet1!L351&lt;0,  Sheet1!$C$21&gt;R351),    IF(OR(Sheet1!$C$21&lt;=R352,  Sheet1!L352=""),       IF(AND(MOD(NOW(),1)&lt;TIME(9,39,0),Sheet1!$C$22=TODAY()),    Sheet1!$C$21-R351,     Sheet1!$C$21-R351-1),               R352-R351-1),    0)</f>
        <v>0</v>
      </c>
      <c r="F351" s="30"/>
      <c r="G351" s="25" t="str">
        <f>IF(LEFT(Sheet1!K352,2)="0x",Sheet1!K351,IF(AND(Sheet1!L351="",Sheet1!L350=""),"",G350))</f>
        <v/>
      </c>
      <c r="H351" s="81"/>
      <c r="I351" s="43" t="str">
        <f t="shared" si="25"/>
        <v/>
      </c>
      <c r="J351" s="29" t="str">
        <f t="shared" si="28"/>
        <v/>
      </c>
      <c r="K351" s="24" t="str">
        <f>IF(Sheet1!L351="","",IF(Sheet1!L351&gt;0,ROW(),""))</f>
        <v/>
      </c>
      <c r="L351" s="24" t="str">
        <f t="shared" ca="1" si="26"/>
        <v/>
      </c>
      <c r="M351" s="47" t="str">
        <f t="shared" ca="1" si="27"/>
        <v/>
      </c>
      <c r="N351" s="48" t="str">
        <f>IF(LEFT(Sheet1!K351,2)="0x",Sheet1!K351,IF(AND(Sheet1!L351="",Sheet1!L350=""),"",N350))</f>
        <v/>
      </c>
      <c r="O351" s="46">
        <f>IF(Sheet1!L351="",0,IF(Sheet1!O351&lt;TIME(7,39,0)+Sheet1!$E$3/24,1,0))</f>
        <v>0</v>
      </c>
      <c r="P351" s="46" t="str">
        <f ca="1">IF(AND(Sheet1!L351&lt;0, Sheet1!$C$21&gt;R351,OR(Sheet1!$C$21&lt;=R352,Sheet1!L352="")),   -1*Sheet1!L351,"")</f>
        <v/>
      </c>
    </row>
    <row r="352" spans="1:16" ht="15.75" x14ac:dyDescent="0.25">
      <c r="A352" s="456" t="str">
        <f>IF(AND(R352&lt;&gt;"",R351&lt;&gt;""),(-Sheet1!L352/Sheet1!L351)^(360/(R352-R351-1))-1,"")</f>
        <v/>
      </c>
      <c r="B352" s="41" t="str">
        <f ca="1">IF(AND(Sheet1!L352&lt;0, Sheet1!$C$21&gt;R352+1,OR(Sheet1!$C$21&lt;=R353,Sheet1!L353="")),   -1*Sheet1!L352,"")</f>
        <v/>
      </c>
      <c r="C352" s="42">
        <f ca="1">IF(Sheet3!$B$5="",0,    IF(E352&lt;1,0,  IF(B352="","",     IF(OR(Sheet3!$B$6=0,INDIRECT(ADDRESS(ROW(),Sheet3!$B$3+16))="" ),D352/E352,    IF(E352&lt;0,0,    IF(OR( INDIRECT(ADDRESS(8,Sheet3!$B$3+16))="",INDIRECT(ADDRESS(ROW(),Sheet3!$B$3+17))=""),        (INDIRECT(ADDRESS(ROW(),Sheet3!$B$3+16))+B352)*Sheet3!$Q$4,         INDIRECT(ADDRESS(ROW(),Sheet3!$B$3+17))-INDIRECT(ADDRESS(ROW(),Sheet3!$B$3+16))))))))</f>
        <v>0</v>
      </c>
      <c r="D352" s="39">
        <f ca="1">IF(Sheet3!$B$5="",0,IF(B352="","",IF(E352&lt;1,0,   IF(INDIRECT(ADDRESS(ROW(), Sheet3!$B$3+17))="",        INDIRECT(ADDRESS(ROW(), Sheet3!$B$3+16))*  (1+Sheet3!$Q$4)   +B352*Sheet3!$Q$4,       INDIRECT(ADDRESS(ROW(), Sheet3!$B$3+17))))))</f>
        <v>0</v>
      </c>
      <c r="E352" s="40">
        <f ca="1">IF(AND(Sheet1!L352&lt;0,  Sheet1!$C$21&gt;R352),    IF(OR(Sheet1!$C$21&lt;=R353,  Sheet1!L353=""),       IF(AND(MOD(NOW(),1)&lt;TIME(9,39,0),Sheet1!$C$22=TODAY()),    Sheet1!$C$21-R352,     Sheet1!$C$21-R352-1),               R353-R352-1),    0)</f>
        <v>0</v>
      </c>
      <c r="F352" s="30"/>
      <c r="G352" s="25" t="str">
        <f>IF(LEFT(Sheet1!K353,2)="0x",Sheet1!K352,IF(AND(Sheet1!L352="",Sheet1!L351=""),"",G351))</f>
        <v/>
      </c>
      <c r="H352" s="81"/>
      <c r="I352" s="43" t="str">
        <f t="shared" si="25"/>
        <v/>
      </c>
      <c r="J352" s="29" t="str">
        <f t="shared" si="28"/>
        <v/>
      </c>
      <c r="K352" s="24" t="str">
        <f>IF(Sheet1!L352="","",IF(Sheet1!L352&gt;0,ROW(),""))</f>
        <v/>
      </c>
      <c r="L352" s="24" t="str">
        <f t="shared" ca="1" si="26"/>
        <v/>
      </c>
      <c r="M352" s="47" t="str">
        <f t="shared" ca="1" si="27"/>
        <v/>
      </c>
      <c r="N352" s="48" t="str">
        <f>IF(LEFT(Sheet1!K352,2)="0x",Sheet1!K352,IF(AND(Sheet1!L352="",Sheet1!L351=""),"",N351))</f>
        <v/>
      </c>
      <c r="O352" s="46">
        <f>IF(Sheet1!L352="",0,IF(Sheet1!O352&lt;TIME(7,39,0)+Sheet1!$E$3/24,1,0))</f>
        <v>0</v>
      </c>
      <c r="P352" s="46" t="str">
        <f ca="1">IF(AND(Sheet1!L352&lt;0, Sheet1!$C$21&gt;R352,OR(Sheet1!$C$21&lt;=R353,Sheet1!L353="")),   -1*Sheet1!L352,"")</f>
        <v/>
      </c>
    </row>
    <row r="353" spans="1:16" ht="15.75" x14ac:dyDescent="0.25">
      <c r="A353" s="456" t="str">
        <f>IF(AND(R353&lt;&gt;"",R352&lt;&gt;""),(-Sheet1!L353/Sheet1!L352)^(360/(R353-R352-1))-1,"")</f>
        <v/>
      </c>
      <c r="B353" s="41" t="str">
        <f ca="1">IF(AND(Sheet1!L353&lt;0, Sheet1!$C$21&gt;R353+1,OR(Sheet1!$C$21&lt;=R354,Sheet1!L354="")),   -1*Sheet1!L353,"")</f>
        <v/>
      </c>
      <c r="C353" s="42">
        <f ca="1">IF(Sheet3!$B$5="",0,    IF(E353&lt;1,0,  IF(B353="","",     IF(OR(Sheet3!$B$6=0,INDIRECT(ADDRESS(ROW(),Sheet3!$B$3+16))="" ),D353/E353,    IF(E353&lt;0,0,    IF(OR( INDIRECT(ADDRESS(8,Sheet3!$B$3+16))="",INDIRECT(ADDRESS(ROW(),Sheet3!$B$3+17))=""),        (INDIRECT(ADDRESS(ROW(),Sheet3!$B$3+16))+B353)*Sheet3!$Q$4,         INDIRECT(ADDRESS(ROW(),Sheet3!$B$3+17))-INDIRECT(ADDRESS(ROW(),Sheet3!$B$3+16))))))))</f>
        <v>0</v>
      </c>
      <c r="D353" s="39">
        <f ca="1">IF(Sheet3!$B$5="",0,IF(B353="","",IF(E353&lt;1,0,   IF(INDIRECT(ADDRESS(ROW(), Sheet3!$B$3+17))="",        INDIRECT(ADDRESS(ROW(), Sheet3!$B$3+16))*  (1+Sheet3!$Q$4)   +B353*Sheet3!$Q$4,       INDIRECT(ADDRESS(ROW(), Sheet3!$B$3+17))))))</f>
        <v>0</v>
      </c>
      <c r="E353" s="40">
        <f ca="1">IF(AND(Sheet1!L353&lt;0,  Sheet1!$C$21&gt;R353),    IF(OR(Sheet1!$C$21&lt;=R354,  Sheet1!L354=""),       IF(AND(MOD(NOW(),1)&lt;TIME(9,39,0),Sheet1!$C$22=TODAY()),    Sheet1!$C$21-R353,     Sheet1!$C$21-R353-1),               R354-R353-1),    0)</f>
        <v>0</v>
      </c>
      <c r="F353" s="30"/>
      <c r="G353" s="25" t="str">
        <f>IF(LEFT(Sheet1!K354,2)="0x",Sheet1!K353,IF(AND(Sheet1!L353="",Sheet1!L352=""),"",G352))</f>
        <v/>
      </c>
      <c r="H353" s="81"/>
      <c r="I353" s="43" t="str">
        <f t="shared" si="25"/>
        <v/>
      </c>
      <c r="J353" s="29" t="str">
        <f t="shared" si="28"/>
        <v/>
      </c>
      <c r="K353" s="24" t="str">
        <f>IF(Sheet1!L353="","",IF(Sheet1!L353&gt;0,ROW(),""))</f>
        <v/>
      </c>
      <c r="L353" s="24" t="str">
        <f t="shared" ca="1" si="26"/>
        <v/>
      </c>
      <c r="M353" s="47" t="str">
        <f t="shared" ca="1" si="27"/>
        <v/>
      </c>
      <c r="N353" s="48" t="str">
        <f>IF(LEFT(Sheet1!K353,2)="0x",Sheet1!K353,IF(AND(Sheet1!L353="",Sheet1!L352=""),"",N352))</f>
        <v/>
      </c>
      <c r="O353" s="46">
        <f>IF(Sheet1!L353="",0,IF(Sheet1!O353&lt;TIME(7,39,0)+Sheet1!$E$3/24,1,0))</f>
        <v>0</v>
      </c>
      <c r="P353" s="46" t="str">
        <f ca="1">IF(AND(Sheet1!L353&lt;0, Sheet1!$C$21&gt;R353,OR(Sheet1!$C$21&lt;=R354,Sheet1!L354="")),   -1*Sheet1!L353,"")</f>
        <v/>
      </c>
    </row>
    <row r="354" spans="1:16" ht="15.75" x14ac:dyDescent="0.25">
      <c r="A354" s="456" t="str">
        <f>IF(AND(R354&lt;&gt;"",R353&lt;&gt;""),(-Sheet1!L354/Sheet1!L353)^(360/(R354-R353-1))-1,"")</f>
        <v/>
      </c>
      <c r="B354" s="41" t="str">
        <f ca="1">IF(AND(Sheet1!L354&lt;0, Sheet1!$C$21&gt;R354+1,OR(Sheet1!$C$21&lt;=R355,Sheet1!L355="")),   -1*Sheet1!L354,"")</f>
        <v/>
      </c>
      <c r="C354" s="42">
        <f ca="1">IF(Sheet3!$B$5="",0,    IF(E354&lt;1,0,  IF(B354="","",     IF(OR(Sheet3!$B$6=0,INDIRECT(ADDRESS(ROW(),Sheet3!$B$3+16))="" ),D354/E354,    IF(E354&lt;0,0,    IF(OR( INDIRECT(ADDRESS(8,Sheet3!$B$3+16))="",INDIRECT(ADDRESS(ROW(),Sheet3!$B$3+17))=""),        (INDIRECT(ADDRESS(ROW(),Sheet3!$B$3+16))+B354)*Sheet3!$Q$4,         INDIRECT(ADDRESS(ROW(),Sheet3!$B$3+17))-INDIRECT(ADDRESS(ROW(),Sheet3!$B$3+16))))))))</f>
        <v>0</v>
      </c>
      <c r="D354" s="39">
        <f ca="1">IF(Sheet3!$B$5="",0,IF(B354="","",IF(E354&lt;1,0,   IF(INDIRECT(ADDRESS(ROW(), Sheet3!$B$3+17))="",        INDIRECT(ADDRESS(ROW(), Sheet3!$B$3+16))*  (1+Sheet3!$Q$4)   +B354*Sheet3!$Q$4,       INDIRECT(ADDRESS(ROW(), Sheet3!$B$3+17))))))</f>
        <v>0</v>
      </c>
      <c r="E354" s="40">
        <f ca="1">IF(AND(Sheet1!L354&lt;0,  Sheet1!$C$21&gt;R354),    IF(OR(Sheet1!$C$21&lt;=R355,  Sheet1!L355=""),       IF(AND(MOD(NOW(),1)&lt;TIME(9,39,0),Sheet1!$C$22=TODAY()),    Sheet1!$C$21-R354,     Sheet1!$C$21-R354-1),               R355-R354-1),    0)</f>
        <v>0</v>
      </c>
      <c r="F354" s="30"/>
      <c r="G354" s="25" t="str">
        <f>IF(LEFT(Sheet1!K355,2)="0x",Sheet1!K354,IF(AND(Sheet1!L354="",Sheet1!L353=""),"",G353))</f>
        <v/>
      </c>
      <c r="H354" s="81"/>
      <c r="I354" s="43" t="str">
        <f t="shared" si="25"/>
        <v/>
      </c>
      <c r="J354" s="29" t="str">
        <f t="shared" si="28"/>
        <v/>
      </c>
      <c r="K354" s="24" t="str">
        <f>IF(Sheet1!L354="","",IF(Sheet1!L354&gt;0,ROW(),""))</f>
        <v/>
      </c>
      <c r="L354" s="24" t="str">
        <f t="shared" ca="1" si="26"/>
        <v/>
      </c>
      <c r="M354" s="47" t="str">
        <f t="shared" ca="1" si="27"/>
        <v/>
      </c>
      <c r="N354" s="48" t="str">
        <f>IF(LEFT(Sheet1!K354,2)="0x",Sheet1!K354,IF(AND(Sheet1!L354="",Sheet1!L353=""),"",N353))</f>
        <v/>
      </c>
      <c r="O354" s="46">
        <f>IF(Sheet1!L354="",0,IF(Sheet1!O354&lt;TIME(7,39,0)+Sheet1!$E$3/24,1,0))</f>
        <v>0</v>
      </c>
      <c r="P354" s="46" t="str">
        <f ca="1">IF(AND(Sheet1!L354&lt;0, Sheet1!$C$21&gt;R354,OR(Sheet1!$C$21&lt;=R355,Sheet1!L355="")),   -1*Sheet1!L354,"")</f>
        <v/>
      </c>
    </row>
    <row r="355" spans="1:16" ht="15.75" x14ac:dyDescent="0.25">
      <c r="A355" s="456" t="str">
        <f>IF(AND(R355&lt;&gt;"",R354&lt;&gt;""),(-Sheet1!L355/Sheet1!L354)^(360/(R355-R354-1))-1,"")</f>
        <v/>
      </c>
      <c r="B355" s="41" t="str">
        <f ca="1">IF(AND(Sheet1!L355&lt;0, Sheet1!$C$21&gt;R355+1,OR(Sheet1!$C$21&lt;=R356,Sheet1!L356="")),   -1*Sheet1!L355,"")</f>
        <v/>
      </c>
      <c r="C355" s="42">
        <f ca="1">IF(Sheet3!$B$5="",0,    IF(E355&lt;1,0,  IF(B355="","",     IF(OR(Sheet3!$B$6=0,INDIRECT(ADDRESS(ROW(),Sheet3!$B$3+16))="" ),D355/E355,    IF(E355&lt;0,0,    IF(OR( INDIRECT(ADDRESS(8,Sheet3!$B$3+16))="",INDIRECT(ADDRESS(ROW(),Sheet3!$B$3+17))=""),        (INDIRECT(ADDRESS(ROW(),Sheet3!$B$3+16))+B355)*Sheet3!$Q$4,         INDIRECT(ADDRESS(ROW(),Sheet3!$B$3+17))-INDIRECT(ADDRESS(ROW(),Sheet3!$B$3+16))))))))</f>
        <v>0</v>
      </c>
      <c r="D355" s="39">
        <f ca="1">IF(Sheet3!$B$5="",0,IF(B355="","",IF(E355&lt;1,0,   IF(INDIRECT(ADDRESS(ROW(), Sheet3!$B$3+17))="",        INDIRECT(ADDRESS(ROW(), Sheet3!$B$3+16))*  (1+Sheet3!$Q$4)   +B355*Sheet3!$Q$4,       INDIRECT(ADDRESS(ROW(), Sheet3!$B$3+17))))))</f>
        <v>0</v>
      </c>
      <c r="E355" s="40">
        <f ca="1">IF(AND(Sheet1!L355&lt;0,  Sheet1!$C$21&gt;R355),    IF(OR(Sheet1!$C$21&lt;=R356,  Sheet1!L356=""),       IF(AND(MOD(NOW(),1)&lt;TIME(9,39,0),Sheet1!$C$22=TODAY()),    Sheet1!$C$21-R355,     Sheet1!$C$21-R355-1),               R356-R355-1),    0)</f>
        <v>0</v>
      </c>
      <c r="F355" s="30"/>
      <c r="G355" s="25" t="str">
        <f>IF(LEFT(Sheet1!K356,2)="0x",Sheet1!K355,IF(AND(Sheet1!L355="",Sheet1!L354=""),"",G354))</f>
        <v/>
      </c>
      <c r="H355" s="81"/>
      <c r="I355" s="43" t="str">
        <f t="shared" si="25"/>
        <v/>
      </c>
      <c r="J355" s="29" t="str">
        <f t="shared" si="28"/>
        <v/>
      </c>
      <c r="K355" s="24" t="str">
        <f>IF(Sheet1!L355="","",IF(Sheet1!L355&gt;0,ROW(),""))</f>
        <v/>
      </c>
      <c r="L355" s="24" t="str">
        <f t="shared" ca="1" si="26"/>
        <v/>
      </c>
      <c r="M355" s="47" t="str">
        <f t="shared" ca="1" si="27"/>
        <v/>
      </c>
      <c r="N355" s="48" t="str">
        <f>IF(LEFT(Sheet1!K355,2)="0x",Sheet1!K355,IF(AND(Sheet1!L355="",Sheet1!L354=""),"",N354))</f>
        <v/>
      </c>
      <c r="O355" s="46">
        <f>IF(Sheet1!L355="",0,IF(Sheet1!O355&lt;TIME(7,39,0)+Sheet1!$E$3/24,1,0))</f>
        <v>0</v>
      </c>
      <c r="P355" s="46" t="str">
        <f ca="1">IF(AND(Sheet1!L355&lt;0, Sheet1!$C$21&gt;R355,OR(Sheet1!$C$21&lt;=R356,Sheet1!L356="")),   -1*Sheet1!L355,"")</f>
        <v/>
      </c>
    </row>
    <row r="356" spans="1:16" ht="15.75" x14ac:dyDescent="0.25">
      <c r="A356" s="456" t="str">
        <f>IF(AND(R356&lt;&gt;"",R355&lt;&gt;""),(-Sheet1!L356/Sheet1!L355)^(360/(R356-R355-1))-1,"")</f>
        <v/>
      </c>
      <c r="B356" s="41" t="str">
        <f ca="1">IF(AND(Sheet1!L356&lt;0, Sheet1!$C$21&gt;R356+1,OR(Sheet1!$C$21&lt;=R357,Sheet1!L357="")),   -1*Sheet1!L356,"")</f>
        <v/>
      </c>
      <c r="C356" s="42">
        <f ca="1">IF(Sheet3!$B$5="",0,    IF(E356&lt;1,0,  IF(B356="","",     IF(OR(Sheet3!$B$6=0,INDIRECT(ADDRESS(ROW(),Sheet3!$B$3+16))="" ),D356/E356,    IF(E356&lt;0,0,    IF(OR( INDIRECT(ADDRESS(8,Sheet3!$B$3+16))="",INDIRECT(ADDRESS(ROW(),Sheet3!$B$3+17))=""),        (INDIRECT(ADDRESS(ROW(),Sheet3!$B$3+16))+B356)*Sheet3!$Q$4,         INDIRECT(ADDRESS(ROW(),Sheet3!$B$3+17))-INDIRECT(ADDRESS(ROW(),Sheet3!$B$3+16))))))))</f>
        <v>0</v>
      </c>
      <c r="D356" s="39">
        <f ca="1">IF(Sheet3!$B$5="",0,IF(B356="","",IF(E356&lt;1,0,   IF(INDIRECT(ADDRESS(ROW(), Sheet3!$B$3+17))="",        INDIRECT(ADDRESS(ROW(), Sheet3!$B$3+16))*  (1+Sheet3!$Q$4)   +B356*Sheet3!$Q$4,       INDIRECT(ADDRESS(ROW(), Sheet3!$B$3+17))))))</f>
        <v>0</v>
      </c>
      <c r="E356" s="40">
        <f ca="1">IF(AND(Sheet1!L356&lt;0,  Sheet1!$C$21&gt;R356),    IF(OR(Sheet1!$C$21&lt;=R357,  Sheet1!L357=""),       IF(AND(MOD(NOW(),1)&lt;TIME(9,39,0),Sheet1!$C$22=TODAY()),    Sheet1!$C$21-R356,     Sheet1!$C$21-R356-1),               R357-R356-1),    0)</f>
        <v>0</v>
      </c>
      <c r="F356" s="30"/>
      <c r="G356" s="25" t="str">
        <f>IF(LEFT(Sheet1!K357,2)="0x",Sheet1!K356,IF(AND(Sheet1!L356="",Sheet1!L355=""),"",G355))</f>
        <v/>
      </c>
      <c r="H356" s="81"/>
      <c r="I356" s="43" t="str">
        <f t="shared" si="25"/>
        <v/>
      </c>
      <c r="J356" s="29" t="str">
        <f t="shared" si="28"/>
        <v/>
      </c>
      <c r="K356" s="24" t="str">
        <f>IF(Sheet1!L356="","",IF(Sheet1!L356&gt;0,ROW(),""))</f>
        <v/>
      </c>
      <c r="L356" s="24" t="str">
        <f t="shared" ca="1" si="26"/>
        <v/>
      </c>
      <c r="M356" s="47" t="str">
        <f t="shared" ca="1" si="27"/>
        <v/>
      </c>
      <c r="N356" s="48" t="str">
        <f>IF(LEFT(Sheet1!K356,2)="0x",Sheet1!K356,IF(AND(Sheet1!L356="",Sheet1!L355=""),"",N355))</f>
        <v/>
      </c>
      <c r="O356" s="46">
        <f>IF(Sheet1!L356="",0,IF(Sheet1!O356&lt;TIME(7,39,0)+Sheet1!$E$3/24,1,0))</f>
        <v>0</v>
      </c>
      <c r="P356" s="46" t="str">
        <f ca="1">IF(AND(Sheet1!L356&lt;0, Sheet1!$C$21&gt;R356,OR(Sheet1!$C$21&lt;=R357,Sheet1!L357="")),   -1*Sheet1!L356,"")</f>
        <v/>
      </c>
    </row>
    <row r="357" spans="1:16" ht="15.75" x14ac:dyDescent="0.25">
      <c r="A357" s="456" t="str">
        <f>IF(AND(R357&lt;&gt;"",R356&lt;&gt;""),(-Sheet1!L357/Sheet1!L356)^(360/(R357-R356-1))-1,"")</f>
        <v/>
      </c>
      <c r="B357" s="41" t="str">
        <f ca="1">IF(AND(Sheet1!L357&lt;0, Sheet1!$C$21&gt;R357+1,OR(Sheet1!$C$21&lt;=R358,Sheet1!L358="")),   -1*Sheet1!L357,"")</f>
        <v/>
      </c>
      <c r="C357" s="42">
        <f ca="1">IF(Sheet3!$B$5="",0,    IF(E357&lt;1,0,  IF(B357="","",     IF(OR(Sheet3!$B$6=0,INDIRECT(ADDRESS(ROW(),Sheet3!$B$3+16))="" ),D357/E357,    IF(E357&lt;0,0,    IF(OR( INDIRECT(ADDRESS(8,Sheet3!$B$3+16))="",INDIRECT(ADDRESS(ROW(),Sheet3!$B$3+17))=""),        (INDIRECT(ADDRESS(ROW(),Sheet3!$B$3+16))+B357)*Sheet3!$Q$4,         INDIRECT(ADDRESS(ROW(),Sheet3!$B$3+17))-INDIRECT(ADDRESS(ROW(),Sheet3!$B$3+16))))))))</f>
        <v>0</v>
      </c>
      <c r="D357" s="39">
        <f ca="1">IF(Sheet3!$B$5="",0,IF(B357="","",IF(E357&lt;1,0,   IF(INDIRECT(ADDRESS(ROW(), Sheet3!$B$3+17))="",        INDIRECT(ADDRESS(ROW(), Sheet3!$B$3+16))*  (1+Sheet3!$Q$4)   +B357*Sheet3!$Q$4,       INDIRECT(ADDRESS(ROW(), Sheet3!$B$3+17))))))</f>
        <v>0</v>
      </c>
      <c r="E357" s="40">
        <f ca="1">IF(AND(Sheet1!L357&lt;0,  Sheet1!$C$21&gt;R357),    IF(OR(Sheet1!$C$21&lt;=R358,  Sheet1!L358=""),       IF(AND(MOD(NOW(),1)&lt;TIME(9,39,0),Sheet1!$C$22=TODAY()),    Sheet1!$C$21-R357,     Sheet1!$C$21-R357-1),               R358-R357-1),    0)</f>
        <v>0</v>
      </c>
      <c r="F357" s="30"/>
      <c r="G357" s="25" t="str">
        <f>IF(LEFT(Sheet1!K358,2)="0x",Sheet1!K357,IF(AND(Sheet1!L357="",Sheet1!L356=""),"",G356))</f>
        <v/>
      </c>
      <c r="H357" s="81"/>
      <c r="I357" s="43" t="str">
        <f t="shared" si="25"/>
        <v/>
      </c>
      <c r="J357" s="29" t="str">
        <f t="shared" si="28"/>
        <v/>
      </c>
      <c r="K357" s="24" t="str">
        <f>IF(Sheet1!L357="","",IF(Sheet1!L357&gt;0,ROW(),""))</f>
        <v/>
      </c>
      <c r="L357" s="24" t="str">
        <f t="shared" ca="1" si="26"/>
        <v/>
      </c>
      <c r="M357" s="47" t="str">
        <f t="shared" ca="1" si="27"/>
        <v/>
      </c>
      <c r="N357" s="48" t="str">
        <f>IF(LEFT(Sheet1!K357,2)="0x",Sheet1!K357,IF(AND(Sheet1!L357="",Sheet1!L356=""),"",N356))</f>
        <v/>
      </c>
      <c r="O357" s="46">
        <f>IF(Sheet1!L357="",0,IF(Sheet1!O357&lt;TIME(7,39,0)+Sheet1!$E$3/24,1,0))</f>
        <v>0</v>
      </c>
      <c r="P357" s="46" t="str">
        <f ca="1">IF(AND(Sheet1!L357&lt;0, Sheet1!$C$21&gt;R357,OR(Sheet1!$C$21&lt;=R358,Sheet1!L358="")),   -1*Sheet1!L357,"")</f>
        <v/>
      </c>
    </row>
    <row r="358" spans="1:16" ht="15.75" x14ac:dyDescent="0.25">
      <c r="A358" s="456" t="str">
        <f>IF(AND(R358&lt;&gt;"",R357&lt;&gt;""),(-Sheet1!L358/Sheet1!L357)^(360/(R358-R357-1))-1,"")</f>
        <v/>
      </c>
      <c r="B358" s="41" t="str">
        <f ca="1">IF(AND(Sheet1!L358&lt;0, Sheet1!$C$21&gt;R358+1,OR(Sheet1!$C$21&lt;=R359,Sheet1!L359="")),   -1*Sheet1!L358,"")</f>
        <v/>
      </c>
      <c r="C358" s="42">
        <f ca="1">IF(Sheet3!$B$5="",0,    IF(E358&lt;1,0,  IF(B358="","",     IF(OR(Sheet3!$B$6=0,INDIRECT(ADDRESS(ROW(),Sheet3!$B$3+16))="" ),D358/E358,    IF(E358&lt;0,0,    IF(OR( INDIRECT(ADDRESS(8,Sheet3!$B$3+16))="",INDIRECT(ADDRESS(ROW(),Sheet3!$B$3+17))=""),        (INDIRECT(ADDRESS(ROW(),Sheet3!$B$3+16))+B358)*Sheet3!$Q$4,         INDIRECT(ADDRESS(ROW(),Sheet3!$B$3+17))-INDIRECT(ADDRESS(ROW(),Sheet3!$B$3+16))))))))</f>
        <v>0</v>
      </c>
      <c r="D358" s="39">
        <f ca="1">IF(Sheet3!$B$5="",0,IF(B358="","",IF(E358&lt;1,0,   IF(INDIRECT(ADDRESS(ROW(), Sheet3!$B$3+17))="",        INDIRECT(ADDRESS(ROW(), Sheet3!$B$3+16))*  (1+Sheet3!$Q$4)   +B358*Sheet3!$Q$4,       INDIRECT(ADDRESS(ROW(), Sheet3!$B$3+17))))))</f>
        <v>0</v>
      </c>
      <c r="E358" s="40">
        <f ca="1">IF(AND(Sheet1!L358&lt;0,  Sheet1!$C$21&gt;R358),    IF(OR(Sheet1!$C$21&lt;=R359,  Sheet1!L359=""),       IF(AND(MOD(NOW(),1)&lt;TIME(9,39,0),Sheet1!$C$22=TODAY()),    Sheet1!$C$21-R358,     Sheet1!$C$21-R358-1),               R359-R358-1),    0)</f>
        <v>0</v>
      </c>
      <c r="F358" s="30"/>
      <c r="G358" s="25" t="str">
        <f>IF(LEFT(Sheet1!K359,2)="0x",Sheet1!K358,IF(AND(Sheet1!L358="",Sheet1!L357=""),"",G357))</f>
        <v/>
      </c>
      <c r="H358" s="81"/>
      <c r="I358" s="43" t="str">
        <f t="shared" ref="I358:I421" si="29">IFERROR(SMALL(K$6:K$117,ROW(Q321)),"")</f>
        <v/>
      </c>
      <c r="J358" s="29" t="str">
        <f t="shared" si="28"/>
        <v/>
      </c>
      <c r="K358" s="24" t="str">
        <f>IF(Sheet1!L358="","",IF(Sheet1!L358&gt;0,ROW(),""))</f>
        <v/>
      </c>
      <c r="L358" s="24" t="str">
        <f t="shared" ca="1" si="26"/>
        <v/>
      </c>
      <c r="M358" s="47" t="str">
        <f t="shared" ca="1" si="27"/>
        <v/>
      </c>
      <c r="N358" s="48" t="str">
        <f>IF(LEFT(Sheet1!K358,2)="0x",Sheet1!K358,IF(AND(Sheet1!L358="",Sheet1!L357=""),"",N357))</f>
        <v/>
      </c>
      <c r="O358" s="46">
        <f>IF(Sheet1!L358="",0,IF(Sheet1!O358&lt;TIME(7,39,0)+Sheet1!$E$3/24,1,0))</f>
        <v>0</v>
      </c>
      <c r="P358" s="46" t="str">
        <f ca="1">IF(AND(Sheet1!L358&lt;0, Sheet1!$C$21&gt;R358,OR(Sheet1!$C$21&lt;=R359,Sheet1!L359="")),   -1*Sheet1!L358,"")</f>
        <v/>
      </c>
    </row>
    <row r="359" spans="1:16" ht="15.75" x14ac:dyDescent="0.25">
      <c r="A359" s="456" t="str">
        <f>IF(AND(R359&lt;&gt;"",R358&lt;&gt;""),(-Sheet1!L359/Sheet1!L358)^(360/(R359-R358-1))-1,"")</f>
        <v/>
      </c>
      <c r="B359" s="41" t="str">
        <f ca="1">IF(AND(Sheet1!L359&lt;0, Sheet1!$C$21&gt;R359+1,OR(Sheet1!$C$21&lt;=R360,Sheet1!L360="")),   -1*Sheet1!L359,"")</f>
        <v/>
      </c>
      <c r="C359" s="42">
        <f ca="1">IF(Sheet3!$B$5="",0,    IF(E359&lt;1,0,  IF(B359="","",     IF(OR(Sheet3!$B$6=0,INDIRECT(ADDRESS(ROW(),Sheet3!$B$3+16))="" ),D359/E359,    IF(E359&lt;0,0,    IF(OR( INDIRECT(ADDRESS(8,Sheet3!$B$3+16))="",INDIRECT(ADDRESS(ROW(),Sheet3!$B$3+17))=""),        (INDIRECT(ADDRESS(ROW(),Sheet3!$B$3+16))+B359)*Sheet3!$Q$4,         INDIRECT(ADDRESS(ROW(),Sheet3!$B$3+17))-INDIRECT(ADDRESS(ROW(),Sheet3!$B$3+16))))))))</f>
        <v>0</v>
      </c>
      <c r="D359" s="39">
        <f ca="1">IF(Sheet3!$B$5="",0,IF(B359="","",IF(E359&lt;1,0,   IF(INDIRECT(ADDRESS(ROW(), Sheet3!$B$3+17))="",        INDIRECT(ADDRESS(ROW(), Sheet3!$B$3+16))*  (1+Sheet3!$Q$4)   +B359*Sheet3!$Q$4,       INDIRECT(ADDRESS(ROW(), Sheet3!$B$3+17))))))</f>
        <v>0</v>
      </c>
      <c r="E359" s="40">
        <f ca="1">IF(AND(Sheet1!L359&lt;0,  Sheet1!$C$21&gt;R359),    IF(OR(Sheet1!$C$21&lt;=R360,  Sheet1!L360=""),       IF(AND(MOD(NOW(),1)&lt;TIME(9,39,0),Sheet1!$C$22=TODAY()),    Sheet1!$C$21-R359,     Sheet1!$C$21-R359-1),               R360-R359-1),    0)</f>
        <v>0</v>
      </c>
      <c r="F359" s="30"/>
      <c r="G359" s="25" t="str">
        <f>IF(LEFT(Sheet1!K360,2)="0x",Sheet1!K359,IF(AND(Sheet1!L359="",Sheet1!L358=""),"",G358))</f>
        <v/>
      </c>
      <c r="H359" s="81"/>
      <c r="I359" s="43" t="str">
        <f t="shared" si="29"/>
        <v/>
      </c>
      <c r="J359" s="29" t="str">
        <f t="shared" si="28"/>
        <v/>
      </c>
      <c r="K359" s="24" t="str">
        <f>IF(Sheet1!L359="","",IF(Sheet1!L359&gt;0,ROW(),""))</f>
        <v/>
      </c>
      <c r="L359" s="24" t="str">
        <f t="shared" ca="1" si="26"/>
        <v/>
      </c>
      <c r="M359" s="47" t="str">
        <f t="shared" ca="1" si="27"/>
        <v/>
      </c>
      <c r="N359" s="48" t="str">
        <f>IF(LEFT(Sheet1!K359,2)="0x",Sheet1!K359,IF(AND(Sheet1!L359="",Sheet1!L358=""),"",N358))</f>
        <v/>
      </c>
      <c r="O359" s="46">
        <f>IF(Sheet1!L359="",0,IF(Sheet1!O359&lt;TIME(7,39,0)+Sheet1!$E$3/24,1,0))</f>
        <v>0</v>
      </c>
      <c r="P359" s="46" t="str">
        <f ca="1">IF(AND(Sheet1!L359&lt;0, Sheet1!$C$21&gt;R359,OR(Sheet1!$C$21&lt;=R360,Sheet1!L360="")),   -1*Sheet1!L359,"")</f>
        <v/>
      </c>
    </row>
    <row r="360" spans="1:16" ht="15.75" x14ac:dyDescent="0.25">
      <c r="A360" s="456" t="str">
        <f>IF(AND(R360&lt;&gt;"",R359&lt;&gt;""),(-Sheet1!L360/Sheet1!L359)^(360/(R360-R359-1))-1,"")</f>
        <v/>
      </c>
      <c r="B360" s="41" t="str">
        <f ca="1">IF(AND(Sheet1!L360&lt;0, Sheet1!$C$21&gt;R360+1,OR(Sheet1!$C$21&lt;=R361,Sheet1!L361="")),   -1*Sheet1!L360,"")</f>
        <v/>
      </c>
      <c r="C360" s="42">
        <f ca="1">IF(Sheet3!$B$5="",0,    IF(E360&lt;1,0,  IF(B360="","",     IF(OR(Sheet3!$B$6=0,INDIRECT(ADDRESS(ROW(),Sheet3!$B$3+16))="" ),D360/E360,    IF(E360&lt;0,0,    IF(OR( INDIRECT(ADDRESS(8,Sheet3!$B$3+16))="",INDIRECT(ADDRESS(ROW(),Sheet3!$B$3+17))=""),        (INDIRECT(ADDRESS(ROW(),Sheet3!$B$3+16))+B360)*Sheet3!$Q$4,         INDIRECT(ADDRESS(ROW(),Sheet3!$B$3+17))-INDIRECT(ADDRESS(ROW(),Sheet3!$B$3+16))))))))</f>
        <v>0</v>
      </c>
      <c r="D360" s="39">
        <f ca="1">IF(Sheet3!$B$5="",0,IF(B360="","",IF(E360&lt;1,0,   IF(INDIRECT(ADDRESS(ROW(), Sheet3!$B$3+17))="",        INDIRECT(ADDRESS(ROW(), Sheet3!$B$3+16))*  (1+Sheet3!$Q$4)   +B360*Sheet3!$Q$4,       INDIRECT(ADDRESS(ROW(), Sheet3!$B$3+17))))))</f>
        <v>0</v>
      </c>
      <c r="E360" s="40">
        <f ca="1">IF(AND(Sheet1!L360&lt;0,  Sheet1!$C$21&gt;R360),    IF(OR(Sheet1!$C$21&lt;=R361,  Sheet1!L361=""),       IF(AND(MOD(NOW(),1)&lt;TIME(9,39,0),Sheet1!$C$22=TODAY()),    Sheet1!$C$21-R360,     Sheet1!$C$21-R360-1),               R361-R360-1),    0)</f>
        <v>0</v>
      </c>
      <c r="F360" s="30"/>
      <c r="G360" s="25" t="str">
        <f>IF(LEFT(Sheet1!K361,2)="0x",Sheet1!K360,IF(AND(Sheet1!L360="",Sheet1!L359=""),"",G359))</f>
        <v/>
      </c>
      <c r="H360" s="81"/>
      <c r="I360" s="43" t="str">
        <f t="shared" si="29"/>
        <v/>
      </c>
      <c r="J360" s="29" t="str">
        <f t="shared" si="28"/>
        <v/>
      </c>
      <c r="K360" s="24" t="str">
        <f>IF(Sheet1!L360="","",IF(Sheet1!L360&gt;0,ROW(),""))</f>
        <v/>
      </c>
      <c r="L360" s="24" t="str">
        <f t="shared" ca="1" si="26"/>
        <v/>
      </c>
      <c r="M360" s="47" t="str">
        <f t="shared" ca="1" si="27"/>
        <v/>
      </c>
      <c r="N360" s="48" t="str">
        <f>IF(LEFT(Sheet1!K360,2)="0x",Sheet1!K360,IF(AND(Sheet1!L360="",Sheet1!L359=""),"",N359))</f>
        <v/>
      </c>
      <c r="O360" s="46">
        <f>IF(Sheet1!L360="",0,IF(Sheet1!O360&lt;TIME(7,39,0)+Sheet1!$E$3/24,1,0))</f>
        <v>0</v>
      </c>
      <c r="P360" s="46" t="str">
        <f ca="1">IF(AND(Sheet1!L360&lt;0, Sheet1!$C$21&gt;R360,OR(Sheet1!$C$21&lt;=R361,Sheet1!L361="")),   -1*Sheet1!L360,"")</f>
        <v/>
      </c>
    </row>
    <row r="361" spans="1:16" ht="15.75" x14ac:dyDescent="0.25">
      <c r="A361" s="456" t="str">
        <f>IF(AND(R361&lt;&gt;"",R360&lt;&gt;""),(-Sheet1!L361/Sheet1!L360)^(360/(R361-R360-1))-1,"")</f>
        <v/>
      </c>
      <c r="B361" s="41" t="str">
        <f ca="1">IF(AND(Sheet1!L361&lt;0, Sheet1!$C$21&gt;R361+1,OR(Sheet1!$C$21&lt;=R362,Sheet1!L362="")),   -1*Sheet1!L361,"")</f>
        <v/>
      </c>
      <c r="C361" s="42">
        <f ca="1">IF(Sheet3!$B$5="",0,    IF(E361&lt;1,0,  IF(B361="","",     IF(OR(Sheet3!$B$6=0,INDIRECT(ADDRESS(ROW(),Sheet3!$B$3+16))="" ),D361/E361,    IF(E361&lt;0,0,    IF(OR( INDIRECT(ADDRESS(8,Sheet3!$B$3+16))="",INDIRECT(ADDRESS(ROW(),Sheet3!$B$3+17))=""),        (INDIRECT(ADDRESS(ROW(),Sheet3!$B$3+16))+B361)*Sheet3!$Q$4,         INDIRECT(ADDRESS(ROW(),Sheet3!$B$3+17))-INDIRECT(ADDRESS(ROW(),Sheet3!$B$3+16))))))))</f>
        <v>0</v>
      </c>
      <c r="D361" s="39">
        <f ca="1">IF(Sheet3!$B$5="",0,IF(B361="","",IF(E361&lt;1,0,   IF(INDIRECT(ADDRESS(ROW(), Sheet3!$B$3+17))="",        INDIRECT(ADDRESS(ROW(), Sheet3!$B$3+16))*  (1+Sheet3!$Q$4)   +B361*Sheet3!$Q$4,       INDIRECT(ADDRESS(ROW(), Sheet3!$B$3+17))))))</f>
        <v>0</v>
      </c>
      <c r="E361" s="40">
        <f ca="1">IF(AND(Sheet1!L361&lt;0,  Sheet1!$C$21&gt;R361),    IF(OR(Sheet1!$C$21&lt;=R362,  Sheet1!L362=""),       IF(AND(MOD(NOW(),1)&lt;TIME(9,39,0),Sheet1!$C$22=TODAY()),    Sheet1!$C$21-R361,     Sheet1!$C$21-R361-1),               R362-R361-1),    0)</f>
        <v>0</v>
      </c>
      <c r="F361" s="30"/>
      <c r="G361" s="25" t="str">
        <f>IF(LEFT(Sheet1!K362,2)="0x",Sheet1!K361,IF(AND(Sheet1!L361="",Sheet1!L360=""),"",G360))</f>
        <v/>
      </c>
      <c r="H361" s="81"/>
      <c r="I361" s="43" t="str">
        <f t="shared" si="29"/>
        <v/>
      </c>
      <c r="J361" s="29" t="str">
        <f t="shared" si="28"/>
        <v/>
      </c>
      <c r="K361" s="24" t="str">
        <f>IF(Sheet1!L361="","",IF(Sheet1!L361&gt;0,ROW(),""))</f>
        <v/>
      </c>
      <c r="L361" s="24" t="str">
        <f t="shared" ca="1" si="26"/>
        <v/>
      </c>
      <c r="M361" s="47" t="str">
        <f t="shared" ca="1" si="27"/>
        <v/>
      </c>
      <c r="N361" s="48" t="str">
        <f>IF(LEFT(Sheet1!K361,2)="0x",Sheet1!K361,IF(AND(Sheet1!L361="",Sheet1!L360=""),"",N360))</f>
        <v/>
      </c>
      <c r="O361" s="46">
        <f>IF(Sheet1!L361="",0,IF(Sheet1!O361&lt;TIME(7,39,0)+Sheet1!$E$3/24,1,0))</f>
        <v>0</v>
      </c>
      <c r="P361" s="46" t="str">
        <f ca="1">IF(AND(Sheet1!L361&lt;0, Sheet1!$C$21&gt;R361,OR(Sheet1!$C$21&lt;=R362,Sheet1!L362="")),   -1*Sheet1!L361,"")</f>
        <v/>
      </c>
    </row>
    <row r="362" spans="1:16" ht="15.75" x14ac:dyDescent="0.25">
      <c r="A362" s="456" t="str">
        <f>IF(AND(R362&lt;&gt;"",R361&lt;&gt;""),(-Sheet1!L362/Sheet1!L361)^(360/(R362-R361-1))-1,"")</f>
        <v/>
      </c>
      <c r="B362" s="41" t="str">
        <f ca="1">IF(AND(Sheet1!L362&lt;0, Sheet1!$C$21&gt;R362+1,OR(Sheet1!$C$21&lt;=R363,Sheet1!L363="")),   -1*Sheet1!L362,"")</f>
        <v/>
      </c>
      <c r="C362" s="42">
        <f ca="1">IF(Sheet3!$B$5="",0,    IF(E362&lt;1,0,  IF(B362="","",     IF(OR(Sheet3!$B$6=0,INDIRECT(ADDRESS(ROW(),Sheet3!$B$3+16))="" ),D362/E362,    IF(E362&lt;0,0,    IF(OR( INDIRECT(ADDRESS(8,Sheet3!$B$3+16))="",INDIRECT(ADDRESS(ROW(),Sheet3!$B$3+17))=""),        (INDIRECT(ADDRESS(ROW(),Sheet3!$B$3+16))+B362)*Sheet3!$Q$4,         INDIRECT(ADDRESS(ROW(),Sheet3!$B$3+17))-INDIRECT(ADDRESS(ROW(),Sheet3!$B$3+16))))))))</f>
        <v>0</v>
      </c>
      <c r="D362" s="39">
        <f ca="1">IF(Sheet3!$B$5="",0,IF(B362="","",IF(E362&lt;1,0,   IF(INDIRECT(ADDRESS(ROW(), Sheet3!$B$3+17))="",        INDIRECT(ADDRESS(ROW(), Sheet3!$B$3+16))*  (1+Sheet3!$Q$4)   +B362*Sheet3!$Q$4,       INDIRECT(ADDRESS(ROW(), Sheet3!$B$3+17))))))</f>
        <v>0</v>
      </c>
      <c r="E362" s="40">
        <f ca="1">IF(AND(Sheet1!L362&lt;0,  Sheet1!$C$21&gt;R362),    IF(OR(Sheet1!$C$21&lt;=R363,  Sheet1!L363=""),       IF(AND(MOD(NOW(),1)&lt;TIME(9,39,0),Sheet1!$C$22=TODAY()),    Sheet1!$C$21-R362,     Sheet1!$C$21-R362-1),               R363-R362-1),    0)</f>
        <v>0</v>
      </c>
      <c r="F362" s="30"/>
      <c r="G362" s="25" t="str">
        <f>IF(LEFT(Sheet1!K363,2)="0x",Sheet1!K362,IF(AND(Sheet1!L362="",Sheet1!L361=""),"",G361))</f>
        <v/>
      </c>
      <c r="H362" s="81"/>
      <c r="I362" s="43" t="str">
        <f t="shared" si="29"/>
        <v/>
      </c>
      <c r="J362" s="29" t="str">
        <f t="shared" si="28"/>
        <v/>
      </c>
      <c r="K362" s="24" t="str">
        <f>IF(Sheet1!L362="","",IF(Sheet1!L362&gt;0,ROW(),""))</f>
        <v/>
      </c>
      <c r="L362" s="24" t="str">
        <f t="shared" ca="1" si="26"/>
        <v/>
      </c>
      <c r="M362" s="47" t="str">
        <f t="shared" ca="1" si="27"/>
        <v/>
      </c>
      <c r="N362" s="48" t="str">
        <f>IF(LEFT(Sheet1!K362,2)="0x",Sheet1!K362,IF(AND(Sheet1!L362="",Sheet1!L361=""),"",N361))</f>
        <v/>
      </c>
      <c r="O362" s="46">
        <f>IF(Sheet1!L362="",0,IF(Sheet1!O362&lt;TIME(7,39,0)+Sheet1!$E$3/24,1,0))</f>
        <v>0</v>
      </c>
      <c r="P362" s="46" t="str">
        <f ca="1">IF(AND(Sheet1!L362&lt;0, Sheet1!$C$21&gt;R362,OR(Sheet1!$C$21&lt;=R363,Sheet1!L363="")),   -1*Sheet1!L362,"")</f>
        <v/>
      </c>
    </row>
    <row r="363" spans="1:16" ht="15.75" x14ac:dyDescent="0.25">
      <c r="A363" s="456" t="str">
        <f>IF(AND(R363&lt;&gt;"",R362&lt;&gt;""),(-Sheet1!L363/Sheet1!L362)^(360/(R363-R362-1))-1,"")</f>
        <v/>
      </c>
      <c r="B363" s="41" t="str">
        <f ca="1">IF(AND(Sheet1!L363&lt;0, Sheet1!$C$21&gt;R363+1,OR(Sheet1!$C$21&lt;=R364,Sheet1!L364="")),   -1*Sheet1!L363,"")</f>
        <v/>
      </c>
      <c r="C363" s="42">
        <f ca="1">IF(Sheet3!$B$5="",0,    IF(E363&lt;1,0,  IF(B363="","",     IF(OR(Sheet3!$B$6=0,INDIRECT(ADDRESS(ROW(),Sheet3!$B$3+16))="" ),D363/E363,    IF(E363&lt;0,0,    IF(OR( INDIRECT(ADDRESS(8,Sheet3!$B$3+16))="",INDIRECT(ADDRESS(ROW(),Sheet3!$B$3+17))=""),        (INDIRECT(ADDRESS(ROW(),Sheet3!$B$3+16))+B363)*Sheet3!$Q$4,         INDIRECT(ADDRESS(ROW(),Sheet3!$B$3+17))-INDIRECT(ADDRESS(ROW(),Sheet3!$B$3+16))))))))</f>
        <v>0</v>
      </c>
      <c r="D363" s="39">
        <f ca="1">IF(Sheet3!$B$5="",0,IF(B363="","",IF(E363&lt;1,0,   IF(INDIRECT(ADDRESS(ROW(), Sheet3!$B$3+17))="",        INDIRECT(ADDRESS(ROW(), Sheet3!$B$3+16))*  (1+Sheet3!$Q$4)   +B363*Sheet3!$Q$4,       INDIRECT(ADDRESS(ROW(), Sheet3!$B$3+17))))))</f>
        <v>0</v>
      </c>
      <c r="E363" s="40">
        <f ca="1">IF(AND(Sheet1!L363&lt;0,  Sheet1!$C$21&gt;R363),    IF(OR(Sheet1!$C$21&lt;=R364,  Sheet1!L364=""),       IF(AND(MOD(NOW(),1)&lt;TIME(9,39,0),Sheet1!$C$22=TODAY()),    Sheet1!$C$21-R363,     Sheet1!$C$21-R363-1),               R364-R363-1),    0)</f>
        <v>0</v>
      </c>
      <c r="F363" s="30"/>
      <c r="G363" s="25" t="str">
        <f>IF(LEFT(Sheet1!K364,2)="0x",Sheet1!K363,IF(AND(Sheet1!L363="",Sheet1!L362=""),"",G362))</f>
        <v/>
      </c>
      <c r="H363" s="81"/>
      <c r="I363" s="43" t="str">
        <f t="shared" si="29"/>
        <v/>
      </c>
      <c r="J363" s="29" t="str">
        <f t="shared" si="28"/>
        <v/>
      </c>
      <c r="K363" s="24" t="str">
        <f>IF(Sheet1!L363="","",IF(Sheet1!L363&gt;0,ROW(),""))</f>
        <v/>
      </c>
      <c r="L363" s="24" t="str">
        <f t="shared" ca="1" si="26"/>
        <v/>
      </c>
      <c r="M363" s="47" t="str">
        <f t="shared" ca="1" si="27"/>
        <v/>
      </c>
      <c r="N363" s="48" t="str">
        <f>IF(LEFT(Sheet1!K363,2)="0x",Sheet1!K363,IF(AND(Sheet1!L363="",Sheet1!L362=""),"",N362))</f>
        <v/>
      </c>
      <c r="O363" s="46">
        <f>IF(Sheet1!L363="",0,IF(Sheet1!O363&lt;TIME(7,39,0)+Sheet1!$E$3/24,1,0))</f>
        <v>0</v>
      </c>
      <c r="P363" s="46" t="str">
        <f ca="1">IF(AND(Sheet1!L363&lt;0, Sheet1!$C$21&gt;R363,OR(Sheet1!$C$21&lt;=R364,Sheet1!L364="")),   -1*Sheet1!L363,"")</f>
        <v/>
      </c>
    </row>
    <row r="364" spans="1:16" ht="15.75" x14ac:dyDescent="0.25">
      <c r="A364" s="456" t="str">
        <f>IF(AND(R364&lt;&gt;"",R363&lt;&gt;""),(-Sheet1!L364/Sheet1!L363)^(360/(R364-R363-1))-1,"")</f>
        <v/>
      </c>
      <c r="B364" s="41" t="str">
        <f ca="1">IF(AND(Sheet1!L364&lt;0, Sheet1!$C$21&gt;R364+1,OR(Sheet1!$C$21&lt;=R365,Sheet1!L365="")),   -1*Sheet1!L364,"")</f>
        <v/>
      </c>
      <c r="C364" s="42">
        <f ca="1">IF(Sheet3!$B$5="",0,    IF(E364&lt;1,0,  IF(B364="","",     IF(OR(Sheet3!$B$6=0,INDIRECT(ADDRESS(ROW(),Sheet3!$B$3+16))="" ),D364/E364,    IF(E364&lt;0,0,    IF(OR( INDIRECT(ADDRESS(8,Sheet3!$B$3+16))="",INDIRECT(ADDRESS(ROW(),Sheet3!$B$3+17))=""),        (INDIRECT(ADDRESS(ROW(),Sheet3!$B$3+16))+B364)*Sheet3!$Q$4,         INDIRECT(ADDRESS(ROW(),Sheet3!$B$3+17))-INDIRECT(ADDRESS(ROW(),Sheet3!$B$3+16))))))))</f>
        <v>0</v>
      </c>
      <c r="D364" s="39">
        <f ca="1">IF(Sheet3!$B$5="",0,IF(B364="","",IF(E364&lt;1,0,   IF(INDIRECT(ADDRESS(ROW(), Sheet3!$B$3+17))="",        INDIRECT(ADDRESS(ROW(), Sheet3!$B$3+16))*  (1+Sheet3!$Q$4)   +B364*Sheet3!$Q$4,       INDIRECT(ADDRESS(ROW(), Sheet3!$B$3+17))))))</f>
        <v>0</v>
      </c>
      <c r="E364" s="40">
        <f ca="1">IF(AND(Sheet1!L364&lt;0,  Sheet1!$C$21&gt;R364),    IF(OR(Sheet1!$C$21&lt;=R365,  Sheet1!L365=""),       IF(AND(MOD(NOW(),1)&lt;TIME(9,39,0),Sheet1!$C$22=TODAY()),    Sheet1!$C$21-R364,     Sheet1!$C$21-R364-1),               R365-R364-1),    0)</f>
        <v>0</v>
      </c>
      <c r="F364" s="30"/>
      <c r="G364" s="25" t="str">
        <f>IF(LEFT(Sheet1!K365,2)="0x",Sheet1!K364,IF(AND(Sheet1!L364="",Sheet1!L363=""),"",G363))</f>
        <v/>
      </c>
      <c r="H364" s="81"/>
      <c r="I364" s="43" t="str">
        <f t="shared" si="29"/>
        <v/>
      </c>
      <c r="J364" s="29" t="str">
        <f t="shared" si="28"/>
        <v/>
      </c>
      <c r="K364" s="24" t="str">
        <f>IF(Sheet1!L364="","",IF(Sheet1!L364&gt;0,ROW(),""))</f>
        <v/>
      </c>
      <c r="L364" s="24" t="str">
        <f t="shared" ca="1" si="26"/>
        <v/>
      </c>
      <c r="M364" s="47" t="str">
        <f t="shared" ca="1" si="27"/>
        <v/>
      </c>
      <c r="N364" s="48" t="str">
        <f>IF(LEFT(Sheet1!K364,2)="0x",Sheet1!K364,IF(AND(Sheet1!L364="",Sheet1!L363=""),"",N363))</f>
        <v/>
      </c>
      <c r="O364" s="46">
        <f>IF(Sheet1!L364="",0,IF(Sheet1!O364&lt;TIME(7,39,0)+Sheet1!$E$3/24,1,0))</f>
        <v>0</v>
      </c>
      <c r="P364" s="46" t="str">
        <f ca="1">IF(AND(Sheet1!L364&lt;0, Sheet1!$C$21&gt;R364,OR(Sheet1!$C$21&lt;=R365,Sheet1!L365="")),   -1*Sheet1!L364,"")</f>
        <v/>
      </c>
    </row>
    <row r="365" spans="1:16" ht="15.75" x14ac:dyDescent="0.25">
      <c r="A365" s="456" t="str">
        <f>IF(AND(R365&lt;&gt;"",R364&lt;&gt;""),(-Sheet1!L365/Sheet1!L364)^(360/(R365-R364-1))-1,"")</f>
        <v/>
      </c>
      <c r="B365" s="41" t="str">
        <f ca="1">IF(AND(Sheet1!L365&lt;0, Sheet1!$C$21&gt;R365+1,OR(Sheet1!$C$21&lt;=R366,Sheet1!L366="")),   -1*Sheet1!L365,"")</f>
        <v/>
      </c>
      <c r="C365" s="42">
        <f ca="1">IF(Sheet3!$B$5="",0,    IF(E365&lt;1,0,  IF(B365="","",     IF(OR(Sheet3!$B$6=0,INDIRECT(ADDRESS(ROW(),Sheet3!$B$3+16))="" ),D365/E365,    IF(E365&lt;0,0,    IF(OR( INDIRECT(ADDRESS(8,Sheet3!$B$3+16))="",INDIRECT(ADDRESS(ROW(),Sheet3!$B$3+17))=""),        (INDIRECT(ADDRESS(ROW(),Sheet3!$B$3+16))+B365)*Sheet3!$Q$4,         INDIRECT(ADDRESS(ROW(),Sheet3!$B$3+17))-INDIRECT(ADDRESS(ROW(),Sheet3!$B$3+16))))))))</f>
        <v>0</v>
      </c>
      <c r="D365" s="39">
        <f ca="1">IF(Sheet3!$B$5="",0,IF(B365="","",IF(E365&lt;1,0,   IF(INDIRECT(ADDRESS(ROW(), Sheet3!$B$3+17))="",        INDIRECT(ADDRESS(ROW(), Sheet3!$B$3+16))*  (1+Sheet3!$Q$4)   +B365*Sheet3!$Q$4,       INDIRECT(ADDRESS(ROW(), Sheet3!$B$3+17))))))</f>
        <v>0</v>
      </c>
      <c r="E365" s="40">
        <f ca="1">IF(AND(Sheet1!L365&lt;0,  Sheet1!$C$21&gt;R365),    IF(OR(Sheet1!$C$21&lt;=R366,  Sheet1!L366=""),       IF(AND(MOD(NOW(),1)&lt;TIME(9,39,0),Sheet1!$C$22=TODAY()),    Sheet1!$C$21-R365,     Sheet1!$C$21-R365-1),               R366-R365-1),    0)</f>
        <v>0</v>
      </c>
      <c r="F365" s="30"/>
      <c r="G365" s="25" t="str">
        <f>IF(LEFT(Sheet1!K366,2)="0x",Sheet1!K365,IF(AND(Sheet1!L365="",Sheet1!L364=""),"",G364))</f>
        <v/>
      </c>
      <c r="H365" s="81"/>
      <c r="I365" s="43" t="str">
        <f t="shared" si="29"/>
        <v/>
      </c>
      <c r="J365" s="29" t="str">
        <f t="shared" si="28"/>
        <v/>
      </c>
      <c r="K365" s="24" t="str">
        <f>IF(Sheet1!L365="","",IF(Sheet1!L365&gt;0,ROW(),""))</f>
        <v/>
      </c>
      <c r="L365" s="24" t="str">
        <f t="shared" ca="1" si="26"/>
        <v/>
      </c>
      <c r="M365" s="47" t="str">
        <f t="shared" ca="1" si="27"/>
        <v/>
      </c>
      <c r="N365" s="48" t="str">
        <f>IF(LEFT(Sheet1!K365,2)="0x",Sheet1!K365,IF(AND(Sheet1!L365="",Sheet1!L364=""),"",N364))</f>
        <v/>
      </c>
      <c r="O365" s="46">
        <f>IF(Sheet1!L365="",0,IF(Sheet1!O365&lt;TIME(7,39,0)+Sheet1!$E$3/24,1,0))</f>
        <v>0</v>
      </c>
      <c r="P365" s="46" t="str">
        <f ca="1">IF(AND(Sheet1!L365&lt;0, Sheet1!$C$21&gt;R365,OR(Sheet1!$C$21&lt;=R366,Sheet1!L366="")),   -1*Sheet1!L365,"")</f>
        <v/>
      </c>
    </row>
    <row r="366" spans="1:16" ht="15.75" x14ac:dyDescent="0.25">
      <c r="A366" s="456" t="str">
        <f>IF(AND(R366&lt;&gt;"",R365&lt;&gt;""),(-Sheet1!L366/Sheet1!L365)^(360/(R366-R365-1))-1,"")</f>
        <v/>
      </c>
      <c r="B366" s="41" t="str">
        <f ca="1">IF(AND(Sheet1!L366&lt;0, Sheet1!$C$21&gt;R366+1,OR(Sheet1!$C$21&lt;=R367,Sheet1!L367="")),   -1*Sheet1!L366,"")</f>
        <v/>
      </c>
      <c r="C366" s="42">
        <f ca="1">IF(Sheet3!$B$5="",0,    IF(E366&lt;1,0,  IF(B366="","",     IF(OR(Sheet3!$B$6=0,INDIRECT(ADDRESS(ROW(),Sheet3!$B$3+16))="" ),D366/E366,    IF(E366&lt;0,0,    IF(OR( INDIRECT(ADDRESS(8,Sheet3!$B$3+16))="",INDIRECT(ADDRESS(ROW(),Sheet3!$B$3+17))=""),        (INDIRECT(ADDRESS(ROW(),Sheet3!$B$3+16))+B366)*Sheet3!$Q$4,         INDIRECT(ADDRESS(ROW(),Sheet3!$B$3+17))-INDIRECT(ADDRESS(ROW(),Sheet3!$B$3+16))))))))</f>
        <v>0</v>
      </c>
      <c r="D366" s="39">
        <f ca="1">IF(Sheet3!$B$5="",0,IF(B366="","",IF(E366&lt;1,0,   IF(INDIRECT(ADDRESS(ROW(), Sheet3!$B$3+17))="",        INDIRECT(ADDRESS(ROW(), Sheet3!$B$3+16))*  (1+Sheet3!$Q$4)   +B366*Sheet3!$Q$4,       INDIRECT(ADDRESS(ROW(), Sheet3!$B$3+17))))))</f>
        <v>0</v>
      </c>
      <c r="E366" s="40">
        <f ca="1">IF(AND(Sheet1!L366&lt;0,  Sheet1!$C$21&gt;R366),    IF(OR(Sheet1!$C$21&lt;=R367,  Sheet1!L367=""),       IF(AND(MOD(NOW(),1)&lt;TIME(9,39,0),Sheet1!$C$22=TODAY()),    Sheet1!$C$21-R366,     Sheet1!$C$21-R366-1),               R367-R366-1),    0)</f>
        <v>0</v>
      </c>
      <c r="F366" s="30"/>
      <c r="G366" s="25" t="str">
        <f>IF(LEFT(Sheet1!K367,2)="0x",Sheet1!K366,IF(AND(Sheet1!L366="",Sheet1!L365=""),"",G365))</f>
        <v/>
      </c>
      <c r="H366" s="81"/>
      <c r="I366" s="43" t="str">
        <f t="shared" si="29"/>
        <v/>
      </c>
      <c r="J366" s="29" t="str">
        <f t="shared" si="28"/>
        <v/>
      </c>
      <c r="K366" s="24" t="str">
        <f>IF(Sheet1!L366="","",IF(Sheet1!L366&gt;0,ROW(),""))</f>
        <v/>
      </c>
      <c r="L366" s="24" t="str">
        <f t="shared" ca="1" si="26"/>
        <v/>
      </c>
      <c r="M366" s="47" t="str">
        <f t="shared" ca="1" si="27"/>
        <v/>
      </c>
      <c r="N366" s="48" t="str">
        <f>IF(LEFT(Sheet1!K366,2)="0x",Sheet1!K366,IF(AND(Sheet1!L366="",Sheet1!L365=""),"",N365))</f>
        <v/>
      </c>
      <c r="O366" s="46">
        <f>IF(Sheet1!L366="",0,IF(Sheet1!O366&lt;TIME(7,39,0)+Sheet1!$E$3/24,1,0))</f>
        <v>0</v>
      </c>
      <c r="P366" s="46" t="str">
        <f ca="1">IF(AND(Sheet1!L366&lt;0, Sheet1!$C$21&gt;R366,OR(Sheet1!$C$21&lt;=R367,Sheet1!L367="")),   -1*Sheet1!L366,"")</f>
        <v/>
      </c>
    </row>
    <row r="367" spans="1:16" ht="15.75" x14ac:dyDescent="0.25">
      <c r="A367" s="456" t="str">
        <f>IF(AND(R367&lt;&gt;"",R366&lt;&gt;""),(-Sheet1!L367/Sheet1!L366)^(360/(R367-R366-1))-1,"")</f>
        <v/>
      </c>
      <c r="B367" s="41" t="str">
        <f ca="1">IF(AND(Sheet1!L367&lt;0, Sheet1!$C$21&gt;R367+1,OR(Sheet1!$C$21&lt;=R368,Sheet1!L368="")),   -1*Sheet1!L367,"")</f>
        <v/>
      </c>
      <c r="C367" s="42">
        <f ca="1">IF(Sheet3!$B$5="",0,    IF(E367&lt;1,0,  IF(B367="","",     IF(OR(Sheet3!$B$6=0,INDIRECT(ADDRESS(ROW(),Sheet3!$B$3+16))="" ),D367/E367,    IF(E367&lt;0,0,    IF(OR( INDIRECT(ADDRESS(8,Sheet3!$B$3+16))="",INDIRECT(ADDRESS(ROW(),Sheet3!$B$3+17))=""),        (INDIRECT(ADDRESS(ROW(),Sheet3!$B$3+16))+B367)*Sheet3!$Q$4,         INDIRECT(ADDRESS(ROW(),Sheet3!$B$3+17))-INDIRECT(ADDRESS(ROW(),Sheet3!$B$3+16))))))))</f>
        <v>0</v>
      </c>
      <c r="D367" s="39">
        <f ca="1">IF(Sheet3!$B$5="",0,IF(B367="","",IF(E367&lt;1,0,   IF(INDIRECT(ADDRESS(ROW(), Sheet3!$B$3+17))="",        INDIRECT(ADDRESS(ROW(), Sheet3!$B$3+16))*  (1+Sheet3!$Q$4)   +B367*Sheet3!$Q$4,       INDIRECT(ADDRESS(ROW(), Sheet3!$B$3+17))))))</f>
        <v>0</v>
      </c>
      <c r="E367" s="40">
        <f ca="1">IF(AND(Sheet1!L367&lt;0,  Sheet1!$C$21&gt;R367),    IF(OR(Sheet1!$C$21&lt;=R368,  Sheet1!L368=""),       IF(AND(MOD(NOW(),1)&lt;TIME(9,39,0),Sheet1!$C$22=TODAY()),    Sheet1!$C$21-R367,     Sheet1!$C$21-R367-1),               R368-R367-1),    0)</f>
        <v>0</v>
      </c>
      <c r="F367" s="30"/>
      <c r="G367" s="25" t="str">
        <f>IF(LEFT(Sheet1!K368,2)="0x",Sheet1!K367,IF(AND(Sheet1!L367="",Sheet1!L366=""),"",G366))</f>
        <v/>
      </c>
      <c r="H367" s="81"/>
      <c r="I367" s="43" t="str">
        <f t="shared" si="29"/>
        <v/>
      </c>
      <c r="J367" s="29" t="str">
        <f t="shared" si="28"/>
        <v/>
      </c>
      <c r="K367" s="24" t="str">
        <f>IF(Sheet1!L367="","",IF(Sheet1!L367&gt;0,ROW(),""))</f>
        <v/>
      </c>
      <c r="L367" s="24" t="str">
        <f t="shared" ca="1" si="26"/>
        <v/>
      </c>
      <c r="M367" s="47" t="str">
        <f t="shared" ca="1" si="27"/>
        <v/>
      </c>
      <c r="N367" s="48" t="str">
        <f>IF(LEFT(Sheet1!K367,2)="0x",Sheet1!K367,IF(AND(Sheet1!L367="",Sheet1!L366=""),"",N366))</f>
        <v/>
      </c>
      <c r="O367" s="46">
        <f>IF(Sheet1!L367="",0,IF(Sheet1!O367&lt;TIME(7,39,0)+Sheet1!$E$3/24,1,0))</f>
        <v>0</v>
      </c>
      <c r="P367" s="46" t="str">
        <f ca="1">IF(AND(Sheet1!L367&lt;0, Sheet1!$C$21&gt;R367,OR(Sheet1!$C$21&lt;=R368,Sheet1!L368="")),   -1*Sheet1!L367,"")</f>
        <v/>
      </c>
    </row>
    <row r="368" spans="1:16" ht="15.75" x14ac:dyDescent="0.25">
      <c r="A368" s="456" t="str">
        <f>IF(AND(R368&lt;&gt;"",R367&lt;&gt;""),(-Sheet1!L368/Sheet1!L367)^(360/(R368-R367-1))-1,"")</f>
        <v/>
      </c>
      <c r="B368" s="41" t="str">
        <f ca="1">IF(AND(Sheet1!L368&lt;0, Sheet1!$C$21&gt;R368+1,OR(Sheet1!$C$21&lt;=R369,Sheet1!L369="")),   -1*Sheet1!L368,"")</f>
        <v/>
      </c>
      <c r="C368" s="42">
        <f ca="1">IF(Sheet3!$B$5="",0,    IF(E368&lt;1,0,  IF(B368="","",     IF(OR(Sheet3!$B$6=0,INDIRECT(ADDRESS(ROW(),Sheet3!$B$3+16))="" ),D368/E368,    IF(E368&lt;0,0,    IF(OR( INDIRECT(ADDRESS(8,Sheet3!$B$3+16))="",INDIRECT(ADDRESS(ROW(),Sheet3!$B$3+17))=""),        (INDIRECT(ADDRESS(ROW(),Sheet3!$B$3+16))+B368)*Sheet3!$Q$4,         INDIRECT(ADDRESS(ROW(),Sheet3!$B$3+17))-INDIRECT(ADDRESS(ROW(),Sheet3!$B$3+16))))))))</f>
        <v>0</v>
      </c>
      <c r="D368" s="39">
        <f ca="1">IF(Sheet3!$B$5="",0,IF(B368="","",IF(E368&lt;1,0,   IF(INDIRECT(ADDRESS(ROW(), Sheet3!$B$3+17))="",        INDIRECT(ADDRESS(ROW(), Sheet3!$B$3+16))*  (1+Sheet3!$Q$4)   +B368*Sheet3!$Q$4,       INDIRECT(ADDRESS(ROW(), Sheet3!$B$3+17))))))</f>
        <v>0</v>
      </c>
      <c r="E368" s="40">
        <f ca="1">IF(AND(Sheet1!L368&lt;0,  Sheet1!$C$21&gt;R368),    IF(OR(Sheet1!$C$21&lt;=R369,  Sheet1!L369=""),       IF(AND(MOD(NOW(),1)&lt;TIME(9,39,0),Sheet1!$C$22=TODAY()),    Sheet1!$C$21-R368,     Sheet1!$C$21-R368-1),               R369-R368-1),    0)</f>
        <v>0</v>
      </c>
      <c r="F368" s="30"/>
      <c r="G368" s="25" t="str">
        <f>IF(LEFT(Sheet1!K369,2)="0x",Sheet1!K368,IF(AND(Sheet1!L368="",Sheet1!L367=""),"",G367))</f>
        <v/>
      </c>
      <c r="H368" s="81"/>
      <c r="I368" s="43" t="str">
        <f t="shared" si="29"/>
        <v/>
      </c>
      <c r="J368" s="29" t="str">
        <f t="shared" si="28"/>
        <v/>
      </c>
      <c r="K368" s="24" t="str">
        <f>IF(Sheet1!L368="","",IF(Sheet1!L368&gt;0,ROW(),""))</f>
        <v/>
      </c>
      <c r="L368" s="24" t="str">
        <f t="shared" ca="1" si="26"/>
        <v/>
      </c>
      <c r="M368" s="47" t="str">
        <f t="shared" ca="1" si="27"/>
        <v/>
      </c>
      <c r="N368" s="48" t="str">
        <f>IF(LEFT(Sheet1!K368,2)="0x",Sheet1!K368,IF(AND(Sheet1!L368="",Sheet1!L367=""),"",N367))</f>
        <v/>
      </c>
      <c r="O368" s="46">
        <f>IF(Sheet1!L368="",0,IF(Sheet1!O368&lt;TIME(7,39,0)+Sheet1!$E$3/24,1,0))</f>
        <v>0</v>
      </c>
      <c r="P368" s="46" t="str">
        <f ca="1">IF(AND(Sheet1!L368&lt;0, Sheet1!$C$21&gt;R368,OR(Sheet1!$C$21&lt;=R369,Sheet1!L369="")),   -1*Sheet1!L368,"")</f>
        <v/>
      </c>
    </row>
    <row r="369" spans="1:16" ht="15.75" x14ac:dyDescent="0.25">
      <c r="A369" s="456" t="str">
        <f>IF(AND(R369&lt;&gt;"",R368&lt;&gt;""),(-Sheet1!L369/Sheet1!L368)^(360/(R369-R368-1))-1,"")</f>
        <v/>
      </c>
      <c r="B369" s="41" t="str">
        <f ca="1">IF(AND(Sheet1!L369&lt;0, Sheet1!$C$21&gt;R369+1,OR(Sheet1!$C$21&lt;=R370,Sheet1!L370="")),   -1*Sheet1!L369,"")</f>
        <v/>
      </c>
      <c r="C369" s="42">
        <f ca="1">IF(Sheet3!$B$5="",0,    IF(E369&lt;1,0,  IF(B369="","",     IF(OR(Sheet3!$B$6=0,INDIRECT(ADDRESS(ROW(),Sheet3!$B$3+16))="" ),D369/E369,    IF(E369&lt;0,0,    IF(OR( INDIRECT(ADDRESS(8,Sheet3!$B$3+16))="",INDIRECT(ADDRESS(ROW(),Sheet3!$B$3+17))=""),        (INDIRECT(ADDRESS(ROW(),Sheet3!$B$3+16))+B369)*Sheet3!$Q$4,         INDIRECT(ADDRESS(ROW(),Sheet3!$B$3+17))-INDIRECT(ADDRESS(ROW(),Sheet3!$B$3+16))))))))</f>
        <v>0</v>
      </c>
      <c r="D369" s="39">
        <f ca="1">IF(Sheet3!$B$5="",0,IF(B369="","",IF(E369&lt;1,0,   IF(INDIRECT(ADDRESS(ROW(), Sheet3!$B$3+17))="",        INDIRECT(ADDRESS(ROW(), Sheet3!$B$3+16))*  (1+Sheet3!$Q$4)   +B369*Sheet3!$Q$4,       INDIRECT(ADDRESS(ROW(), Sheet3!$B$3+17))))))</f>
        <v>0</v>
      </c>
      <c r="E369" s="40">
        <f ca="1">IF(AND(Sheet1!L369&lt;0,  Sheet1!$C$21&gt;R369),    IF(OR(Sheet1!$C$21&lt;=R370,  Sheet1!L370=""),       IF(AND(MOD(NOW(),1)&lt;TIME(9,39,0),Sheet1!$C$22=TODAY()),    Sheet1!$C$21-R369,     Sheet1!$C$21-R369-1),               R370-R369-1),    0)</f>
        <v>0</v>
      </c>
      <c r="F369" s="30"/>
      <c r="G369" s="25" t="str">
        <f>IF(LEFT(Sheet1!K370,2)="0x",Sheet1!K369,IF(AND(Sheet1!L369="",Sheet1!L368=""),"",G368))</f>
        <v/>
      </c>
      <c r="H369" s="81"/>
      <c r="I369" s="43" t="str">
        <f t="shared" si="29"/>
        <v/>
      </c>
      <c r="J369" s="29" t="str">
        <f t="shared" si="28"/>
        <v/>
      </c>
      <c r="K369" s="24" t="str">
        <f>IF(Sheet1!L369="","",IF(Sheet1!L369&gt;0,ROW(),""))</f>
        <v/>
      </c>
      <c r="L369" s="24" t="str">
        <f t="shared" ca="1" si="26"/>
        <v/>
      </c>
      <c r="M369" s="47" t="str">
        <f t="shared" ca="1" si="27"/>
        <v/>
      </c>
      <c r="N369" s="48" t="str">
        <f>IF(LEFT(Sheet1!K369,2)="0x",Sheet1!K369,IF(AND(Sheet1!L369="",Sheet1!L368=""),"",N368))</f>
        <v/>
      </c>
      <c r="O369" s="46">
        <f>IF(Sheet1!L369="",0,IF(Sheet1!O369&lt;TIME(7,39,0)+Sheet1!$E$3/24,1,0))</f>
        <v>0</v>
      </c>
      <c r="P369" s="46" t="str">
        <f ca="1">IF(AND(Sheet1!L369&lt;0, Sheet1!$C$21&gt;R369,OR(Sheet1!$C$21&lt;=R370,Sheet1!L370="")),   -1*Sheet1!L369,"")</f>
        <v/>
      </c>
    </row>
    <row r="370" spans="1:16" ht="15.75" x14ac:dyDescent="0.25">
      <c r="A370" s="456" t="str">
        <f>IF(AND(R370&lt;&gt;"",R369&lt;&gt;""),(-Sheet1!L370/Sheet1!L369)^(360/(R370-R369-1))-1,"")</f>
        <v/>
      </c>
      <c r="B370" s="41" t="str">
        <f ca="1">IF(AND(Sheet1!L370&lt;0, Sheet1!$C$21&gt;R370+1,OR(Sheet1!$C$21&lt;=R371,Sheet1!L371="")),   -1*Sheet1!L370,"")</f>
        <v/>
      </c>
      <c r="C370" s="42">
        <f ca="1">IF(Sheet3!$B$5="",0,    IF(E370&lt;1,0,  IF(B370="","",     IF(OR(Sheet3!$B$6=0,INDIRECT(ADDRESS(ROW(),Sheet3!$B$3+16))="" ),D370/E370,    IF(E370&lt;0,0,    IF(OR( INDIRECT(ADDRESS(8,Sheet3!$B$3+16))="",INDIRECT(ADDRESS(ROW(),Sheet3!$B$3+17))=""),        (INDIRECT(ADDRESS(ROW(),Sheet3!$B$3+16))+B370)*Sheet3!$Q$4,         INDIRECT(ADDRESS(ROW(),Sheet3!$B$3+17))-INDIRECT(ADDRESS(ROW(),Sheet3!$B$3+16))))))))</f>
        <v>0</v>
      </c>
      <c r="D370" s="39">
        <f ca="1">IF(Sheet3!$B$5="",0,IF(B370="","",IF(E370&lt;1,0,   IF(INDIRECT(ADDRESS(ROW(), Sheet3!$B$3+17))="",        INDIRECT(ADDRESS(ROW(), Sheet3!$B$3+16))*  (1+Sheet3!$Q$4)   +B370*Sheet3!$Q$4,       INDIRECT(ADDRESS(ROW(), Sheet3!$B$3+17))))))</f>
        <v>0</v>
      </c>
      <c r="E370" s="40">
        <f ca="1">IF(AND(Sheet1!L370&lt;0,  Sheet1!$C$21&gt;R370),    IF(OR(Sheet1!$C$21&lt;=R371,  Sheet1!L371=""),       IF(AND(MOD(NOW(),1)&lt;TIME(9,39,0),Sheet1!$C$22=TODAY()),    Sheet1!$C$21-R370,     Sheet1!$C$21-R370-1),               R371-R370-1),    0)</f>
        <v>0</v>
      </c>
      <c r="F370" s="30"/>
      <c r="G370" s="25" t="str">
        <f>IF(LEFT(Sheet1!K371,2)="0x",Sheet1!K370,IF(AND(Sheet1!L370="",Sheet1!L369=""),"",G369))</f>
        <v/>
      </c>
      <c r="H370" s="81"/>
      <c r="I370" s="43" t="str">
        <f t="shared" si="29"/>
        <v/>
      </c>
      <c r="J370" s="29" t="str">
        <f t="shared" si="28"/>
        <v/>
      </c>
      <c r="K370" s="24" t="str">
        <f>IF(Sheet1!L370="","",IF(Sheet1!L370&gt;0,ROW(),""))</f>
        <v/>
      </c>
      <c r="L370" s="24" t="str">
        <f t="shared" ca="1" si="26"/>
        <v/>
      </c>
      <c r="M370" s="47" t="str">
        <f t="shared" ca="1" si="27"/>
        <v/>
      </c>
      <c r="N370" s="48" t="str">
        <f>IF(LEFT(Sheet1!K370,2)="0x",Sheet1!K370,IF(AND(Sheet1!L370="",Sheet1!L369=""),"",N369))</f>
        <v/>
      </c>
      <c r="O370" s="46">
        <f>IF(Sheet1!L370="",0,IF(Sheet1!O370&lt;TIME(7,39,0)+Sheet1!$E$3/24,1,0))</f>
        <v>0</v>
      </c>
      <c r="P370" s="46" t="str">
        <f ca="1">IF(AND(Sheet1!L370&lt;0, Sheet1!$C$21&gt;R370,OR(Sheet1!$C$21&lt;=R371,Sheet1!L371="")),   -1*Sheet1!L370,"")</f>
        <v/>
      </c>
    </row>
    <row r="371" spans="1:16" ht="15.75" x14ac:dyDescent="0.25">
      <c r="A371" s="456" t="str">
        <f>IF(AND(R371&lt;&gt;"",R370&lt;&gt;""),(-Sheet1!L371/Sheet1!L370)^(360/(R371-R370-1))-1,"")</f>
        <v/>
      </c>
      <c r="B371" s="41" t="str">
        <f ca="1">IF(AND(Sheet1!L371&lt;0, Sheet1!$C$21&gt;R371+1,OR(Sheet1!$C$21&lt;=R372,Sheet1!L372="")),   -1*Sheet1!L371,"")</f>
        <v/>
      </c>
      <c r="C371" s="42">
        <f ca="1">IF(Sheet3!$B$5="",0,    IF(E371&lt;1,0,  IF(B371="","",     IF(OR(Sheet3!$B$6=0,INDIRECT(ADDRESS(ROW(),Sheet3!$B$3+16))="" ),D371/E371,    IF(E371&lt;0,0,    IF(OR( INDIRECT(ADDRESS(8,Sheet3!$B$3+16))="",INDIRECT(ADDRESS(ROW(),Sheet3!$B$3+17))=""),        (INDIRECT(ADDRESS(ROW(),Sheet3!$B$3+16))+B371)*Sheet3!$Q$4,         INDIRECT(ADDRESS(ROW(),Sheet3!$B$3+17))-INDIRECT(ADDRESS(ROW(),Sheet3!$B$3+16))))))))</f>
        <v>0</v>
      </c>
      <c r="D371" s="39">
        <f ca="1">IF(Sheet3!$B$5="",0,IF(B371="","",IF(E371&lt;1,0,   IF(INDIRECT(ADDRESS(ROW(), Sheet3!$B$3+17))="",        INDIRECT(ADDRESS(ROW(), Sheet3!$B$3+16))*  (1+Sheet3!$Q$4)   +B371*Sheet3!$Q$4,       INDIRECT(ADDRESS(ROW(), Sheet3!$B$3+17))))))</f>
        <v>0</v>
      </c>
      <c r="E371" s="40">
        <f ca="1">IF(AND(Sheet1!L371&lt;0,  Sheet1!$C$21&gt;R371),    IF(OR(Sheet1!$C$21&lt;=R372,  Sheet1!L372=""),       IF(AND(MOD(NOW(),1)&lt;TIME(9,39,0),Sheet1!$C$22=TODAY()),    Sheet1!$C$21-R371,     Sheet1!$C$21-R371-1),               R372-R371-1),    0)</f>
        <v>0</v>
      </c>
      <c r="F371" s="30"/>
      <c r="G371" s="25" t="str">
        <f>IF(LEFT(Sheet1!K372,2)="0x",Sheet1!K371,IF(AND(Sheet1!L371="",Sheet1!L370=""),"",G370))</f>
        <v/>
      </c>
      <c r="H371" s="81"/>
      <c r="I371" s="43" t="str">
        <f t="shared" si="29"/>
        <v/>
      </c>
      <c r="J371" s="29" t="str">
        <f t="shared" si="28"/>
        <v/>
      </c>
      <c r="K371" s="24" t="str">
        <f>IF(Sheet1!L371="","",IF(Sheet1!L371&gt;0,ROW(),""))</f>
        <v/>
      </c>
      <c r="L371" s="24" t="str">
        <f t="shared" ca="1" si="26"/>
        <v/>
      </c>
      <c r="M371" s="47" t="str">
        <f t="shared" ca="1" si="27"/>
        <v/>
      </c>
      <c r="N371" s="48" t="str">
        <f>IF(LEFT(Sheet1!K371,2)="0x",Sheet1!K371,IF(AND(Sheet1!L371="",Sheet1!L370=""),"",N370))</f>
        <v/>
      </c>
      <c r="O371" s="46">
        <f>IF(Sheet1!L371="",0,IF(Sheet1!O371&lt;TIME(7,39,0)+Sheet1!$E$3/24,1,0))</f>
        <v>0</v>
      </c>
      <c r="P371" s="46" t="str">
        <f ca="1">IF(AND(Sheet1!L371&lt;0, Sheet1!$C$21&gt;R371,OR(Sheet1!$C$21&lt;=R372,Sheet1!L372="")),   -1*Sheet1!L371,"")</f>
        <v/>
      </c>
    </row>
    <row r="372" spans="1:16" ht="15.75" x14ac:dyDescent="0.25">
      <c r="A372" s="456" t="str">
        <f>IF(AND(R372&lt;&gt;"",R371&lt;&gt;""),(-Sheet1!L372/Sheet1!L371)^(360/(R372-R371-1))-1,"")</f>
        <v/>
      </c>
      <c r="B372" s="41" t="str">
        <f ca="1">IF(AND(Sheet1!L372&lt;0, Sheet1!$C$21&gt;R372+1,OR(Sheet1!$C$21&lt;=R373,Sheet1!L373="")),   -1*Sheet1!L372,"")</f>
        <v/>
      </c>
      <c r="C372" s="42">
        <f ca="1">IF(Sheet3!$B$5="",0,    IF(E372&lt;1,0,  IF(B372="","",     IF(OR(Sheet3!$B$6=0,INDIRECT(ADDRESS(ROW(),Sheet3!$B$3+16))="" ),D372/E372,    IF(E372&lt;0,0,    IF(OR( INDIRECT(ADDRESS(8,Sheet3!$B$3+16))="",INDIRECT(ADDRESS(ROW(),Sheet3!$B$3+17))=""),        (INDIRECT(ADDRESS(ROW(),Sheet3!$B$3+16))+B372)*Sheet3!$Q$4,         INDIRECT(ADDRESS(ROW(),Sheet3!$B$3+17))-INDIRECT(ADDRESS(ROW(),Sheet3!$B$3+16))))))))</f>
        <v>0</v>
      </c>
      <c r="D372" s="39">
        <f ca="1">IF(Sheet3!$B$5="",0,IF(B372="","",IF(E372&lt;1,0,   IF(INDIRECT(ADDRESS(ROW(), Sheet3!$B$3+17))="",        INDIRECT(ADDRESS(ROW(), Sheet3!$B$3+16))*  (1+Sheet3!$Q$4)   +B372*Sheet3!$Q$4,       INDIRECT(ADDRESS(ROW(), Sheet3!$B$3+17))))))</f>
        <v>0</v>
      </c>
      <c r="E372" s="40">
        <f ca="1">IF(AND(Sheet1!L372&lt;0,  Sheet1!$C$21&gt;R372),    IF(OR(Sheet1!$C$21&lt;=R373,  Sheet1!L373=""),       IF(AND(MOD(NOW(),1)&lt;TIME(9,39,0),Sheet1!$C$22=TODAY()),    Sheet1!$C$21-R372,     Sheet1!$C$21-R372-1),               R373-R372-1),    0)</f>
        <v>0</v>
      </c>
      <c r="F372" s="30"/>
      <c r="G372" s="25" t="str">
        <f>IF(LEFT(Sheet1!K373,2)="0x",Sheet1!K372,IF(AND(Sheet1!L372="",Sheet1!L371=""),"",G371))</f>
        <v/>
      </c>
      <c r="H372" s="81"/>
      <c r="I372" s="43" t="str">
        <f t="shared" si="29"/>
        <v/>
      </c>
      <c r="J372" s="29" t="str">
        <f t="shared" si="28"/>
        <v/>
      </c>
      <c r="K372" s="24" t="str">
        <f>IF(Sheet1!L372="","",IF(Sheet1!L372&gt;0,ROW(),""))</f>
        <v/>
      </c>
      <c r="L372" s="24" t="str">
        <f t="shared" ca="1" si="26"/>
        <v/>
      </c>
      <c r="M372" s="47" t="str">
        <f t="shared" ca="1" si="27"/>
        <v/>
      </c>
      <c r="N372" s="48" t="str">
        <f>IF(LEFT(Sheet1!K372,2)="0x",Sheet1!K372,IF(AND(Sheet1!L372="",Sheet1!L371=""),"",N371))</f>
        <v/>
      </c>
      <c r="O372" s="46">
        <f>IF(Sheet1!L372="",0,IF(Sheet1!O372&lt;TIME(7,39,0)+Sheet1!$E$3/24,1,0))</f>
        <v>0</v>
      </c>
      <c r="P372" s="46" t="str">
        <f ca="1">IF(AND(Sheet1!L372&lt;0, Sheet1!$C$21&gt;R372,OR(Sheet1!$C$21&lt;=R373,Sheet1!L373="")),   -1*Sheet1!L372,"")</f>
        <v/>
      </c>
    </row>
    <row r="373" spans="1:16" ht="15.75" x14ac:dyDescent="0.25">
      <c r="A373" s="456" t="str">
        <f>IF(AND(R373&lt;&gt;"",R372&lt;&gt;""),(-Sheet1!L373/Sheet1!L372)^(360/(R373-R372-1))-1,"")</f>
        <v/>
      </c>
      <c r="B373" s="41" t="str">
        <f ca="1">IF(AND(Sheet1!L373&lt;0, Sheet1!$C$21&gt;R373+1,OR(Sheet1!$C$21&lt;=R374,Sheet1!L374="")),   -1*Sheet1!L373,"")</f>
        <v/>
      </c>
      <c r="C373" s="42">
        <f ca="1">IF(Sheet3!$B$5="",0,    IF(E373&lt;1,0,  IF(B373="","",     IF(OR(Sheet3!$B$6=0,INDIRECT(ADDRESS(ROW(),Sheet3!$B$3+16))="" ),D373/E373,    IF(E373&lt;0,0,    IF(OR( INDIRECT(ADDRESS(8,Sheet3!$B$3+16))="",INDIRECT(ADDRESS(ROW(),Sheet3!$B$3+17))=""),        (INDIRECT(ADDRESS(ROW(),Sheet3!$B$3+16))+B373)*Sheet3!$Q$4,         INDIRECT(ADDRESS(ROW(),Sheet3!$B$3+17))-INDIRECT(ADDRESS(ROW(),Sheet3!$B$3+16))))))))</f>
        <v>0</v>
      </c>
      <c r="D373" s="39">
        <f ca="1">IF(Sheet3!$B$5="",0,IF(B373="","",IF(E373&lt;1,0,   IF(INDIRECT(ADDRESS(ROW(), Sheet3!$B$3+17))="",        INDIRECT(ADDRESS(ROW(), Sheet3!$B$3+16))*  (1+Sheet3!$Q$4)   +B373*Sheet3!$Q$4,       INDIRECT(ADDRESS(ROW(), Sheet3!$B$3+17))))))</f>
        <v>0</v>
      </c>
      <c r="E373" s="40">
        <f ca="1">IF(AND(Sheet1!L373&lt;0,  Sheet1!$C$21&gt;R373),    IF(OR(Sheet1!$C$21&lt;=R374,  Sheet1!L374=""),       IF(AND(MOD(NOW(),1)&lt;TIME(9,39,0),Sheet1!$C$22=TODAY()),    Sheet1!$C$21-R373,     Sheet1!$C$21-R373-1),               R374-R373-1),    0)</f>
        <v>0</v>
      </c>
      <c r="F373" s="30"/>
      <c r="G373" s="25" t="str">
        <f>IF(LEFT(Sheet1!K374,2)="0x",Sheet1!K373,IF(AND(Sheet1!L373="",Sheet1!L372=""),"",G372))</f>
        <v/>
      </c>
      <c r="H373" s="81"/>
      <c r="I373" s="43" t="str">
        <f t="shared" si="29"/>
        <v/>
      </c>
      <c r="J373" s="29" t="str">
        <f t="shared" si="28"/>
        <v/>
      </c>
      <c r="K373" s="24" t="str">
        <f>IF(Sheet1!L373="","",IF(Sheet1!L373&gt;0,ROW(),""))</f>
        <v/>
      </c>
      <c r="L373" s="24" t="str">
        <f t="shared" ca="1" si="26"/>
        <v/>
      </c>
      <c r="M373" s="47" t="str">
        <f t="shared" ca="1" si="27"/>
        <v/>
      </c>
      <c r="N373" s="48" t="str">
        <f>IF(LEFT(Sheet1!K373,2)="0x",Sheet1!K373,IF(AND(Sheet1!L373="",Sheet1!L372=""),"",N372))</f>
        <v/>
      </c>
      <c r="O373" s="46">
        <f>IF(Sheet1!L373="",0,IF(Sheet1!O373&lt;TIME(7,39,0)+Sheet1!$E$3/24,1,0))</f>
        <v>0</v>
      </c>
      <c r="P373" s="46" t="str">
        <f ca="1">IF(AND(Sheet1!L373&lt;0, Sheet1!$C$21&gt;R373,OR(Sheet1!$C$21&lt;=R374,Sheet1!L374="")),   -1*Sheet1!L373,"")</f>
        <v/>
      </c>
    </row>
    <row r="374" spans="1:16" ht="15.75" x14ac:dyDescent="0.25">
      <c r="A374" s="456" t="str">
        <f>IF(AND(R374&lt;&gt;"",R373&lt;&gt;""),(-Sheet1!L374/Sheet1!L373)^(360/(R374-R373-1))-1,"")</f>
        <v/>
      </c>
      <c r="B374" s="41" t="str">
        <f ca="1">IF(AND(Sheet1!L374&lt;0, Sheet1!$C$21&gt;R374+1,OR(Sheet1!$C$21&lt;=R375,Sheet1!L375="")),   -1*Sheet1!L374,"")</f>
        <v/>
      </c>
      <c r="C374" s="42">
        <f ca="1">IF(Sheet3!$B$5="",0,    IF(E374&lt;1,0,  IF(B374="","",     IF(OR(Sheet3!$B$6=0,INDIRECT(ADDRESS(ROW(),Sheet3!$B$3+16))="" ),D374/E374,    IF(E374&lt;0,0,    IF(OR( INDIRECT(ADDRESS(8,Sheet3!$B$3+16))="",INDIRECT(ADDRESS(ROW(),Sheet3!$B$3+17))=""),        (INDIRECT(ADDRESS(ROW(),Sheet3!$B$3+16))+B374)*Sheet3!$Q$4,         INDIRECT(ADDRESS(ROW(),Sheet3!$B$3+17))-INDIRECT(ADDRESS(ROW(),Sheet3!$B$3+16))))))))</f>
        <v>0</v>
      </c>
      <c r="D374" s="39">
        <f ca="1">IF(Sheet3!$B$5="",0,IF(B374="","",IF(E374&lt;1,0,   IF(INDIRECT(ADDRESS(ROW(), Sheet3!$B$3+17))="",        INDIRECT(ADDRESS(ROW(), Sheet3!$B$3+16))*  (1+Sheet3!$Q$4)   +B374*Sheet3!$Q$4,       INDIRECT(ADDRESS(ROW(), Sheet3!$B$3+17))))))</f>
        <v>0</v>
      </c>
      <c r="E374" s="40">
        <f ca="1">IF(AND(Sheet1!L374&lt;0,  Sheet1!$C$21&gt;R374),    IF(OR(Sheet1!$C$21&lt;=R375,  Sheet1!L375=""),       IF(AND(MOD(NOW(),1)&lt;TIME(9,39,0),Sheet1!$C$22=TODAY()),    Sheet1!$C$21-R374,     Sheet1!$C$21-R374-1),               R375-R374-1),    0)</f>
        <v>0</v>
      </c>
      <c r="F374" s="30"/>
      <c r="G374" s="25" t="str">
        <f>IF(LEFT(Sheet1!K375,2)="0x",Sheet1!K374,IF(AND(Sheet1!L374="",Sheet1!L373=""),"",G373))</f>
        <v/>
      </c>
      <c r="H374" s="81"/>
      <c r="I374" s="43" t="str">
        <f t="shared" si="29"/>
        <v/>
      </c>
      <c r="J374" s="29" t="str">
        <f t="shared" si="28"/>
        <v/>
      </c>
      <c r="K374" s="24" t="str">
        <f>IF(Sheet1!L374="","",IF(Sheet1!L374&gt;0,ROW(),""))</f>
        <v/>
      </c>
      <c r="L374" s="24" t="str">
        <f t="shared" ca="1" si="26"/>
        <v/>
      </c>
      <c r="M374" s="47" t="str">
        <f t="shared" ca="1" si="27"/>
        <v/>
      </c>
      <c r="N374" s="48" t="str">
        <f>IF(LEFT(Sheet1!K374,2)="0x",Sheet1!K374,IF(AND(Sheet1!L374="",Sheet1!L373=""),"",N373))</f>
        <v/>
      </c>
      <c r="O374" s="46">
        <f>IF(Sheet1!L374="",0,IF(Sheet1!O374&lt;TIME(7,39,0)+Sheet1!$E$3/24,1,0))</f>
        <v>0</v>
      </c>
      <c r="P374" s="46" t="str">
        <f ca="1">IF(AND(Sheet1!L374&lt;0, Sheet1!$C$21&gt;R374,OR(Sheet1!$C$21&lt;=R375,Sheet1!L375="")),   -1*Sheet1!L374,"")</f>
        <v/>
      </c>
    </row>
    <row r="375" spans="1:16" ht="15.75" x14ac:dyDescent="0.25">
      <c r="A375" s="456" t="str">
        <f>IF(AND(R375&lt;&gt;"",R374&lt;&gt;""),(-Sheet1!L375/Sheet1!L374)^(360/(R375-R374-1))-1,"")</f>
        <v/>
      </c>
      <c r="B375" s="41" t="str">
        <f ca="1">IF(AND(Sheet1!L375&lt;0, Sheet1!$C$21&gt;R375+1,OR(Sheet1!$C$21&lt;=R376,Sheet1!L376="")),   -1*Sheet1!L375,"")</f>
        <v/>
      </c>
      <c r="C375" s="42">
        <f ca="1">IF(Sheet3!$B$5="",0,    IF(E375&lt;1,0,  IF(B375="","",     IF(OR(Sheet3!$B$6=0,INDIRECT(ADDRESS(ROW(),Sheet3!$B$3+16))="" ),D375/E375,    IF(E375&lt;0,0,    IF(OR( INDIRECT(ADDRESS(8,Sheet3!$B$3+16))="",INDIRECT(ADDRESS(ROW(),Sheet3!$B$3+17))=""),        (INDIRECT(ADDRESS(ROW(),Sheet3!$B$3+16))+B375)*Sheet3!$Q$4,         INDIRECT(ADDRESS(ROW(),Sheet3!$B$3+17))-INDIRECT(ADDRESS(ROW(),Sheet3!$B$3+16))))))))</f>
        <v>0</v>
      </c>
      <c r="D375" s="39">
        <f ca="1">IF(Sheet3!$B$5="",0,IF(B375="","",IF(E375&lt;1,0,   IF(INDIRECT(ADDRESS(ROW(), Sheet3!$B$3+17))="",        INDIRECT(ADDRESS(ROW(), Sheet3!$B$3+16))*  (1+Sheet3!$Q$4)   +B375*Sheet3!$Q$4,       INDIRECT(ADDRESS(ROW(), Sheet3!$B$3+17))))))</f>
        <v>0</v>
      </c>
      <c r="E375" s="40">
        <f ca="1">IF(AND(Sheet1!L375&lt;0,  Sheet1!$C$21&gt;R375),    IF(OR(Sheet1!$C$21&lt;=R376,  Sheet1!L376=""),       IF(AND(MOD(NOW(),1)&lt;TIME(9,39,0),Sheet1!$C$22=TODAY()),    Sheet1!$C$21-R375,     Sheet1!$C$21-R375-1),               R376-R375-1),    0)</f>
        <v>0</v>
      </c>
      <c r="F375" s="30"/>
      <c r="G375" s="25" t="str">
        <f>IF(LEFT(Sheet1!K376,2)="0x",Sheet1!K375,IF(AND(Sheet1!L375="",Sheet1!L374=""),"",G374))</f>
        <v/>
      </c>
      <c r="H375" s="81"/>
      <c r="I375" s="43" t="str">
        <f t="shared" si="29"/>
        <v/>
      </c>
      <c r="J375" s="29" t="str">
        <f t="shared" si="28"/>
        <v/>
      </c>
      <c r="K375" s="24" t="str">
        <f>IF(Sheet1!L375="","",IF(Sheet1!L375&gt;0,ROW(),""))</f>
        <v/>
      </c>
      <c r="L375" s="24" t="str">
        <f t="shared" ca="1" si="26"/>
        <v/>
      </c>
      <c r="M375" s="47" t="str">
        <f t="shared" ca="1" si="27"/>
        <v/>
      </c>
      <c r="N375" s="48" t="str">
        <f>IF(LEFT(Sheet1!K375,2)="0x",Sheet1!K375,IF(AND(Sheet1!L375="",Sheet1!L374=""),"",N374))</f>
        <v/>
      </c>
      <c r="O375" s="46">
        <f>IF(Sheet1!L375="",0,IF(Sheet1!O375&lt;TIME(7,39,0)+Sheet1!$E$3/24,1,0))</f>
        <v>0</v>
      </c>
      <c r="P375" s="46" t="str">
        <f ca="1">IF(AND(Sheet1!L375&lt;0, Sheet1!$C$21&gt;R375,OR(Sheet1!$C$21&lt;=R376,Sheet1!L376="")),   -1*Sheet1!L375,"")</f>
        <v/>
      </c>
    </row>
    <row r="376" spans="1:16" ht="15.75" x14ac:dyDescent="0.25">
      <c r="A376" s="456" t="str">
        <f>IF(AND(R376&lt;&gt;"",R375&lt;&gt;""),(-Sheet1!L376/Sheet1!L375)^(360/(R376-R375-1))-1,"")</f>
        <v/>
      </c>
      <c r="B376" s="41" t="str">
        <f ca="1">IF(AND(Sheet1!L376&lt;0, Sheet1!$C$21&gt;R376+1,OR(Sheet1!$C$21&lt;=R377,Sheet1!L377="")),   -1*Sheet1!L376,"")</f>
        <v/>
      </c>
      <c r="C376" s="42">
        <f ca="1">IF(Sheet3!$B$5="",0,    IF(E376&lt;1,0,  IF(B376="","",     IF(OR(Sheet3!$B$6=0,INDIRECT(ADDRESS(ROW(),Sheet3!$B$3+16))="" ),D376/E376,    IF(E376&lt;0,0,    IF(OR( INDIRECT(ADDRESS(8,Sheet3!$B$3+16))="",INDIRECT(ADDRESS(ROW(),Sheet3!$B$3+17))=""),        (INDIRECT(ADDRESS(ROW(),Sheet3!$B$3+16))+B376)*Sheet3!$Q$4,         INDIRECT(ADDRESS(ROW(),Sheet3!$B$3+17))-INDIRECT(ADDRESS(ROW(),Sheet3!$B$3+16))))))))</f>
        <v>0</v>
      </c>
      <c r="D376" s="39">
        <f ca="1">IF(Sheet3!$B$5="",0,IF(B376="","",IF(E376&lt;1,0,   IF(INDIRECT(ADDRESS(ROW(), Sheet3!$B$3+17))="",        INDIRECT(ADDRESS(ROW(), Sheet3!$B$3+16))*  (1+Sheet3!$Q$4)   +B376*Sheet3!$Q$4,       INDIRECT(ADDRESS(ROW(), Sheet3!$B$3+17))))))</f>
        <v>0</v>
      </c>
      <c r="E376" s="40">
        <f ca="1">IF(AND(Sheet1!L376&lt;0,  Sheet1!$C$21&gt;R376),    IF(OR(Sheet1!$C$21&lt;=R377,  Sheet1!L377=""),       IF(AND(MOD(NOW(),1)&lt;TIME(9,39,0),Sheet1!$C$22=TODAY()),    Sheet1!$C$21-R376,     Sheet1!$C$21-R376-1),               R377-R376-1),    0)</f>
        <v>0</v>
      </c>
      <c r="F376" s="30"/>
      <c r="G376" s="25" t="str">
        <f>IF(LEFT(Sheet1!K377,2)="0x",Sheet1!K376,IF(AND(Sheet1!L376="",Sheet1!L375=""),"",G375))</f>
        <v/>
      </c>
      <c r="H376" s="81"/>
      <c r="I376" s="43" t="str">
        <f t="shared" si="29"/>
        <v/>
      </c>
      <c r="J376" s="29" t="str">
        <f t="shared" si="28"/>
        <v/>
      </c>
      <c r="K376" s="24" t="str">
        <f>IF(Sheet1!L376="","",IF(Sheet1!L376&gt;0,ROW(),""))</f>
        <v/>
      </c>
      <c r="L376" s="24" t="str">
        <f t="shared" ca="1" si="26"/>
        <v/>
      </c>
      <c r="M376" s="47" t="str">
        <f t="shared" ca="1" si="27"/>
        <v/>
      </c>
      <c r="N376" s="48" t="str">
        <f>IF(LEFT(Sheet1!K376,2)="0x",Sheet1!K376,IF(AND(Sheet1!L376="",Sheet1!L375=""),"",N375))</f>
        <v/>
      </c>
      <c r="O376" s="46">
        <f>IF(Sheet1!L376="",0,IF(Sheet1!O376&lt;TIME(7,39,0)+Sheet1!$E$3/24,1,0))</f>
        <v>0</v>
      </c>
      <c r="P376" s="46" t="str">
        <f ca="1">IF(AND(Sheet1!L376&lt;0, Sheet1!$C$21&gt;R376,OR(Sheet1!$C$21&lt;=R377,Sheet1!L377="")),   -1*Sheet1!L376,"")</f>
        <v/>
      </c>
    </row>
    <row r="377" spans="1:16" ht="15.75" x14ac:dyDescent="0.25">
      <c r="A377" s="456" t="str">
        <f>IF(AND(R377&lt;&gt;"",R376&lt;&gt;""),(-Sheet1!L377/Sheet1!L376)^(360/(R377-R376-1))-1,"")</f>
        <v/>
      </c>
      <c r="B377" s="41" t="str">
        <f ca="1">IF(AND(Sheet1!L377&lt;0, Sheet1!$C$21&gt;R377+1,OR(Sheet1!$C$21&lt;=R378,Sheet1!L378="")),   -1*Sheet1!L377,"")</f>
        <v/>
      </c>
      <c r="C377" s="42">
        <f ca="1">IF(Sheet3!$B$5="",0,    IF(E377&lt;1,0,  IF(B377="","",     IF(OR(Sheet3!$B$6=0,INDIRECT(ADDRESS(ROW(),Sheet3!$B$3+16))="" ),D377/E377,    IF(E377&lt;0,0,    IF(OR( INDIRECT(ADDRESS(8,Sheet3!$B$3+16))="",INDIRECT(ADDRESS(ROW(),Sheet3!$B$3+17))=""),        (INDIRECT(ADDRESS(ROW(),Sheet3!$B$3+16))+B377)*Sheet3!$Q$4,         INDIRECT(ADDRESS(ROW(),Sheet3!$B$3+17))-INDIRECT(ADDRESS(ROW(),Sheet3!$B$3+16))))))))</f>
        <v>0</v>
      </c>
      <c r="D377" s="39">
        <f ca="1">IF(Sheet3!$B$5="",0,IF(B377="","",IF(E377&lt;1,0,   IF(INDIRECT(ADDRESS(ROW(), Sheet3!$B$3+17))="",        INDIRECT(ADDRESS(ROW(), Sheet3!$B$3+16))*  (1+Sheet3!$Q$4)   +B377*Sheet3!$Q$4,       INDIRECT(ADDRESS(ROW(), Sheet3!$B$3+17))))))</f>
        <v>0</v>
      </c>
      <c r="E377" s="40">
        <f ca="1">IF(AND(Sheet1!L377&lt;0,  Sheet1!$C$21&gt;R377),    IF(OR(Sheet1!$C$21&lt;=R378,  Sheet1!L378=""),       IF(AND(MOD(NOW(),1)&lt;TIME(9,39,0),Sheet1!$C$22=TODAY()),    Sheet1!$C$21-R377,     Sheet1!$C$21-R377-1),               R378-R377-1),    0)</f>
        <v>0</v>
      </c>
      <c r="F377" s="30"/>
      <c r="G377" s="25" t="str">
        <f>IF(LEFT(Sheet1!K378,2)="0x",Sheet1!K377,IF(AND(Sheet1!L377="",Sheet1!L376=""),"",G376))</f>
        <v/>
      </c>
      <c r="H377" s="81"/>
      <c r="I377" s="43" t="str">
        <f t="shared" si="29"/>
        <v/>
      </c>
      <c r="J377" s="29" t="str">
        <f t="shared" si="28"/>
        <v/>
      </c>
      <c r="K377" s="24" t="str">
        <f>IF(Sheet1!L377="","",IF(Sheet1!L377&gt;0,ROW(),""))</f>
        <v/>
      </c>
      <c r="L377" s="24" t="str">
        <f t="shared" ca="1" si="26"/>
        <v/>
      </c>
      <c r="M377" s="47" t="str">
        <f t="shared" ca="1" si="27"/>
        <v/>
      </c>
      <c r="N377" s="48" t="str">
        <f>IF(LEFT(Sheet1!K377,2)="0x",Sheet1!K377,IF(AND(Sheet1!L377="",Sheet1!L376=""),"",N376))</f>
        <v/>
      </c>
      <c r="O377" s="46">
        <f>IF(Sheet1!L377="",0,IF(Sheet1!O377&lt;TIME(7,39,0)+Sheet1!$E$3/24,1,0))</f>
        <v>0</v>
      </c>
      <c r="P377" s="46" t="str">
        <f ca="1">IF(AND(Sheet1!L377&lt;0, Sheet1!$C$21&gt;R377,OR(Sheet1!$C$21&lt;=R378,Sheet1!L378="")),   -1*Sheet1!L377,"")</f>
        <v/>
      </c>
    </row>
    <row r="378" spans="1:16" ht="15.75" x14ac:dyDescent="0.25">
      <c r="A378" s="456" t="str">
        <f>IF(AND(R378&lt;&gt;"",R377&lt;&gt;""),(-Sheet1!L378/Sheet1!L377)^(360/(R378-R377-1))-1,"")</f>
        <v/>
      </c>
      <c r="B378" s="41" t="str">
        <f ca="1">IF(AND(Sheet1!L378&lt;0, Sheet1!$C$21&gt;R378+1,OR(Sheet1!$C$21&lt;=R379,Sheet1!L379="")),   -1*Sheet1!L378,"")</f>
        <v/>
      </c>
      <c r="C378" s="42">
        <f ca="1">IF(Sheet3!$B$5="",0,    IF(E378&lt;1,0,  IF(B378="","",     IF(OR(Sheet3!$B$6=0,INDIRECT(ADDRESS(ROW(),Sheet3!$B$3+16))="" ),D378/E378,    IF(E378&lt;0,0,    IF(OR( INDIRECT(ADDRESS(8,Sheet3!$B$3+16))="",INDIRECT(ADDRESS(ROW(),Sheet3!$B$3+17))=""),        (INDIRECT(ADDRESS(ROW(),Sheet3!$B$3+16))+B378)*Sheet3!$Q$4,         INDIRECT(ADDRESS(ROW(),Sheet3!$B$3+17))-INDIRECT(ADDRESS(ROW(),Sheet3!$B$3+16))))))))</f>
        <v>0</v>
      </c>
      <c r="D378" s="39">
        <f ca="1">IF(Sheet3!$B$5="",0,IF(B378="","",IF(E378&lt;1,0,   IF(INDIRECT(ADDRESS(ROW(), Sheet3!$B$3+17))="",        INDIRECT(ADDRESS(ROW(), Sheet3!$B$3+16))*  (1+Sheet3!$Q$4)   +B378*Sheet3!$Q$4,       INDIRECT(ADDRESS(ROW(), Sheet3!$B$3+17))))))</f>
        <v>0</v>
      </c>
      <c r="E378" s="40">
        <f ca="1">IF(AND(Sheet1!L378&lt;0,  Sheet1!$C$21&gt;R378),    IF(OR(Sheet1!$C$21&lt;=R379,  Sheet1!L379=""),       IF(AND(MOD(NOW(),1)&lt;TIME(9,39,0),Sheet1!$C$22=TODAY()),    Sheet1!$C$21-R378,     Sheet1!$C$21-R378-1),               R379-R378-1),    0)</f>
        <v>0</v>
      </c>
      <c r="F378" s="30"/>
      <c r="G378" s="25" t="str">
        <f>IF(LEFT(Sheet1!K379,2)="0x",Sheet1!K378,IF(AND(Sheet1!L378="",Sheet1!L377=""),"",G377))</f>
        <v/>
      </c>
      <c r="H378" s="81"/>
      <c r="I378" s="43" t="str">
        <f t="shared" si="29"/>
        <v/>
      </c>
      <c r="J378" s="29" t="str">
        <f t="shared" si="28"/>
        <v/>
      </c>
      <c r="K378" s="24" t="str">
        <f>IF(Sheet1!L378="","",IF(Sheet1!L378&gt;0,ROW(),""))</f>
        <v/>
      </c>
      <c r="L378" s="24" t="str">
        <f t="shared" ca="1" si="26"/>
        <v/>
      </c>
      <c r="M378" s="47" t="str">
        <f t="shared" ca="1" si="27"/>
        <v/>
      </c>
      <c r="N378" s="48" t="str">
        <f>IF(LEFT(Sheet1!K378,2)="0x",Sheet1!K378,IF(AND(Sheet1!L378="",Sheet1!L377=""),"",N377))</f>
        <v/>
      </c>
      <c r="O378" s="46">
        <f>IF(Sheet1!L378="",0,IF(Sheet1!O378&lt;TIME(7,39,0)+Sheet1!$E$3/24,1,0))</f>
        <v>0</v>
      </c>
      <c r="P378" s="46" t="str">
        <f ca="1">IF(AND(Sheet1!L378&lt;0, Sheet1!$C$21&gt;R378,OR(Sheet1!$C$21&lt;=R379,Sheet1!L379="")),   -1*Sheet1!L378,"")</f>
        <v/>
      </c>
    </row>
    <row r="379" spans="1:16" ht="15.75" x14ac:dyDescent="0.25">
      <c r="A379" s="456" t="str">
        <f>IF(AND(R379&lt;&gt;"",R378&lt;&gt;""),(-Sheet1!L379/Sheet1!L378)^(360/(R379-R378-1))-1,"")</f>
        <v/>
      </c>
      <c r="B379" s="41" t="str">
        <f ca="1">IF(AND(Sheet1!L379&lt;0, Sheet1!$C$21&gt;R379+1,OR(Sheet1!$C$21&lt;=R380,Sheet1!L380="")),   -1*Sheet1!L379,"")</f>
        <v/>
      </c>
      <c r="C379" s="42">
        <f ca="1">IF(Sheet3!$B$5="",0,    IF(E379&lt;1,0,  IF(B379="","",     IF(OR(Sheet3!$B$6=0,INDIRECT(ADDRESS(ROW(),Sheet3!$B$3+16))="" ),D379/E379,    IF(E379&lt;0,0,    IF(OR( INDIRECT(ADDRESS(8,Sheet3!$B$3+16))="",INDIRECT(ADDRESS(ROW(),Sheet3!$B$3+17))=""),        (INDIRECT(ADDRESS(ROW(),Sheet3!$B$3+16))+B379)*Sheet3!$Q$4,         INDIRECT(ADDRESS(ROW(),Sheet3!$B$3+17))-INDIRECT(ADDRESS(ROW(),Sheet3!$B$3+16))))))))</f>
        <v>0</v>
      </c>
      <c r="D379" s="39">
        <f ca="1">IF(Sheet3!$B$5="",0,IF(B379="","",IF(E379&lt;1,0,   IF(INDIRECT(ADDRESS(ROW(), Sheet3!$B$3+17))="",        INDIRECT(ADDRESS(ROW(), Sheet3!$B$3+16))*  (1+Sheet3!$Q$4)   +B379*Sheet3!$Q$4,       INDIRECT(ADDRESS(ROW(), Sheet3!$B$3+17))))))</f>
        <v>0</v>
      </c>
      <c r="E379" s="40">
        <f ca="1">IF(AND(Sheet1!L379&lt;0,  Sheet1!$C$21&gt;R379),    IF(OR(Sheet1!$C$21&lt;=R380,  Sheet1!L380=""),       IF(AND(MOD(NOW(),1)&lt;TIME(9,39,0),Sheet1!$C$22=TODAY()),    Sheet1!$C$21-R379,     Sheet1!$C$21-R379-1),               R380-R379-1),    0)</f>
        <v>0</v>
      </c>
      <c r="F379" s="30"/>
      <c r="G379" s="25" t="str">
        <f>IF(LEFT(Sheet1!K380,2)="0x",Sheet1!K379,IF(AND(Sheet1!L379="",Sheet1!L378=""),"",G378))</f>
        <v/>
      </c>
      <c r="H379" s="81"/>
      <c r="I379" s="43" t="str">
        <f t="shared" si="29"/>
        <v/>
      </c>
      <c r="J379" s="29" t="str">
        <f t="shared" si="28"/>
        <v/>
      </c>
      <c r="K379" s="24" t="str">
        <f>IF(Sheet1!L379="","",IF(Sheet1!L379&gt;0,ROW(),""))</f>
        <v/>
      </c>
      <c r="L379" s="24" t="str">
        <f t="shared" ca="1" si="26"/>
        <v/>
      </c>
      <c r="M379" s="47" t="str">
        <f t="shared" ca="1" si="27"/>
        <v/>
      </c>
      <c r="N379" s="48" t="str">
        <f>IF(LEFT(Sheet1!K379,2)="0x",Sheet1!K379,IF(AND(Sheet1!L379="",Sheet1!L378=""),"",N378))</f>
        <v/>
      </c>
      <c r="O379" s="46">
        <f>IF(Sheet1!L379="",0,IF(Sheet1!O379&lt;TIME(7,39,0)+Sheet1!$E$3/24,1,0))</f>
        <v>0</v>
      </c>
      <c r="P379" s="46" t="str">
        <f ca="1">IF(AND(Sheet1!L379&lt;0, Sheet1!$C$21&gt;R379,OR(Sheet1!$C$21&lt;=R380,Sheet1!L380="")),   -1*Sheet1!L379,"")</f>
        <v/>
      </c>
    </row>
    <row r="380" spans="1:16" ht="15.75" x14ac:dyDescent="0.25">
      <c r="A380" s="456" t="str">
        <f>IF(AND(R380&lt;&gt;"",R379&lt;&gt;""),(-Sheet1!L380/Sheet1!L379)^(360/(R380-R379-1))-1,"")</f>
        <v/>
      </c>
      <c r="B380" s="41" t="str">
        <f ca="1">IF(AND(Sheet1!L380&lt;0, Sheet1!$C$21&gt;R380+1,OR(Sheet1!$C$21&lt;=R381,Sheet1!L381="")),   -1*Sheet1!L380,"")</f>
        <v/>
      </c>
      <c r="C380" s="42">
        <f ca="1">IF(Sheet3!$B$5="",0,    IF(E380&lt;1,0,  IF(B380="","",     IF(OR(Sheet3!$B$6=0,INDIRECT(ADDRESS(ROW(),Sheet3!$B$3+16))="" ),D380/E380,    IF(E380&lt;0,0,    IF(OR( INDIRECT(ADDRESS(8,Sheet3!$B$3+16))="",INDIRECT(ADDRESS(ROW(),Sheet3!$B$3+17))=""),        (INDIRECT(ADDRESS(ROW(),Sheet3!$B$3+16))+B380)*Sheet3!$Q$4,         INDIRECT(ADDRESS(ROW(),Sheet3!$B$3+17))-INDIRECT(ADDRESS(ROW(),Sheet3!$B$3+16))))))))</f>
        <v>0</v>
      </c>
      <c r="D380" s="39">
        <f ca="1">IF(Sheet3!$B$5="",0,IF(B380="","",IF(E380&lt;1,0,   IF(INDIRECT(ADDRESS(ROW(), Sheet3!$B$3+17))="",        INDIRECT(ADDRESS(ROW(), Sheet3!$B$3+16))*  (1+Sheet3!$Q$4)   +B380*Sheet3!$Q$4,       INDIRECT(ADDRESS(ROW(), Sheet3!$B$3+17))))))</f>
        <v>0</v>
      </c>
      <c r="E380" s="40">
        <f ca="1">IF(AND(Sheet1!L380&lt;0,  Sheet1!$C$21&gt;R380),    IF(OR(Sheet1!$C$21&lt;=R381,  Sheet1!L381=""),       IF(AND(MOD(NOW(),1)&lt;TIME(9,39,0),Sheet1!$C$22=TODAY()),    Sheet1!$C$21-R380,     Sheet1!$C$21-R380-1),               R381-R380-1),    0)</f>
        <v>0</v>
      </c>
      <c r="F380" s="30"/>
      <c r="G380" s="25" t="str">
        <f>IF(LEFT(Sheet1!K381,2)="0x",Sheet1!K380,IF(AND(Sheet1!L380="",Sheet1!L379=""),"",G379))</f>
        <v/>
      </c>
      <c r="H380" s="81"/>
      <c r="I380" s="43" t="str">
        <f t="shared" si="29"/>
        <v/>
      </c>
      <c r="J380" s="29" t="str">
        <f t="shared" si="28"/>
        <v/>
      </c>
      <c r="K380" s="24" t="str">
        <f>IF(Sheet1!L380="","",IF(Sheet1!L380&gt;0,ROW(),""))</f>
        <v/>
      </c>
      <c r="L380" s="24" t="str">
        <f t="shared" ca="1" si="26"/>
        <v/>
      </c>
      <c r="M380" s="47" t="str">
        <f t="shared" ca="1" si="27"/>
        <v/>
      </c>
      <c r="N380" s="48" t="str">
        <f>IF(LEFT(Sheet1!K380,2)="0x",Sheet1!K380,IF(AND(Sheet1!L380="",Sheet1!L379=""),"",N379))</f>
        <v/>
      </c>
      <c r="O380" s="46">
        <f>IF(Sheet1!L380="",0,IF(Sheet1!O380&lt;TIME(7,39,0)+Sheet1!$E$3/24,1,0))</f>
        <v>0</v>
      </c>
      <c r="P380" s="46" t="str">
        <f ca="1">IF(AND(Sheet1!L380&lt;0, Sheet1!$C$21&gt;R380,OR(Sheet1!$C$21&lt;=R381,Sheet1!L381="")),   -1*Sheet1!L380,"")</f>
        <v/>
      </c>
    </row>
    <row r="381" spans="1:16" ht="15.75" x14ac:dyDescent="0.25">
      <c r="A381" s="456" t="str">
        <f>IF(AND(R381&lt;&gt;"",R380&lt;&gt;""),(-Sheet1!L381/Sheet1!L380)^(360/(R381-R380-1))-1,"")</f>
        <v/>
      </c>
      <c r="B381" s="41" t="str">
        <f ca="1">IF(AND(Sheet1!L381&lt;0, Sheet1!$C$21&gt;R381+1,OR(Sheet1!$C$21&lt;=R382,Sheet1!L382="")),   -1*Sheet1!L381,"")</f>
        <v/>
      </c>
      <c r="C381" s="42">
        <f ca="1">IF(Sheet3!$B$5="",0,    IF(E381&lt;1,0,  IF(B381="","",     IF(OR(Sheet3!$B$6=0,INDIRECT(ADDRESS(ROW(),Sheet3!$B$3+16))="" ),D381/E381,    IF(E381&lt;0,0,    IF(OR( INDIRECT(ADDRESS(8,Sheet3!$B$3+16))="",INDIRECT(ADDRESS(ROW(),Sheet3!$B$3+17))=""),        (INDIRECT(ADDRESS(ROW(),Sheet3!$B$3+16))+B381)*Sheet3!$Q$4,         INDIRECT(ADDRESS(ROW(),Sheet3!$B$3+17))-INDIRECT(ADDRESS(ROW(),Sheet3!$B$3+16))))))))</f>
        <v>0</v>
      </c>
      <c r="D381" s="39">
        <f ca="1">IF(Sheet3!$B$5="",0,IF(B381="","",IF(E381&lt;1,0,   IF(INDIRECT(ADDRESS(ROW(), Sheet3!$B$3+17))="",        INDIRECT(ADDRESS(ROW(), Sheet3!$B$3+16))*  (1+Sheet3!$Q$4)   +B381*Sheet3!$Q$4,       INDIRECT(ADDRESS(ROW(), Sheet3!$B$3+17))))))</f>
        <v>0</v>
      </c>
      <c r="E381" s="40">
        <f ca="1">IF(AND(Sheet1!L381&lt;0,  Sheet1!$C$21&gt;R381),    IF(OR(Sheet1!$C$21&lt;=R382,  Sheet1!L382=""),       IF(AND(MOD(NOW(),1)&lt;TIME(9,39,0),Sheet1!$C$22=TODAY()),    Sheet1!$C$21-R381,     Sheet1!$C$21-R381-1),               R382-R381-1),    0)</f>
        <v>0</v>
      </c>
      <c r="F381" s="30"/>
      <c r="G381" s="25" t="str">
        <f>IF(LEFT(Sheet1!K382,2)="0x",Sheet1!K381,IF(AND(Sheet1!L381="",Sheet1!L380=""),"",G380))</f>
        <v/>
      </c>
      <c r="H381" s="81"/>
      <c r="I381" s="43" t="str">
        <f t="shared" si="29"/>
        <v/>
      </c>
      <c r="J381" s="29" t="str">
        <f t="shared" si="28"/>
        <v/>
      </c>
      <c r="K381" s="24" t="str">
        <f>IF(Sheet1!L381="","",IF(Sheet1!L381&gt;0,ROW(),""))</f>
        <v/>
      </c>
      <c r="L381" s="24" t="str">
        <f t="shared" ca="1" si="26"/>
        <v/>
      </c>
      <c r="M381" s="47" t="str">
        <f t="shared" ca="1" si="27"/>
        <v/>
      </c>
      <c r="N381" s="48" t="str">
        <f>IF(LEFT(Sheet1!K381,2)="0x",Sheet1!K381,IF(AND(Sheet1!L381="",Sheet1!L380=""),"",N380))</f>
        <v/>
      </c>
      <c r="O381" s="46">
        <f>IF(Sheet1!L381="",0,IF(Sheet1!O381&lt;TIME(7,39,0)+Sheet1!$E$3/24,1,0))</f>
        <v>0</v>
      </c>
      <c r="P381" s="46" t="str">
        <f ca="1">IF(AND(Sheet1!L381&lt;0, Sheet1!$C$21&gt;R381,OR(Sheet1!$C$21&lt;=R382,Sheet1!L382="")),   -1*Sheet1!L381,"")</f>
        <v/>
      </c>
    </row>
    <row r="382" spans="1:16" ht="15.75" x14ac:dyDescent="0.25">
      <c r="A382" s="456" t="str">
        <f>IF(AND(R382&lt;&gt;"",R381&lt;&gt;""),(-Sheet1!L382/Sheet1!L381)^(360/(R382-R381-1))-1,"")</f>
        <v/>
      </c>
      <c r="B382" s="41" t="str">
        <f ca="1">IF(AND(Sheet1!L382&lt;0, Sheet1!$C$21&gt;R382+1,OR(Sheet1!$C$21&lt;=R383,Sheet1!L383="")),   -1*Sheet1!L382,"")</f>
        <v/>
      </c>
      <c r="C382" s="42">
        <f ca="1">IF(Sheet3!$B$5="",0,    IF(E382&lt;1,0,  IF(B382="","",     IF(OR(Sheet3!$B$6=0,INDIRECT(ADDRESS(ROW(),Sheet3!$B$3+16))="" ),D382/E382,    IF(E382&lt;0,0,    IF(OR( INDIRECT(ADDRESS(8,Sheet3!$B$3+16))="",INDIRECT(ADDRESS(ROW(),Sheet3!$B$3+17))=""),        (INDIRECT(ADDRESS(ROW(),Sheet3!$B$3+16))+B382)*Sheet3!$Q$4,         INDIRECT(ADDRESS(ROW(),Sheet3!$B$3+17))-INDIRECT(ADDRESS(ROW(),Sheet3!$B$3+16))))))))</f>
        <v>0</v>
      </c>
      <c r="D382" s="39">
        <f ca="1">IF(Sheet3!$B$5="",0,IF(B382="","",IF(E382&lt;1,0,   IF(INDIRECT(ADDRESS(ROW(), Sheet3!$B$3+17))="",        INDIRECT(ADDRESS(ROW(), Sheet3!$B$3+16))*  (1+Sheet3!$Q$4)   +B382*Sheet3!$Q$4,       INDIRECT(ADDRESS(ROW(), Sheet3!$B$3+17))))))</f>
        <v>0</v>
      </c>
      <c r="E382" s="40">
        <f ca="1">IF(AND(Sheet1!L382&lt;0,  Sheet1!$C$21&gt;R382),    IF(OR(Sheet1!$C$21&lt;=R383,  Sheet1!L383=""),       IF(AND(MOD(NOW(),1)&lt;TIME(9,39,0),Sheet1!$C$22=TODAY()),    Sheet1!$C$21-R382,     Sheet1!$C$21-R382-1),               R383-R382-1),    0)</f>
        <v>0</v>
      </c>
      <c r="F382" s="30"/>
      <c r="G382" s="25" t="str">
        <f>IF(LEFT(Sheet1!K383,2)="0x",Sheet1!K382,IF(AND(Sheet1!L382="",Sheet1!L381=""),"",G381))</f>
        <v/>
      </c>
      <c r="H382" s="81"/>
      <c r="I382" s="43" t="str">
        <f t="shared" si="29"/>
        <v/>
      </c>
      <c r="J382" s="29" t="str">
        <f t="shared" si="28"/>
        <v/>
      </c>
      <c r="K382" s="24" t="str">
        <f>IF(Sheet1!L382="","",IF(Sheet1!L382&gt;0,ROW(),""))</f>
        <v/>
      </c>
      <c r="L382" s="24" t="str">
        <f t="shared" ca="1" si="26"/>
        <v/>
      </c>
      <c r="M382" s="47" t="str">
        <f t="shared" ca="1" si="27"/>
        <v/>
      </c>
      <c r="N382" s="48" t="str">
        <f>IF(LEFT(Sheet1!K382,2)="0x",Sheet1!K382,IF(AND(Sheet1!L382="",Sheet1!L381=""),"",N381))</f>
        <v/>
      </c>
      <c r="O382" s="46">
        <f>IF(Sheet1!L382="",0,IF(Sheet1!O382&lt;TIME(7,39,0)+Sheet1!$E$3/24,1,0))</f>
        <v>0</v>
      </c>
      <c r="P382" s="46" t="str">
        <f ca="1">IF(AND(Sheet1!L382&lt;0, Sheet1!$C$21&gt;R382,OR(Sheet1!$C$21&lt;=R383,Sheet1!L383="")),   -1*Sheet1!L382,"")</f>
        <v/>
      </c>
    </row>
    <row r="383" spans="1:16" ht="15.75" x14ac:dyDescent="0.25">
      <c r="A383" s="456" t="str">
        <f>IF(AND(R383&lt;&gt;"",R382&lt;&gt;""),(-Sheet1!L383/Sheet1!L382)^(360/(R383-R382-1))-1,"")</f>
        <v/>
      </c>
      <c r="B383" s="41" t="str">
        <f ca="1">IF(AND(Sheet1!L383&lt;0, Sheet1!$C$21&gt;R383+1,OR(Sheet1!$C$21&lt;=R384,Sheet1!L384="")),   -1*Sheet1!L383,"")</f>
        <v/>
      </c>
      <c r="C383" s="42">
        <f ca="1">IF(Sheet3!$B$5="",0,    IF(E383&lt;1,0,  IF(B383="","",     IF(OR(Sheet3!$B$6=0,INDIRECT(ADDRESS(ROW(),Sheet3!$B$3+16))="" ),D383/E383,    IF(E383&lt;0,0,    IF(OR( INDIRECT(ADDRESS(8,Sheet3!$B$3+16))="",INDIRECT(ADDRESS(ROW(),Sheet3!$B$3+17))=""),        (INDIRECT(ADDRESS(ROW(),Sheet3!$B$3+16))+B383)*Sheet3!$Q$4,         INDIRECT(ADDRESS(ROW(),Sheet3!$B$3+17))-INDIRECT(ADDRESS(ROW(),Sheet3!$B$3+16))))))))</f>
        <v>0</v>
      </c>
      <c r="D383" s="39">
        <f ca="1">IF(Sheet3!$B$5="",0,IF(B383="","",IF(E383&lt;1,0,   IF(INDIRECT(ADDRESS(ROW(), Sheet3!$B$3+17))="",        INDIRECT(ADDRESS(ROW(), Sheet3!$B$3+16))*  (1+Sheet3!$Q$4)   +B383*Sheet3!$Q$4,       INDIRECT(ADDRESS(ROW(), Sheet3!$B$3+17))))))</f>
        <v>0</v>
      </c>
      <c r="E383" s="40">
        <f ca="1">IF(AND(Sheet1!L383&lt;0,  Sheet1!$C$21&gt;R383),    IF(OR(Sheet1!$C$21&lt;=R384,  Sheet1!L384=""),       IF(AND(MOD(NOW(),1)&lt;TIME(9,39,0),Sheet1!$C$22=TODAY()),    Sheet1!$C$21-R383,     Sheet1!$C$21-R383-1),               R384-R383-1),    0)</f>
        <v>0</v>
      </c>
      <c r="F383" s="30"/>
      <c r="G383" s="25" t="str">
        <f>IF(LEFT(Sheet1!K384,2)="0x",Sheet1!K383,IF(AND(Sheet1!L383="",Sheet1!L382=""),"",G382))</f>
        <v/>
      </c>
      <c r="H383" s="81"/>
      <c r="I383" s="43" t="str">
        <f t="shared" si="29"/>
        <v/>
      </c>
      <c r="J383" s="29" t="str">
        <f t="shared" si="28"/>
        <v/>
      </c>
      <c r="K383" s="24" t="str">
        <f>IF(Sheet1!L383="","",IF(Sheet1!L383&gt;0,ROW(),""))</f>
        <v/>
      </c>
      <c r="L383" s="24" t="str">
        <f t="shared" ca="1" si="26"/>
        <v/>
      </c>
      <c r="M383" s="47" t="str">
        <f t="shared" ca="1" si="27"/>
        <v/>
      </c>
      <c r="N383" s="48" t="str">
        <f>IF(LEFT(Sheet1!K383,2)="0x",Sheet1!K383,IF(AND(Sheet1!L383="",Sheet1!L382=""),"",N382))</f>
        <v/>
      </c>
      <c r="O383" s="46">
        <f>IF(Sheet1!L383="",0,IF(Sheet1!O383&lt;TIME(7,39,0)+Sheet1!$E$3/24,1,0))</f>
        <v>0</v>
      </c>
      <c r="P383" s="46" t="str">
        <f ca="1">IF(AND(Sheet1!L383&lt;0, Sheet1!$C$21&gt;R383,OR(Sheet1!$C$21&lt;=R384,Sheet1!L384="")),   -1*Sheet1!L383,"")</f>
        <v/>
      </c>
    </row>
    <row r="384" spans="1:16" ht="15.75" x14ac:dyDescent="0.25">
      <c r="A384" s="456" t="str">
        <f>IF(AND(R384&lt;&gt;"",R383&lt;&gt;""),(-Sheet1!L384/Sheet1!L383)^(360/(R384-R383-1))-1,"")</f>
        <v/>
      </c>
      <c r="B384" s="41" t="str">
        <f ca="1">IF(AND(Sheet1!L384&lt;0, Sheet1!$C$21&gt;R384+1,OR(Sheet1!$C$21&lt;=R385,Sheet1!L385="")),   -1*Sheet1!L384,"")</f>
        <v/>
      </c>
      <c r="C384" s="42">
        <f ca="1">IF(Sheet3!$B$5="",0,    IF(E384&lt;1,0,  IF(B384="","",     IF(OR(Sheet3!$B$6=0,INDIRECT(ADDRESS(ROW(),Sheet3!$B$3+16))="" ),D384/E384,    IF(E384&lt;0,0,    IF(OR( INDIRECT(ADDRESS(8,Sheet3!$B$3+16))="",INDIRECT(ADDRESS(ROW(),Sheet3!$B$3+17))=""),        (INDIRECT(ADDRESS(ROW(),Sheet3!$B$3+16))+B384)*Sheet3!$Q$4,         INDIRECT(ADDRESS(ROW(),Sheet3!$B$3+17))-INDIRECT(ADDRESS(ROW(),Sheet3!$B$3+16))))))))</f>
        <v>0</v>
      </c>
      <c r="D384" s="39">
        <f ca="1">IF(Sheet3!$B$5="",0,IF(B384="","",IF(E384&lt;1,0,   IF(INDIRECT(ADDRESS(ROW(), Sheet3!$B$3+17))="",        INDIRECT(ADDRESS(ROW(), Sheet3!$B$3+16))*  (1+Sheet3!$Q$4)   +B384*Sheet3!$Q$4,       INDIRECT(ADDRESS(ROW(), Sheet3!$B$3+17))))))</f>
        <v>0</v>
      </c>
      <c r="E384" s="40">
        <f ca="1">IF(AND(Sheet1!L384&lt;0,  Sheet1!$C$21&gt;R384),    IF(OR(Sheet1!$C$21&lt;=R385,  Sheet1!L385=""),       IF(AND(MOD(NOW(),1)&lt;TIME(9,39,0),Sheet1!$C$22=TODAY()),    Sheet1!$C$21-R384,     Sheet1!$C$21-R384-1),               R385-R384-1),    0)</f>
        <v>0</v>
      </c>
      <c r="F384" s="30"/>
      <c r="G384" s="25" t="str">
        <f>IF(LEFT(Sheet1!K385,2)="0x",Sheet1!K384,IF(AND(Sheet1!L384="",Sheet1!L383=""),"",G383))</f>
        <v/>
      </c>
      <c r="H384" s="81"/>
      <c r="I384" s="43" t="str">
        <f t="shared" si="29"/>
        <v/>
      </c>
      <c r="J384" s="29" t="str">
        <f t="shared" si="28"/>
        <v/>
      </c>
      <c r="K384" s="24" t="str">
        <f>IF(Sheet1!L384="","",IF(Sheet1!L384&gt;0,ROW(),""))</f>
        <v/>
      </c>
      <c r="L384" s="24" t="str">
        <f t="shared" ca="1" si="26"/>
        <v/>
      </c>
      <c r="M384" s="47" t="str">
        <f t="shared" ca="1" si="27"/>
        <v/>
      </c>
      <c r="N384" s="48" t="str">
        <f>IF(LEFT(Sheet1!K384,2)="0x",Sheet1!K384,IF(AND(Sheet1!L384="",Sheet1!L383=""),"",N383))</f>
        <v/>
      </c>
      <c r="O384" s="46">
        <f>IF(Sheet1!L384="",0,IF(Sheet1!O384&lt;TIME(7,39,0)+Sheet1!$E$3/24,1,0))</f>
        <v>0</v>
      </c>
      <c r="P384" s="46" t="str">
        <f ca="1">IF(AND(Sheet1!L384&lt;0, Sheet1!$C$21&gt;R384,OR(Sheet1!$C$21&lt;=R385,Sheet1!L385="")),   -1*Sheet1!L384,"")</f>
        <v/>
      </c>
    </row>
    <row r="385" spans="1:16" ht="15.75" x14ac:dyDescent="0.25">
      <c r="A385" s="456" t="str">
        <f>IF(AND(R385&lt;&gt;"",R384&lt;&gt;""),(-Sheet1!L385/Sheet1!L384)^(360/(R385-R384-1))-1,"")</f>
        <v/>
      </c>
      <c r="B385" s="41" t="str">
        <f ca="1">IF(AND(Sheet1!L385&lt;0, Sheet1!$C$21&gt;R385+1,OR(Sheet1!$C$21&lt;=R386,Sheet1!L386="")),   -1*Sheet1!L385,"")</f>
        <v/>
      </c>
      <c r="C385" s="42">
        <f ca="1">IF(Sheet3!$B$5="",0,    IF(E385&lt;1,0,  IF(B385="","",     IF(OR(Sheet3!$B$6=0,INDIRECT(ADDRESS(ROW(),Sheet3!$B$3+16))="" ),D385/E385,    IF(E385&lt;0,0,    IF(OR( INDIRECT(ADDRESS(8,Sheet3!$B$3+16))="",INDIRECT(ADDRESS(ROW(),Sheet3!$B$3+17))=""),        (INDIRECT(ADDRESS(ROW(),Sheet3!$B$3+16))+B385)*Sheet3!$Q$4,         INDIRECT(ADDRESS(ROW(),Sheet3!$B$3+17))-INDIRECT(ADDRESS(ROW(),Sheet3!$B$3+16))))))))</f>
        <v>0</v>
      </c>
      <c r="D385" s="39">
        <f ca="1">IF(Sheet3!$B$5="",0,IF(B385="","",IF(E385&lt;1,0,   IF(INDIRECT(ADDRESS(ROW(), Sheet3!$B$3+17))="",        INDIRECT(ADDRESS(ROW(), Sheet3!$B$3+16))*  (1+Sheet3!$Q$4)   +B385*Sheet3!$Q$4,       INDIRECT(ADDRESS(ROW(), Sheet3!$B$3+17))))))</f>
        <v>0</v>
      </c>
      <c r="E385" s="40">
        <f ca="1">IF(AND(Sheet1!L385&lt;0,  Sheet1!$C$21&gt;R385),    IF(OR(Sheet1!$C$21&lt;=R386,  Sheet1!L386=""),       IF(AND(MOD(NOW(),1)&lt;TIME(9,39,0),Sheet1!$C$22=TODAY()),    Sheet1!$C$21-R385,     Sheet1!$C$21-R385-1),               R386-R385-1),    0)</f>
        <v>0</v>
      </c>
      <c r="F385" s="30"/>
      <c r="G385" s="25" t="str">
        <f>IF(LEFT(Sheet1!K386,2)="0x",Sheet1!K385,IF(AND(Sheet1!L385="",Sheet1!L384=""),"",G384))</f>
        <v/>
      </c>
      <c r="H385" s="81"/>
      <c r="I385" s="43" t="str">
        <f t="shared" si="29"/>
        <v/>
      </c>
      <c r="J385" s="29" t="str">
        <f t="shared" si="28"/>
        <v/>
      </c>
      <c r="K385" s="24" t="str">
        <f>IF(Sheet1!L385="","",IF(Sheet1!L385&gt;0,ROW(),""))</f>
        <v/>
      </c>
      <c r="L385" s="24" t="str">
        <f t="shared" ca="1" si="26"/>
        <v/>
      </c>
      <c r="M385" s="47" t="str">
        <f t="shared" ca="1" si="27"/>
        <v/>
      </c>
      <c r="N385" s="48" t="str">
        <f>IF(LEFT(Sheet1!K385,2)="0x",Sheet1!K385,IF(AND(Sheet1!L385="",Sheet1!L384=""),"",N384))</f>
        <v/>
      </c>
      <c r="O385" s="46">
        <f>IF(Sheet1!L385="",0,IF(Sheet1!O385&lt;TIME(7,39,0)+Sheet1!$E$3/24,1,0))</f>
        <v>0</v>
      </c>
      <c r="P385" s="46" t="str">
        <f ca="1">IF(AND(Sheet1!L385&lt;0, Sheet1!$C$21&gt;R385,OR(Sheet1!$C$21&lt;=R386,Sheet1!L386="")),   -1*Sheet1!L385,"")</f>
        <v/>
      </c>
    </row>
    <row r="386" spans="1:16" ht="15.75" x14ac:dyDescent="0.25">
      <c r="A386" s="456" t="str">
        <f>IF(AND(R386&lt;&gt;"",R385&lt;&gt;""),(-Sheet1!L386/Sheet1!L385)^(360/(R386-R385-1))-1,"")</f>
        <v/>
      </c>
      <c r="B386" s="41" t="str">
        <f ca="1">IF(AND(Sheet1!L386&lt;0, Sheet1!$C$21&gt;R386+1,OR(Sheet1!$C$21&lt;=R387,Sheet1!L387="")),   -1*Sheet1!L386,"")</f>
        <v/>
      </c>
      <c r="C386" s="42">
        <f ca="1">IF(Sheet3!$B$5="",0,    IF(E386&lt;1,0,  IF(B386="","",     IF(OR(Sheet3!$B$6=0,INDIRECT(ADDRESS(ROW(),Sheet3!$B$3+16))="" ),D386/E386,    IF(E386&lt;0,0,    IF(OR( INDIRECT(ADDRESS(8,Sheet3!$B$3+16))="",INDIRECT(ADDRESS(ROW(),Sheet3!$B$3+17))=""),        (INDIRECT(ADDRESS(ROW(),Sheet3!$B$3+16))+B386)*Sheet3!$Q$4,         INDIRECT(ADDRESS(ROW(),Sheet3!$B$3+17))-INDIRECT(ADDRESS(ROW(),Sheet3!$B$3+16))))))))</f>
        <v>0</v>
      </c>
      <c r="D386" s="39">
        <f ca="1">IF(Sheet3!$B$5="",0,IF(B386="","",IF(E386&lt;1,0,   IF(INDIRECT(ADDRESS(ROW(), Sheet3!$B$3+17))="",        INDIRECT(ADDRESS(ROW(), Sheet3!$B$3+16))*  (1+Sheet3!$Q$4)   +B386*Sheet3!$Q$4,       INDIRECT(ADDRESS(ROW(), Sheet3!$B$3+17))))))</f>
        <v>0</v>
      </c>
      <c r="E386" s="40">
        <f ca="1">IF(AND(Sheet1!L386&lt;0,  Sheet1!$C$21&gt;R386),    IF(OR(Sheet1!$C$21&lt;=R387,  Sheet1!L387=""),       IF(AND(MOD(NOW(),1)&lt;TIME(9,39,0),Sheet1!$C$22=TODAY()),    Sheet1!$C$21-R386,     Sheet1!$C$21-R386-1),               R387-R386-1),    0)</f>
        <v>0</v>
      </c>
      <c r="F386" s="30"/>
      <c r="G386" s="25" t="str">
        <f>IF(LEFT(Sheet1!K387,2)="0x",Sheet1!K386,IF(AND(Sheet1!L386="",Sheet1!L385=""),"",G385))</f>
        <v/>
      </c>
      <c r="H386" s="81"/>
      <c r="I386" s="43" t="str">
        <f t="shared" si="29"/>
        <v/>
      </c>
      <c r="J386" s="29" t="str">
        <f t="shared" si="28"/>
        <v/>
      </c>
      <c r="K386" s="24" t="str">
        <f>IF(Sheet1!L386="","",IF(Sheet1!L386&gt;0,ROW(),""))</f>
        <v/>
      </c>
      <c r="L386" s="24" t="str">
        <f t="shared" ca="1" si="26"/>
        <v/>
      </c>
      <c r="M386" s="47" t="str">
        <f t="shared" ca="1" si="27"/>
        <v/>
      </c>
      <c r="N386" s="48" t="str">
        <f>IF(LEFT(Sheet1!K386,2)="0x",Sheet1!K386,IF(AND(Sheet1!L386="",Sheet1!L385=""),"",N385))</f>
        <v/>
      </c>
      <c r="O386" s="46">
        <f>IF(Sheet1!L386="",0,IF(Sheet1!O386&lt;TIME(7,39,0)+Sheet1!$E$3/24,1,0))</f>
        <v>0</v>
      </c>
      <c r="P386" s="46" t="str">
        <f ca="1">IF(AND(Sheet1!L386&lt;0, Sheet1!$C$21&gt;R386,OR(Sheet1!$C$21&lt;=R387,Sheet1!L387="")),   -1*Sheet1!L386,"")</f>
        <v/>
      </c>
    </row>
    <row r="387" spans="1:16" ht="15.75" x14ac:dyDescent="0.25">
      <c r="A387" s="456" t="str">
        <f>IF(AND(R387&lt;&gt;"",R386&lt;&gt;""),(-Sheet1!L387/Sheet1!L386)^(360/(R387-R386-1))-1,"")</f>
        <v/>
      </c>
      <c r="B387" s="41" t="str">
        <f ca="1">IF(AND(Sheet1!L387&lt;0, Sheet1!$C$21&gt;R387+1,OR(Sheet1!$C$21&lt;=R388,Sheet1!L388="")),   -1*Sheet1!L387,"")</f>
        <v/>
      </c>
      <c r="C387" s="42">
        <f ca="1">IF(Sheet3!$B$5="",0,    IF(E387&lt;1,0,  IF(B387="","",     IF(OR(Sheet3!$B$6=0,INDIRECT(ADDRESS(ROW(),Sheet3!$B$3+16))="" ),D387/E387,    IF(E387&lt;0,0,    IF(OR( INDIRECT(ADDRESS(8,Sheet3!$B$3+16))="",INDIRECT(ADDRESS(ROW(),Sheet3!$B$3+17))=""),        (INDIRECT(ADDRESS(ROW(),Sheet3!$B$3+16))+B387)*Sheet3!$Q$4,         INDIRECT(ADDRESS(ROW(),Sheet3!$B$3+17))-INDIRECT(ADDRESS(ROW(),Sheet3!$B$3+16))))))))</f>
        <v>0</v>
      </c>
      <c r="D387" s="39">
        <f ca="1">IF(Sheet3!$B$5="",0,IF(B387="","",IF(E387&lt;1,0,   IF(INDIRECT(ADDRESS(ROW(), Sheet3!$B$3+17))="",        INDIRECT(ADDRESS(ROW(), Sheet3!$B$3+16))*  (1+Sheet3!$Q$4)   +B387*Sheet3!$Q$4,       INDIRECT(ADDRESS(ROW(), Sheet3!$B$3+17))))))</f>
        <v>0</v>
      </c>
      <c r="E387" s="40">
        <f ca="1">IF(AND(Sheet1!L387&lt;0,  Sheet1!$C$21&gt;R387),    IF(OR(Sheet1!$C$21&lt;=R388,  Sheet1!L388=""),       IF(AND(MOD(NOW(),1)&lt;TIME(9,39,0),Sheet1!$C$22=TODAY()),    Sheet1!$C$21-R387,     Sheet1!$C$21-R387-1),               R388-R387-1),    0)</f>
        <v>0</v>
      </c>
      <c r="F387" s="30"/>
      <c r="G387" s="25" t="str">
        <f>IF(LEFT(Sheet1!K388,2)="0x",Sheet1!K387,IF(AND(Sheet1!L387="",Sheet1!L386=""),"",G386))</f>
        <v/>
      </c>
      <c r="H387" s="81"/>
      <c r="I387" s="43" t="str">
        <f t="shared" si="29"/>
        <v/>
      </c>
      <c r="J387" s="29" t="str">
        <f t="shared" si="28"/>
        <v/>
      </c>
      <c r="K387" s="24" t="str">
        <f>IF(Sheet1!L387="","",IF(Sheet1!L387&gt;0,ROW(),""))</f>
        <v/>
      </c>
      <c r="L387" s="24" t="str">
        <f t="shared" ca="1" si="26"/>
        <v/>
      </c>
      <c r="M387" s="47" t="str">
        <f t="shared" ca="1" si="27"/>
        <v/>
      </c>
      <c r="N387" s="48" t="str">
        <f>IF(LEFT(Sheet1!K387,2)="0x",Sheet1!K387,IF(AND(Sheet1!L387="",Sheet1!L386=""),"",N386))</f>
        <v/>
      </c>
      <c r="O387" s="46">
        <f>IF(Sheet1!L387="",0,IF(Sheet1!O387&lt;TIME(7,39,0)+Sheet1!$E$3/24,1,0))</f>
        <v>0</v>
      </c>
      <c r="P387" s="46" t="str">
        <f ca="1">IF(AND(Sheet1!L387&lt;0, Sheet1!$C$21&gt;R387,OR(Sheet1!$C$21&lt;=R388,Sheet1!L388="")),   -1*Sheet1!L387,"")</f>
        <v/>
      </c>
    </row>
    <row r="388" spans="1:16" ht="15.75" x14ac:dyDescent="0.25">
      <c r="A388" s="456" t="str">
        <f>IF(AND(R388&lt;&gt;"",R387&lt;&gt;""),(-Sheet1!L388/Sheet1!L387)^(360/(R388-R387-1))-1,"")</f>
        <v/>
      </c>
      <c r="B388" s="41" t="str">
        <f ca="1">IF(AND(Sheet1!L388&lt;0, Sheet1!$C$21&gt;R388+1,OR(Sheet1!$C$21&lt;=R389,Sheet1!L389="")),   -1*Sheet1!L388,"")</f>
        <v/>
      </c>
      <c r="C388" s="42">
        <f ca="1">IF(Sheet3!$B$5="",0,    IF(E388&lt;1,0,  IF(B388="","",     IF(OR(Sheet3!$B$6=0,INDIRECT(ADDRESS(ROW(),Sheet3!$B$3+16))="" ),D388/E388,    IF(E388&lt;0,0,    IF(OR( INDIRECT(ADDRESS(8,Sheet3!$B$3+16))="",INDIRECT(ADDRESS(ROW(),Sheet3!$B$3+17))=""),        (INDIRECT(ADDRESS(ROW(),Sheet3!$B$3+16))+B388)*Sheet3!$Q$4,         INDIRECT(ADDRESS(ROW(),Sheet3!$B$3+17))-INDIRECT(ADDRESS(ROW(),Sheet3!$B$3+16))))))))</f>
        <v>0</v>
      </c>
      <c r="D388" s="39">
        <f ca="1">IF(Sheet3!$B$5="",0,IF(B388="","",IF(E388&lt;1,0,   IF(INDIRECT(ADDRESS(ROW(), Sheet3!$B$3+17))="",        INDIRECT(ADDRESS(ROW(), Sheet3!$B$3+16))*  (1+Sheet3!$Q$4)   +B388*Sheet3!$Q$4,       INDIRECT(ADDRESS(ROW(), Sheet3!$B$3+17))))))</f>
        <v>0</v>
      </c>
      <c r="E388" s="40">
        <f ca="1">IF(AND(Sheet1!L388&lt;0,  Sheet1!$C$21&gt;R388),    IF(OR(Sheet1!$C$21&lt;=R389,  Sheet1!L389=""),       IF(AND(MOD(NOW(),1)&lt;TIME(9,39,0),Sheet1!$C$22=TODAY()),    Sheet1!$C$21-R388,     Sheet1!$C$21-R388-1),               R389-R388-1),    0)</f>
        <v>0</v>
      </c>
      <c r="F388" s="30"/>
      <c r="G388" s="25" t="str">
        <f>IF(LEFT(Sheet1!K389,2)="0x",Sheet1!K388,IF(AND(Sheet1!L388="",Sheet1!L387=""),"",G387))</f>
        <v/>
      </c>
      <c r="H388" s="81"/>
      <c r="I388" s="43" t="str">
        <f t="shared" si="29"/>
        <v/>
      </c>
      <c r="J388" s="29" t="str">
        <f t="shared" si="28"/>
        <v/>
      </c>
      <c r="K388" s="24" t="str">
        <f>IF(Sheet1!L388="","",IF(Sheet1!L388&gt;0,ROW(),""))</f>
        <v/>
      </c>
      <c r="L388" s="24" t="str">
        <f t="shared" ca="1" si="26"/>
        <v/>
      </c>
      <c r="M388" s="47" t="str">
        <f t="shared" ca="1" si="27"/>
        <v/>
      </c>
      <c r="N388" s="48" t="str">
        <f>IF(LEFT(Sheet1!K388,2)="0x",Sheet1!K388,IF(AND(Sheet1!L388="",Sheet1!L387=""),"",N387))</f>
        <v/>
      </c>
      <c r="O388" s="46">
        <f>IF(Sheet1!L388="",0,IF(Sheet1!O388&lt;TIME(7,39,0)+Sheet1!$E$3/24,1,0))</f>
        <v>0</v>
      </c>
      <c r="P388" s="46" t="str">
        <f ca="1">IF(AND(Sheet1!L388&lt;0, Sheet1!$C$21&gt;R388,OR(Sheet1!$C$21&lt;=R389,Sheet1!L389="")),   -1*Sheet1!L388,"")</f>
        <v/>
      </c>
    </row>
    <row r="389" spans="1:16" ht="15.75" x14ac:dyDescent="0.25">
      <c r="A389" s="456" t="str">
        <f>IF(AND(R389&lt;&gt;"",R388&lt;&gt;""),(-Sheet1!L389/Sheet1!L388)^(360/(R389-R388-1))-1,"")</f>
        <v/>
      </c>
      <c r="B389" s="41" t="str">
        <f ca="1">IF(AND(Sheet1!L389&lt;0, Sheet1!$C$21&gt;R389+1,OR(Sheet1!$C$21&lt;=R390,Sheet1!L390="")),   -1*Sheet1!L389,"")</f>
        <v/>
      </c>
      <c r="C389" s="42">
        <f ca="1">IF(Sheet3!$B$5="",0,    IF(E389&lt;1,0,  IF(B389="","",     IF(OR(Sheet3!$B$6=0,INDIRECT(ADDRESS(ROW(),Sheet3!$B$3+16))="" ),D389/E389,    IF(E389&lt;0,0,    IF(OR( INDIRECT(ADDRESS(8,Sheet3!$B$3+16))="",INDIRECT(ADDRESS(ROW(),Sheet3!$B$3+17))=""),        (INDIRECT(ADDRESS(ROW(),Sheet3!$B$3+16))+B389)*Sheet3!$Q$4,         INDIRECT(ADDRESS(ROW(),Sheet3!$B$3+17))-INDIRECT(ADDRESS(ROW(),Sheet3!$B$3+16))))))))</f>
        <v>0</v>
      </c>
      <c r="D389" s="39">
        <f ca="1">IF(Sheet3!$B$5="",0,IF(B389="","",IF(E389&lt;1,0,   IF(INDIRECT(ADDRESS(ROW(), Sheet3!$B$3+17))="",        INDIRECT(ADDRESS(ROW(), Sheet3!$B$3+16))*  (1+Sheet3!$Q$4)   +B389*Sheet3!$Q$4,       INDIRECT(ADDRESS(ROW(), Sheet3!$B$3+17))))))</f>
        <v>0</v>
      </c>
      <c r="E389" s="40">
        <f ca="1">IF(AND(Sheet1!L389&lt;0,  Sheet1!$C$21&gt;R389),    IF(OR(Sheet1!$C$21&lt;=R390,  Sheet1!L390=""),       IF(AND(MOD(NOW(),1)&lt;TIME(9,39,0),Sheet1!$C$22=TODAY()),    Sheet1!$C$21-R389,     Sheet1!$C$21-R389-1),               R390-R389-1),    0)</f>
        <v>0</v>
      </c>
      <c r="F389" s="30"/>
      <c r="G389" s="25" t="str">
        <f>IF(LEFT(Sheet1!K390,2)="0x",Sheet1!K389,IF(AND(Sheet1!L389="",Sheet1!L388=""),"",G388))</f>
        <v/>
      </c>
      <c r="H389" s="81"/>
      <c r="I389" s="43" t="str">
        <f t="shared" si="29"/>
        <v/>
      </c>
      <c r="J389" s="29" t="str">
        <f t="shared" si="28"/>
        <v/>
      </c>
      <c r="K389" s="24" t="str">
        <f>IF(Sheet1!L389="","",IF(Sheet1!L389&gt;0,ROW(),""))</f>
        <v/>
      </c>
      <c r="L389" s="24" t="str">
        <f t="shared" ca="1" si="26"/>
        <v/>
      </c>
      <c r="M389" s="47" t="str">
        <f t="shared" ca="1" si="27"/>
        <v/>
      </c>
      <c r="N389" s="48" t="str">
        <f>IF(LEFT(Sheet1!K389,2)="0x",Sheet1!K389,IF(AND(Sheet1!L389="",Sheet1!L388=""),"",N388))</f>
        <v/>
      </c>
      <c r="O389" s="46">
        <f>IF(Sheet1!L389="",0,IF(Sheet1!O389&lt;TIME(7,39,0)+Sheet1!$E$3/24,1,0))</f>
        <v>0</v>
      </c>
      <c r="P389" s="46" t="str">
        <f ca="1">IF(AND(Sheet1!L389&lt;0, Sheet1!$C$21&gt;R389,OR(Sheet1!$C$21&lt;=R390,Sheet1!L390="")),   -1*Sheet1!L389,"")</f>
        <v/>
      </c>
    </row>
    <row r="390" spans="1:16" ht="15.75" x14ac:dyDescent="0.25">
      <c r="A390" s="456" t="str">
        <f>IF(AND(R390&lt;&gt;"",R389&lt;&gt;""),(-Sheet1!L390/Sheet1!L389)^(360/(R390-R389-1))-1,"")</f>
        <v/>
      </c>
      <c r="B390" s="41" t="str">
        <f ca="1">IF(AND(Sheet1!L390&lt;0, Sheet1!$C$21&gt;R390+1,OR(Sheet1!$C$21&lt;=R391,Sheet1!L391="")),   -1*Sheet1!L390,"")</f>
        <v/>
      </c>
      <c r="C390" s="42">
        <f ca="1">IF(Sheet3!$B$5="",0,    IF(E390&lt;1,0,  IF(B390="","",     IF(OR(Sheet3!$B$6=0,INDIRECT(ADDRESS(ROW(),Sheet3!$B$3+16))="" ),D390/E390,    IF(E390&lt;0,0,    IF(OR( INDIRECT(ADDRESS(8,Sheet3!$B$3+16))="",INDIRECT(ADDRESS(ROW(),Sheet3!$B$3+17))=""),        (INDIRECT(ADDRESS(ROW(),Sheet3!$B$3+16))+B390)*Sheet3!$Q$4,         INDIRECT(ADDRESS(ROW(),Sheet3!$B$3+17))-INDIRECT(ADDRESS(ROW(),Sheet3!$B$3+16))))))))</f>
        <v>0</v>
      </c>
      <c r="D390" s="39">
        <f ca="1">IF(Sheet3!$B$5="",0,IF(B390="","",IF(E390&lt;1,0,   IF(INDIRECT(ADDRESS(ROW(), Sheet3!$B$3+17))="",        INDIRECT(ADDRESS(ROW(), Sheet3!$B$3+16))*  (1+Sheet3!$Q$4)   +B390*Sheet3!$Q$4,       INDIRECT(ADDRESS(ROW(), Sheet3!$B$3+17))))))</f>
        <v>0</v>
      </c>
      <c r="E390" s="40">
        <f ca="1">IF(AND(Sheet1!L390&lt;0,  Sheet1!$C$21&gt;R390),    IF(OR(Sheet1!$C$21&lt;=R391,  Sheet1!L391=""),       IF(AND(MOD(NOW(),1)&lt;TIME(9,39,0),Sheet1!$C$22=TODAY()),    Sheet1!$C$21-R390,     Sheet1!$C$21-R390-1),               R391-R390-1),    0)</f>
        <v>0</v>
      </c>
      <c r="F390" s="30"/>
      <c r="G390" s="25" t="str">
        <f>IF(LEFT(Sheet1!K391,2)="0x",Sheet1!K390,IF(AND(Sheet1!L390="",Sheet1!L389=""),"",G389))</f>
        <v/>
      </c>
      <c r="H390" s="81"/>
      <c r="I390" s="43" t="str">
        <f t="shared" si="29"/>
        <v/>
      </c>
      <c r="J390" s="29" t="str">
        <f t="shared" si="28"/>
        <v/>
      </c>
      <c r="K390" s="24" t="str">
        <f>IF(Sheet1!L390="","",IF(Sheet1!L390&gt;0,ROW(),""))</f>
        <v/>
      </c>
      <c r="L390" s="24" t="str">
        <f t="shared" ca="1" si="26"/>
        <v/>
      </c>
      <c r="M390" s="47" t="str">
        <f t="shared" ca="1" si="27"/>
        <v/>
      </c>
      <c r="N390" s="48" t="str">
        <f>IF(LEFT(Sheet1!K390,2)="0x",Sheet1!K390,IF(AND(Sheet1!L390="",Sheet1!L389=""),"",N389))</f>
        <v/>
      </c>
      <c r="O390" s="46">
        <f>IF(Sheet1!L390="",0,IF(Sheet1!O390&lt;TIME(7,39,0)+Sheet1!$E$3/24,1,0))</f>
        <v>0</v>
      </c>
      <c r="P390" s="46" t="str">
        <f ca="1">IF(AND(Sheet1!L390&lt;0, Sheet1!$C$21&gt;R390,OR(Sheet1!$C$21&lt;=R391,Sheet1!L391="")),   -1*Sheet1!L390,"")</f>
        <v/>
      </c>
    </row>
    <row r="391" spans="1:16" ht="15.75" x14ac:dyDescent="0.25">
      <c r="A391" s="456" t="str">
        <f>IF(AND(R391&lt;&gt;"",R390&lt;&gt;""),(-Sheet1!L391/Sheet1!L390)^(360/(R391-R390-1))-1,"")</f>
        <v/>
      </c>
      <c r="B391" s="41" t="str">
        <f ca="1">IF(AND(Sheet1!L391&lt;0, Sheet1!$C$21&gt;R391+1,OR(Sheet1!$C$21&lt;=R392,Sheet1!L392="")),   -1*Sheet1!L391,"")</f>
        <v/>
      </c>
      <c r="C391" s="42">
        <f ca="1">IF(Sheet3!$B$5="",0,    IF(E391&lt;1,0,  IF(B391="","",     IF(OR(Sheet3!$B$6=0,INDIRECT(ADDRESS(ROW(),Sheet3!$B$3+16))="" ),D391/E391,    IF(E391&lt;0,0,    IF(OR( INDIRECT(ADDRESS(8,Sheet3!$B$3+16))="",INDIRECT(ADDRESS(ROW(),Sheet3!$B$3+17))=""),        (INDIRECT(ADDRESS(ROW(),Sheet3!$B$3+16))+B391)*Sheet3!$Q$4,         INDIRECT(ADDRESS(ROW(),Sheet3!$B$3+17))-INDIRECT(ADDRESS(ROW(),Sheet3!$B$3+16))))))))</f>
        <v>0</v>
      </c>
      <c r="D391" s="39">
        <f ca="1">IF(Sheet3!$B$5="",0,IF(B391="","",IF(E391&lt;1,0,   IF(INDIRECT(ADDRESS(ROW(), Sheet3!$B$3+17))="",        INDIRECT(ADDRESS(ROW(), Sheet3!$B$3+16))*  (1+Sheet3!$Q$4)   +B391*Sheet3!$Q$4,       INDIRECT(ADDRESS(ROW(), Sheet3!$B$3+17))))))</f>
        <v>0</v>
      </c>
      <c r="E391" s="40">
        <f ca="1">IF(AND(Sheet1!L391&lt;0,  Sheet1!$C$21&gt;R391),    IF(OR(Sheet1!$C$21&lt;=R392,  Sheet1!L392=""),       IF(AND(MOD(NOW(),1)&lt;TIME(9,39,0),Sheet1!$C$22=TODAY()),    Sheet1!$C$21-R391,     Sheet1!$C$21-R391-1),               R392-R391-1),    0)</f>
        <v>0</v>
      </c>
      <c r="F391" s="30"/>
      <c r="G391" s="25" t="str">
        <f>IF(LEFT(Sheet1!K392,2)="0x",Sheet1!K391,IF(AND(Sheet1!L391="",Sheet1!L390=""),"",G390))</f>
        <v/>
      </c>
      <c r="H391" s="81"/>
      <c r="I391" s="43" t="str">
        <f t="shared" si="29"/>
        <v/>
      </c>
      <c r="J391" s="29" t="str">
        <f t="shared" si="28"/>
        <v/>
      </c>
      <c r="K391" s="24" t="str">
        <f>IF(Sheet1!L391="","",IF(Sheet1!L391&gt;0,ROW(),""))</f>
        <v/>
      </c>
      <c r="L391" s="24" t="str">
        <f t="shared" ca="1" si="26"/>
        <v/>
      </c>
      <c r="M391" s="47" t="str">
        <f t="shared" ca="1" si="27"/>
        <v/>
      </c>
      <c r="N391" s="48" t="str">
        <f>IF(LEFT(Sheet1!K391,2)="0x",Sheet1!K391,IF(AND(Sheet1!L391="",Sheet1!L390=""),"",N390))</f>
        <v/>
      </c>
      <c r="O391" s="46">
        <f>IF(Sheet1!L391="",0,IF(Sheet1!O391&lt;TIME(7,39,0)+Sheet1!$E$3/24,1,0))</f>
        <v>0</v>
      </c>
      <c r="P391" s="46" t="str">
        <f ca="1">IF(AND(Sheet1!L391&lt;0, Sheet1!$C$21&gt;R391,OR(Sheet1!$C$21&lt;=R392,Sheet1!L392="")),   -1*Sheet1!L391,"")</f>
        <v/>
      </c>
    </row>
    <row r="392" spans="1:16" ht="15.75" x14ac:dyDescent="0.25">
      <c r="A392" s="456" t="str">
        <f>IF(AND(R392&lt;&gt;"",R391&lt;&gt;""),(-Sheet1!L392/Sheet1!L391)^(360/(R392-R391-1))-1,"")</f>
        <v/>
      </c>
      <c r="B392" s="41" t="str">
        <f ca="1">IF(AND(Sheet1!L392&lt;0, Sheet1!$C$21&gt;R392+1,OR(Sheet1!$C$21&lt;=R393,Sheet1!L393="")),   -1*Sheet1!L392,"")</f>
        <v/>
      </c>
      <c r="C392" s="42">
        <f ca="1">IF(Sheet3!$B$5="",0,    IF(E392&lt;1,0,  IF(B392="","",     IF(OR(Sheet3!$B$6=0,INDIRECT(ADDRESS(ROW(),Sheet3!$B$3+16))="" ),D392/E392,    IF(E392&lt;0,0,    IF(OR( INDIRECT(ADDRESS(8,Sheet3!$B$3+16))="",INDIRECT(ADDRESS(ROW(),Sheet3!$B$3+17))=""),        (INDIRECT(ADDRESS(ROW(),Sheet3!$B$3+16))+B392)*Sheet3!$Q$4,         INDIRECT(ADDRESS(ROW(),Sheet3!$B$3+17))-INDIRECT(ADDRESS(ROW(),Sheet3!$B$3+16))))))))</f>
        <v>0</v>
      </c>
      <c r="D392" s="39">
        <f ca="1">IF(Sheet3!$B$5="",0,IF(B392="","",IF(E392&lt;1,0,   IF(INDIRECT(ADDRESS(ROW(), Sheet3!$B$3+17))="",        INDIRECT(ADDRESS(ROW(), Sheet3!$B$3+16))*  (1+Sheet3!$Q$4)   +B392*Sheet3!$Q$4,       INDIRECT(ADDRESS(ROW(), Sheet3!$B$3+17))))))</f>
        <v>0</v>
      </c>
      <c r="E392" s="40">
        <f ca="1">IF(AND(Sheet1!L392&lt;0,  Sheet1!$C$21&gt;R392),    IF(OR(Sheet1!$C$21&lt;=R393,  Sheet1!L393=""),       IF(AND(MOD(NOW(),1)&lt;TIME(9,39,0),Sheet1!$C$22=TODAY()),    Sheet1!$C$21-R392,     Sheet1!$C$21-R392-1),               R393-R392-1),    0)</f>
        <v>0</v>
      </c>
      <c r="F392" s="30"/>
      <c r="G392" s="25" t="str">
        <f>IF(LEFT(Sheet1!K393,2)="0x",Sheet1!K392,IF(AND(Sheet1!L392="",Sheet1!L391=""),"",G391))</f>
        <v/>
      </c>
      <c r="H392" s="81"/>
      <c r="I392" s="43" t="str">
        <f t="shared" si="29"/>
        <v/>
      </c>
      <c r="J392" s="29" t="str">
        <f t="shared" si="28"/>
        <v/>
      </c>
      <c r="K392" s="24" t="str">
        <f>IF(Sheet1!L392="","",IF(Sheet1!L392&gt;0,ROW(),""))</f>
        <v/>
      </c>
      <c r="L392" s="24" t="str">
        <f t="shared" ca="1" si="26"/>
        <v/>
      </c>
      <c r="M392" s="47" t="str">
        <f t="shared" ca="1" si="27"/>
        <v/>
      </c>
      <c r="N392" s="48" t="str">
        <f>IF(LEFT(Sheet1!K392,2)="0x",Sheet1!K392,IF(AND(Sheet1!L392="",Sheet1!L391=""),"",N391))</f>
        <v/>
      </c>
      <c r="O392" s="46">
        <f>IF(Sheet1!L392="",0,IF(Sheet1!O392&lt;TIME(7,39,0)+Sheet1!$E$3/24,1,0))</f>
        <v>0</v>
      </c>
      <c r="P392" s="46" t="str">
        <f ca="1">IF(AND(Sheet1!L392&lt;0, Sheet1!$C$21&gt;R392,OR(Sheet1!$C$21&lt;=R393,Sheet1!L393="")),   -1*Sheet1!L392,"")</f>
        <v/>
      </c>
    </row>
    <row r="393" spans="1:16" ht="15.75" x14ac:dyDescent="0.25">
      <c r="A393" s="456" t="str">
        <f>IF(AND(R393&lt;&gt;"",R392&lt;&gt;""),(-Sheet1!L393/Sheet1!L392)^(360/(R393-R392-1))-1,"")</f>
        <v/>
      </c>
      <c r="B393" s="41" t="str">
        <f ca="1">IF(AND(Sheet1!L393&lt;0, Sheet1!$C$21&gt;R393+1,OR(Sheet1!$C$21&lt;=R394,Sheet1!L394="")),   -1*Sheet1!L393,"")</f>
        <v/>
      </c>
      <c r="C393" s="42">
        <f ca="1">IF(Sheet3!$B$5="",0,    IF(E393&lt;1,0,  IF(B393="","",     IF(OR(Sheet3!$B$6=0,INDIRECT(ADDRESS(ROW(),Sheet3!$B$3+16))="" ),D393/E393,    IF(E393&lt;0,0,    IF(OR( INDIRECT(ADDRESS(8,Sheet3!$B$3+16))="",INDIRECT(ADDRESS(ROW(),Sheet3!$B$3+17))=""),        (INDIRECT(ADDRESS(ROW(),Sheet3!$B$3+16))+B393)*Sheet3!$Q$4,         INDIRECT(ADDRESS(ROW(),Sheet3!$B$3+17))-INDIRECT(ADDRESS(ROW(),Sheet3!$B$3+16))))))))</f>
        <v>0</v>
      </c>
      <c r="D393" s="39">
        <f ca="1">IF(Sheet3!$B$5="",0,IF(B393="","",IF(E393&lt;1,0,   IF(INDIRECT(ADDRESS(ROW(), Sheet3!$B$3+17))="",        INDIRECT(ADDRESS(ROW(), Sheet3!$B$3+16))*  (1+Sheet3!$Q$4)   +B393*Sheet3!$Q$4,       INDIRECT(ADDRESS(ROW(), Sheet3!$B$3+17))))))</f>
        <v>0</v>
      </c>
      <c r="E393" s="40">
        <f ca="1">IF(AND(Sheet1!L393&lt;0,  Sheet1!$C$21&gt;R393),    IF(OR(Sheet1!$C$21&lt;=R394,  Sheet1!L394=""),       IF(AND(MOD(NOW(),1)&lt;TIME(9,39,0),Sheet1!$C$22=TODAY()),    Sheet1!$C$21-R393,     Sheet1!$C$21-R393-1),               R394-R393-1),    0)</f>
        <v>0</v>
      </c>
      <c r="F393" s="30"/>
      <c r="G393" s="25" t="str">
        <f>IF(LEFT(Sheet1!K394,2)="0x",Sheet1!K393,IF(AND(Sheet1!L393="",Sheet1!L392=""),"",G392))</f>
        <v/>
      </c>
      <c r="H393" s="81"/>
      <c r="I393" s="43" t="str">
        <f t="shared" si="29"/>
        <v/>
      </c>
      <c r="J393" s="29" t="str">
        <f t="shared" si="28"/>
        <v/>
      </c>
      <c r="K393" s="24" t="str">
        <f>IF(Sheet1!L393="","",IF(Sheet1!L393&gt;0,ROW(),""))</f>
        <v/>
      </c>
      <c r="L393" s="24" t="str">
        <f t="shared" ca="1" si="26"/>
        <v/>
      </c>
      <c r="M393" s="47" t="str">
        <f t="shared" ca="1" si="27"/>
        <v/>
      </c>
      <c r="N393" s="48" t="str">
        <f>IF(LEFT(Sheet1!K393,2)="0x",Sheet1!K393,IF(AND(Sheet1!L393="",Sheet1!L392=""),"",N392))</f>
        <v/>
      </c>
      <c r="O393" s="46">
        <f>IF(Sheet1!L393="",0,IF(Sheet1!O393&lt;TIME(7,39,0)+Sheet1!$E$3/24,1,0))</f>
        <v>0</v>
      </c>
      <c r="P393" s="46" t="str">
        <f ca="1">IF(AND(Sheet1!L393&lt;0, Sheet1!$C$21&gt;R393,OR(Sheet1!$C$21&lt;=R394,Sheet1!L394="")),   -1*Sheet1!L393,"")</f>
        <v/>
      </c>
    </row>
    <row r="394" spans="1:16" ht="15.75" x14ac:dyDescent="0.25">
      <c r="A394" s="456" t="str">
        <f>IF(AND(R394&lt;&gt;"",R393&lt;&gt;""),(-Sheet1!L394/Sheet1!L393)^(360/(R394-R393-1))-1,"")</f>
        <v/>
      </c>
      <c r="B394" s="41" t="str">
        <f ca="1">IF(AND(Sheet1!L394&lt;0, Sheet1!$C$21&gt;R394+1,OR(Sheet1!$C$21&lt;=R395,Sheet1!L395="")),   -1*Sheet1!L394,"")</f>
        <v/>
      </c>
      <c r="C394" s="42">
        <f ca="1">IF(Sheet3!$B$5="",0,    IF(E394&lt;1,0,  IF(B394="","",     IF(OR(Sheet3!$B$6=0,INDIRECT(ADDRESS(ROW(),Sheet3!$B$3+16))="" ),D394/E394,    IF(E394&lt;0,0,    IF(OR( INDIRECT(ADDRESS(8,Sheet3!$B$3+16))="",INDIRECT(ADDRESS(ROW(),Sheet3!$B$3+17))=""),        (INDIRECT(ADDRESS(ROW(),Sheet3!$B$3+16))+B394)*Sheet3!$Q$4,         INDIRECT(ADDRESS(ROW(),Sheet3!$B$3+17))-INDIRECT(ADDRESS(ROW(),Sheet3!$B$3+16))))))))</f>
        <v>0</v>
      </c>
      <c r="D394" s="39">
        <f ca="1">IF(Sheet3!$B$5="",0,IF(B394="","",IF(E394&lt;1,0,   IF(INDIRECT(ADDRESS(ROW(), Sheet3!$B$3+17))="",        INDIRECT(ADDRESS(ROW(), Sheet3!$B$3+16))*  (1+Sheet3!$Q$4)   +B394*Sheet3!$Q$4,       INDIRECT(ADDRESS(ROW(), Sheet3!$B$3+17))))))</f>
        <v>0</v>
      </c>
      <c r="E394" s="40">
        <f ca="1">IF(AND(Sheet1!L394&lt;0,  Sheet1!$C$21&gt;R394),    IF(OR(Sheet1!$C$21&lt;=R395,  Sheet1!L395=""),       IF(AND(MOD(NOW(),1)&lt;TIME(9,39,0),Sheet1!$C$22=TODAY()),    Sheet1!$C$21-R394,     Sheet1!$C$21-R394-1),               R395-R394-1),    0)</f>
        <v>0</v>
      </c>
      <c r="F394" s="30"/>
      <c r="G394" s="25" t="str">
        <f>IF(LEFT(Sheet1!K395,2)="0x",Sheet1!K394,IF(AND(Sheet1!L394="",Sheet1!L393=""),"",G393))</f>
        <v/>
      </c>
      <c r="H394" s="81"/>
      <c r="I394" s="43" t="str">
        <f t="shared" si="29"/>
        <v/>
      </c>
      <c r="J394" s="29" t="str">
        <f t="shared" si="28"/>
        <v/>
      </c>
      <c r="K394" s="24" t="str">
        <f>IF(Sheet1!L394="","",IF(Sheet1!L394&gt;0,ROW(),""))</f>
        <v/>
      </c>
      <c r="L394" s="24" t="str">
        <f t="shared" ca="1" si="26"/>
        <v/>
      </c>
      <c r="M394" s="47" t="str">
        <f t="shared" ca="1" si="27"/>
        <v/>
      </c>
      <c r="N394" s="48" t="str">
        <f>IF(LEFT(Sheet1!K394,2)="0x",Sheet1!K394,IF(AND(Sheet1!L394="",Sheet1!L393=""),"",N393))</f>
        <v/>
      </c>
      <c r="O394" s="46">
        <f>IF(Sheet1!L394="",0,IF(Sheet1!O394&lt;TIME(7,39,0)+Sheet1!$E$3/24,1,0))</f>
        <v>0</v>
      </c>
      <c r="P394" s="46" t="str">
        <f ca="1">IF(AND(Sheet1!L394&lt;0, Sheet1!$C$21&gt;R394,OR(Sheet1!$C$21&lt;=R395,Sheet1!L395="")),   -1*Sheet1!L394,"")</f>
        <v/>
      </c>
    </row>
    <row r="395" spans="1:16" ht="15.75" x14ac:dyDescent="0.25">
      <c r="A395" s="456" t="str">
        <f>IF(AND(R395&lt;&gt;"",R394&lt;&gt;""),(-Sheet1!L395/Sheet1!L394)^(360/(R395-R394-1))-1,"")</f>
        <v/>
      </c>
      <c r="B395" s="41" t="str">
        <f ca="1">IF(AND(Sheet1!L395&lt;0, Sheet1!$C$21&gt;R395+1,OR(Sheet1!$C$21&lt;=R396,Sheet1!L396="")),   -1*Sheet1!L395,"")</f>
        <v/>
      </c>
      <c r="C395" s="42">
        <f ca="1">IF(Sheet3!$B$5="",0,    IF(E395&lt;1,0,  IF(B395="","",     IF(OR(Sheet3!$B$6=0,INDIRECT(ADDRESS(ROW(),Sheet3!$B$3+16))="" ),D395/E395,    IF(E395&lt;0,0,    IF(OR( INDIRECT(ADDRESS(8,Sheet3!$B$3+16))="",INDIRECT(ADDRESS(ROW(),Sheet3!$B$3+17))=""),        (INDIRECT(ADDRESS(ROW(),Sheet3!$B$3+16))+B395)*Sheet3!$Q$4,         INDIRECT(ADDRESS(ROW(),Sheet3!$B$3+17))-INDIRECT(ADDRESS(ROW(),Sheet3!$B$3+16))))))))</f>
        <v>0</v>
      </c>
      <c r="D395" s="39">
        <f ca="1">IF(Sheet3!$B$5="",0,IF(B395="","",IF(E395&lt;1,0,   IF(INDIRECT(ADDRESS(ROW(), Sheet3!$B$3+17))="",        INDIRECT(ADDRESS(ROW(), Sheet3!$B$3+16))*  (1+Sheet3!$Q$4)   +B395*Sheet3!$Q$4,       INDIRECT(ADDRESS(ROW(), Sheet3!$B$3+17))))))</f>
        <v>0</v>
      </c>
      <c r="E395" s="40">
        <f ca="1">IF(AND(Sheet1!L395&lt;0,  Sheet1!$C$21&gt;R395),    IF(OR(Sheet1!$C$21&lt;=R396,  Sheet1!L396=""),       IF(AND(MOD(NOW(),1)&lt;TIME(9,39,0),Sheet1!$C$22=TODAY()),    Sheet1!$C$21-R395,     Sheet1!$C$21-R395-1),               R396-R395-1),    0)</f>
        <v>0</v>
      </c>
      <c r="F395" s="30"/>
      <c r="G395" s="25" t="str">
        <f>IF(LEFT(Sheet1!K396,2)="0x",Sheet1!K395,IF(AND(Sheet1!L395="",Sheet1!L394=""),"",G394))</f>
        <v/>
      </c>
      <c r="H395" s="81"/>
      <c r="I395" s="43" t="str">
        <f t="shared" si="29"/>
        <v/>
      </c>
      <c r="J395" s="29" t="str">
        <f t="shared" si="28"/>
        <v/>
      </c>
      <c r="K395" s="24" t="str">
        <f>IF(Sheet1!L395="","",IF(Sheet1!L395&gt;0,ROW(),""))</f>
        <v/>
      </c>
      <c r="L395" s="24" t="str">
        <f t="shared" ca="1" si="26"/>
        <v/>
      </c>
      <c r="M395" s="47" t="str">
        <f t="shared" ca="1" si="27"/>
        <v/>
      </c>
      <c r="N395" s="48" t="str">
        <f>IF(LEFT(Sheet1!K395,2)="0x",Sheet1!K395,IF(AND(Sheet1!L395="",Sheet1!L394=""),"",N394))</f>
        <v/>
      </c>
      <c r="O395" s="46">
        <f>IF(Sheet1!L395="",0,IF(Sheet1!O395&lt;TIME(7,39,0)+Sheet1!$E$3/24,1,0))</f>
        <v>0</v>
      </c>
      <c r="P395" s="46" t="str">
        <f ca="1">IF(AND(Sheet1!L395&lt;0, Sheet1!$C$21&gt;R395,OR(Sheet1!$C$21&lt;=R396,Sheet1!L396="")),   -1*Sheet1!L395,"")</f>
        <v/>
      </c>
    </row>
    <row r="396" spans="1:16" ht="15.75" x14ac:dyDescent="0.25">
      <c r="A396" s="456" t="str">
        <f>IF(AND(R396&lt;&gt;"",R395&lt;&gt;""),(-Sheet1!L396/Sheet1!L395)^(360/(R396-R395-1))-1,"")</f>
        <v/>
      </c>
      <c r="B396" s="41" t="str">
        <f ca="1">IF(AND(Sheet1!L396&lt;0, Sheet1!$C$21&gt;R396+1,OR(Sheet1!$C$21&lt;=R397,Sheet1!L397="")),   -1*Sheet1!L396,"")</f>
        <v/>
      </c>
      <c r="C396" s="42">
        <f ca="1">IF(Sheet3!$B$5="",0,    IF(E396&lt;1,0,  IF(B396="","",     IF(OR(Sheet3!$B$6=0,INDIRECT(ADDRESS(ROW(),Sheet3!$B$3+16))="" ),D396/E396,    IF(E396&lt;0,0,    IF(OR( INDIRECT(ADDRESS(8,Sheet3!$B$3+16))="",INDIRECT(ADDRESS(ROW(),Sheet3!$B$3+17))=""),        (INDIRECT(ADDRESS(ROW(),Sheet3!$B$3+16))+B396)*Sheet3!$Q$4,         INDIRECT(ADDRESS(ROW(),Sheet3!$B$3+17))-INDIRECT(ADDRESS(ROW(),Sheet3!$B$3+16))))))))</f>
        <v>0</v>
      </c>
      <c r="D396" s="39">
        <f ca="1">IF(Sheet3!$B$5="",0,IF(B396="","",IF(E396&lt;1,0,   IF(INDIRECT(ADDRESS(ROW(), Sheet3!$B$3+17))="",        INDIRECT(ADDRESS(ROW(), Sheet3!$B$3+16))*  (1+Sheet3!$Q$4)   +B396*Sheet3!$Q$4,       INDIRECT(ADDRESS(ROW(), Sheet3!$B$3+17))))))</f>
        <v>0</v>
      </c>
      <c r="E396" s="40">
        <f ca="1">IF(AND(Sheet1!L396&lt;0,  Sheet1!$C$21&gt;R396),    IF(OR(Sheet1!$C$21&lt;=R397,  Sheet1!L397=""),       IF(AND(MOD(NOW(),1)&lt;TIME(9,39,0),Sheet1!$C$22=TODAY()),    Sheet1!$C$21-R396,     Sheet1!$C$21-R396-1),               R397-R396-1),    0)</f>
        <v>0</v>
      </c>
      <c r="F396" s="30"/>
      <c r="G396" s="25" t="str">
        <f>IF(LEFT(Sheet1!K397,2)="0x",Sheet1!K396,IF(AND(Sheet1!L396="",Sheet1!L395=""),"",G395))</f>
        <v/>
      </c>
      <c r="H396" s="81"/>
      <c r="I396" s="43" t="str">
        <f t="shared" si="29"/>
        <v/>
      </c>
      <c r="J396" s="29" t="str">
        <f t="shared" si="28"/>
        <v/>
      </c>
      <c r="K396" s="24" t="str">
        <f>IF(Sheet1!L396="","",IF(Sheet1!L396&gt;0,ROW(),""))</f>
        <v/>
      </c>
      <c r="L396" s="24" t="str">
        <f t="shared" ca="1" si="26"/>
        <v/>
      </c>
      <c r="M396" s="47" t="str">
        <f t="shared" ca="1" si="27"/>
        <v/>
      </c>
      <c r="N396" s="48" t="str">
        <f>IF(LEFT(Sheet1!K396,2)="0x",Sheet1!K396,IF(AND(Sheet1!L396="",Sheet1!L395=""),"",N395))</f>
        <v/>
      </c>
      <c r="O396" s="46">
        <f>IF(Sheet1!L396="",0,IF(Sheet1!O396&lt;TIME(7,39,0)+Sheet1!$E$3/24,1,0))</f>
        <v>0</v>
      </c>
      <c r="P396" s="46" t="str">
        <f ca="1">IF(AND(Sheet1!L396&lt;0, Sheet1!$C$21&gt;R396,OR(Sheet1!$C$21&lt;=R397,Sheet1!L397="")),   -1*Sheet1!L396,"")</f>
        <v/>
      </c>
    </row>
    <row r="397" spans="1:16" ht="15.75" x14ac:dyDescent="0.25">
      <c r="A397" s="456" t="str">
        <f>IF(AND(R397&lt;&gt;"",R396&lt;&gt;""),(-Sheet1!L397/Sheet1!L396)^(360/(R397-R396-1))-1,"")</f>
        <v/>
      </c>
      <c r="B397" s="41" t="str">
        <f ca="1">IF(AND(Sheet1!L397&lt;0, Sheet1!$C$21&gt;R397+1,OR(Sheet1!$C$21&lt;=R398,Sheet1!L398="")),   -1*Sheet1!L397,"")</f>
        <v/>
      </c>
      <c r="C397" s="42">
        <f ca="1">IF(Sheet3!$B$5="",0,    IF(E397&lt;1,0,  IF(B397="","",     IF(OR(Sheet3!$B$6=0,INDIRECT(ADDRESS(ROW(),Sheet3!$B$3+16))="" ),D397/E397,    IF(E397&lt;0,0,    IF(OR( INDIRECT(ADDRESS(8,Sheet3!$B$3+16))="",INDIRECT(ADDRESS(ROW(),Sheet3!$B$3+17))=""),        (INDIRECT(ADDRESS(ROW(),Sheet3!$B$3+16))+B397)*Sheet3!$Q$4,         INDIRECT(ADDRESS(ROW(),Sheet3!$B$3+17))-INDIRECT(ADDRESS(ROW(),Sheet3!$B$3+16))))))))</f>
        <v>0</v>
      </c>
      <c r="D397" s="39">
        <f ca="1">IF(Sheet3!$B$5="",0,IF(B397="","",IF(E397&lt;1,0,   IF(INDIRECT(ADDRESS(ROW(), Sheet3!$B$3+17))="",        INDIRECT(ADDRESS(ROW(), Sheet3!$B$3+16))*  (1+Sheet3!$Q$4)   +B397*Sheet3!$Q$4,       INDIRECT(ADDRESS(ROW(), Sheet3!$B$3+17))))))</f>
        <v>0</v>
      </c>
      <c r="E397" s="40">
        <f ca="1">IF(AND(Sheet1!L397&lt;0,  Sheet1!$C$21&gt;R397),    IF(OR(Sheet1!$C$21&lt;=R398,  Sheet1!L398=""),       IF(AND(MOD(NOW(),1)&lt;TIME(9,39,0),Sheet1!$C$22=TODAY()),    Sheet1!$C$21-R397,     Sheet1!$C$21-R397-1),               R398-R397-1),    0)</f>
        <v>0</v>
      </c>
      <c r="F397" s="30"/>
      <c r="G397" s="25" t="str">
        <f>IF(LEFT(Sheet1!K398,2)="0x",Sheet1!K397,IF(AND(Sheet1!L397="",Sheet1!L396=""),"",G396))</f>
        <v/>
      </c>
      <c r="H397" s="81"/>
      <c r="I397" s="43" t="str">
        <f t="shared" si="29"/>
        <v/>
      </c>
      <c r="J397" s="29" t="str">
        <f t="shared" si="28"/>
        <v/>
      </c>
      <c r="K397" s="24" t="str">
        <f>IF(Sheet1!L397="","",IF(Sheet1!L397&gt;0,ROW(),""))</f>
        <v/>
      </c>
      <c r="L397" s="24" t="str">
        <f t="shared" ca="1" si="26"/>
        <v/>
      </c>
      <c r="M397" s="47" t="str">
        <f t="shared" ca="1" si="27"/>
        <v/>
      </c>
      <c r="N397" s="48" t="str">
        <f>IF(LEFT(Sheet1!K397,2)="0x",Sheet1!K397,IF(AND(Sheet1!L397="",Sheet1!L396=""),"",N396))</f>
        <v/>
      </c>
      <c r="O397" s="46">
        <f>IF(Sheet1!L397="",0,IF(Sheet1!O397&lt;TIME(7,39,0)+Sheet1!$E$3/24,1,0))</f>
        <v>0</v>
      </c>
      <c r="P397" s="46" t="str">
        <f ca="1">IF(AND(Sheet1!L397&lt;0, Sheet1!$C$21&gt;R397,OR(Sheet1!$C$21&lt;=R398,Sheet1!L398="")),   -1*Sheet1!L397,"")</f>
        <v/>
      </c>
    </row>
    <row r="398" spans="1:16" ht="15.75" x14ac:dyDescent="0.25">
      <c r="A398" s="456" t="str">
        <f>IF(AND(R398&lt;&gt;"",R397&lt;&gt;""),(-Sheet1!L398/Sheet1!L397)^(360/(R398-R397-1))-1,"")</f>
        <v/>
      </c>
      <c r="B398" s="41" t="str">
        <f ca="1">IF(AND(Sheet1!L398&lt;0, Sheet1!$C$21&gt;R398+1,OR(Sheet1!$C$21&lt;=R399,Sheet1!L399="")),   -1*Sheet1!L398,"")</f>
        <v/>
      </c>
      <c r="C398" s="42">
        <f ca="1">IF(Sheet3!$B$5="",0,    IF(E398&lt;1,0,  IF(B398="","",     IF(OR(Sheet3!$B$6=0,INDIRECT(ADDRESS(ROW(),Sheet3!$B$3+16))="" ),D398/E398,    IF(E398&lt;0,0,    IF(OR( INDIRECT(ADDRESS(8,Sheet3!$B$3+16))="",INDIRECT(ADDRESS(ROW(),Sheet3!$B$3+17))=""),        (INDIRECT(ADDRESS(ROW(),Sheet3!$B$3+16))+B398)*Sheet3!$Q$4,         INDIRECT(ADDRESS(ROW(),Sheet3!$B$3+17))-INDIRECT(ADDRESS(ROW(),Sheet3!$B$3+16))))))))</f>
        <v>0</v>
      </c>
      <c r="D398" s="39">
        <f ca="1">IF(Sheet3!$B$5="",0,IF(B398="","",IF(E398&lt;1,0,   IF(INDIRECT(ADDRESS(ROW(), Sheet3!$B$3+17))="",        INDIRECT(ADDRESS(ROW(), Sheet3!$B$3+16))*  (1+Sheet3!$Q$4)   +B398*Sheet3!$Q$4,       INDIRECT(ADDRESS(ROW(), Sheet3!$B$3+17))))))</f>
        <v>0</v>
      </c>
      <c r="E398" s="40">
        <f ca="1">IF(AND(Sheet1!L398&lt;0,  Sheet1!$C$21&gt;R398),    IF(OR(Sheet1!$C$21&lt;=R399,  Sheet1!L399=""),       IF(AND(MOD(NOW(),1)&lt;TIME(9,39,0),Sheet1!$C$22=TODAY()),    Sheet1!$C$21-R398,     Sheet1!$C$21-R398-1),               R399-R398-1),    0)</f>
        <v>0</v>
      </c>
      <c r="F398" s="30"/>
      <c r="G398" s="25" t="str">
        <f>IF(LEFT(Sheet1!K399,2)="0x",Sheet1!K398,IF(AND(Sheet1!L398="",Sheet1!L397=""),"",G397))</f>
        <v/>
      </c>
      <c r="H398" s="81"/>
      <c r="I398" s="43" t="str">
        <f t="shared" si="29"/>
        <v/>
      </c>
      <c r="J398" s="29" t="str">
        <f t="shared" si="28"/>
        <v/>
      </c>
      <c r="K398" s="24" t="str">
        <f>IF(Sheet1!L398="","",IF(Sheet1!L398&gt;0,ROW(),""))</f>
        <v/>
      </c>
      <c r="L398" s="24" t="str">
        <f t="shared" ref="L398:L461" ca="1" si="30">IF(B398&lt;&gt;"",ROW(),"")</f>
        <v/>
      </c>
      <c r="M398" s="47" t="str">
        <f t="shared" ref="M398:M461" ca="1" si="31">IF(P398&lt;&gt;"",ROW(),"")</f>
        <v/>
      </c>
      <c r="N398" s="48" t="str">
        <f>IF(LEFT(Sheet1!K398,2)="0x",Sheet1!K398,IF(AND(Sheet1!L398="",Sheet1!L397=""),"",N397))</f>
        <v/>
      </c>
      <c r="O398" s="46">
        <f>IF(Sheet1!L398="",0,IF(Sheet1!O398&lt;TIME(7,39,0)+Sheet1!$E$3/24,1,0))</f>
        <v>0</v>
      </c>
      <c r="P398" s="46" t="str">
        <f ca="1">IF(AND(Sheet1!L398&lt;0, Sheet1!$C$21&gt;R398,OR(Sheet1!$C$21&lt;=R399,Sheet1!L399="")),   -1*Sheet1!L398,"")</f>
        <v/>
      </c>
    </row>
    <row r="399" spans="1:16" ht="15.75" x14ac:dyDescent="0.25">
      <c r="A399" s="456" t="str">
        <f>IF(AND(R399&lt;&gt;"",R398&lt;&gt;""),(-Sheet1!L399/Sheet1!L398)^(360/(R399-R398-1))-1,"")</f>
        <v/>
      </c>
      <c r="B399" s="41" t="str">
        <f ca="1">IF(AND(Sheet1!L399&lt;0, Sheet1!$C$21&gt;R399+1,OR(Sheet1!$C$21&lt;=R400,Sheet1!L400="")),   -1*Sheet1!L399,"")</f>
        <v/>
      </c>
      <c r="C399" s="42">
        <f ca="1">IF(Sheet3!$B$5="",0,    IF(E399&lt;1,0,  IF(B399="","",     IF(OR(Sheet3!$B$6=0,INDIRECT(ADDRESS(ROW(),Sheet3!$B$3+16))="" ),D399/E399,    IF(E399&lt;0,0,    IF(OR( INDIRECT(ADDRESS(8,Sheet3!$B$3+16))="",INDIRECT(ADDRESS(ROW(),Sheet3!$B$3+17))=""),        (INDIRECT(ADDRESS(ROW(),Sheet3!$B$3+16))+B399)*Sheet3!$Q$4,         INDIRECT(ADDRESS(ROW(),Sheet3!$B$3+17))-INDIRECT(ADDRESS(ROW(),Sheet3!$B$3+16))))))))</f>
        <v>0</v>
      </c>
      <c r="D399" s="39">
        <f ca="1">IF(Sheet3!$B$5="",0,IF(B399="","",IF(E399&lt;1,0,   IF(INDIRECT(ADDRESS(ROW(), Sheet3!$B$3+17))="",        INDIRECT(ADDRESS(ROW(), Sheet3!$B$3+16))*  (1+Sheet3!$Q$4)   +B399*Sheet3!$Q$4,       INDIRECT(ADDRESS(ROW(), Sheet3!$B$3+17))))))</f>
        <v>0</v>
      </c>
      <c r="E399" s="40">
        <f ca="1">IF(AND(Sheet1!L399&lt;0,  Sheet1!$C$21&gt;R399),    IF(OR(Sheet1!$C$21&lt;=R400,  Sheet1!L400=""),       IF(AND(MOD(NOW(),1)&lt;TIME(9,39,0),Sheet1!$C$22=TODAY()),    Sheet1!$C$21-R399,     Sheet1!$C$21-R399-1),               R400-R399-1),    0)</f>
        <v>0</v>
      </c>
      <c r="F399" s="30"/>
      <c r="G399" s="25" t="str">
        <f>IF(LEFT(Sheet1!K400,2)="0x",Sheet1!K399,IF(AND(Sheet1!L399="",Sheet1!L398=""),"",G398))</f>
        <v/>
      </c>
      <c r="H399" s="81"/>
      <c r="I399" s="43" t="str">
        <f t="shared" si="29"/>
        <v/>
      </c>
      <c r="J399" s="29" t="str">
        <f t="shared" si="28"/>
        <v/>
      </c>
      <c r="K399" s="24" t="str">
        <f>IF(Sheet1!L399="","",IF(Sheet1!L399&gt;0,ROW(),""))</f>
        <v/>
      </c>
      <c r="L399" s="24" t="str">
        <f t="shared" ca="1" si="30"/>
        <v/>
      </c>
      <c r="M399" s="47" t="str">
        <f t="shared" ca="1" si="31"/>
        <v/>
      </c>
      <c r="N399" s="48" t="str">
        <f>IF(LEFT(Sheet1!K399,2)="0x",Sheet1!K399,IF(AND(Sheet1!L399="",Sheet1!L398=""),"",N398))</f>
        <v/>
      </c>
      <c r="O399" s="46">
        <f>IF(Sheet1!L399="",0,IF(Sheet1!O399&lt;TIME(7,39,0)+Sheet1!$E$3/24,1,0))</f>
        <v>0</v>
      </c>
      <c r="P399" s="46" t="str">
        <f ca="1">IF(AND(Sheet1!L399&lt;0, Sheet1!$C$21&gt;R399,OR(Sheet1!$C$21&lt;=R400,Sheet1!L400="")),   -1*Sheet1!L399,"")</f>
        <v/>
      </c>
    </row>
    <row r="400" spans="1:16" ht="15.75" x14ac:dyDescent="0.25">
      <c r="A400" s="456" t="str">
        <f>IF(AND(R400&lt;&gt;"",R399&lt;&gt;""),(-Sheet1!L400/Sheet1!L399)^(360/(R400-R399-1))-1,"")</f>
        <v/>
      </c>
      <c r="B400" s="41" t="str">
        <f ca="1">IF(AND(Sheet1!L400&lt;0, Sheet1!$C$21&gt;R400+1,OR(Sheet1!$C$21&lt;=R401,Sheet1!L401="")),   -1*Sheet1!L400,"")</f>
        <v/>
      </c>
      <c r="C400" s="42">
        <f ca="1">IF(Sheet3!$B$5="",0,    IF(E400&lt;1,0,  IF(B400="","",     IF(OR(Sheet3!$B$6=0,INDIRECT(ADDRESS(ROW(),Sheet3!$B$3+16))="" ),D400/E400,    IF(E400&lt;0,0,    IF(OR( INDIRECT(ADDRESS(8,Sheet3!$B$3+16))="",INDIRECT(ADDRESS(ROW(),Sheet3!$B$3+17))=""),        (INDIRECT(ADDRESS(ROW(),Sheet3!$B$3+16))+B400)*Sheet3!$Q$4,         INDIRECT(ADDRESS(ROW(),Sheet3!$B$3+17))-INDIRECT(ADDRESS(ROW(),Sheet3!$B$3+16))))))))</f>
        <v>0</v>
      </c>
      <c r="D400" s="39">
        <f ca="1">IF(Sheet3!$B$5="",0,IF(B400="","",IF(E400&lt;1,0,   IF(INDIRECT(ADDRESS(ROW(), Sheet3!$B$3+17))="",        INDIRECT(ADDRESS(ROW(), Sheet3!$B$3+16))*  (1+Sheet3!$Q$4)   +B400*Sheet3!$Q$4,       INDIRECT(ADDRESS(ROW(), Sheet3!$B$3+17))))))</f>
        <v>0</v>
      </c>
      <c r="E400" s="40">
        <f ca="1">IF(AND(Sheet1!L400&lt;0,  Sheet1!$C$21&gt;R400),    IF(OR(Sheet1!$C$21&lt;=R401,  Sheet1!L401=""),       IF(AND(MOD(NOW(),1)&lt;TIME(9,39,0),Sheet1!$C$22=TODAY()),    Sheet1!$C$21-R400,     Sheet1!$C$21-R400-1),               R401-R400-1),    0)</f>
        <v>0</v>
      </c>
      <c r="F400" s="30"/>
      <c r="G400" s="25" t="str">
        <f>IF(LEFT(Sheet1!K401,2)="0x",Sheet1!K400,IF(AND(Sheet1!L400="",Sheet1!L399=""),"",G399))</f>
        <v/>
      </c>
      <c r="H400" s="81"/>
      <c r="I400" s="43" t="str">
        <f t="shared" si="29"/>
        <v/>
      </c>
      <c r="J400" s="29" t="str">
        <f t="shared" si="28"/>
        <v/>
      </c>
      <c r="K400" s="24" t="str">
        <f>IF(Sheet1!L400="","",IF(Sheet1!L400&gt;0,ROW(),""))</f>
        <v/>
      </c>
      <c r="L400" s="24" t="str">
        <f t="shared" ca="1" si="30"/>
        <v/>
      </c>
      <c r="M400" s="47" t="str">
        <f t="shared" ca="1" si="31"/>
        <v/>
      </c>
      <c r="N400" s="48" t="str">
        <f>IF(LEFT(Sheet1!K400,2)="0x",Sheet1!K400,IF(AND(Sheet1!L400="",Sheet1!L399=""),"",N399))</f>
        <v/>
      </c>
      <c r="O400" s="46">
        <f>IF(Sheet1!L400="",0,IF(Sheet1!O400&lt;TIME(7,39,0)+Sheet1!$E$3/24,1,0))</f>
        <v>0</v>
      </c>
      <c r="P400" s="46" t="str">
        <f ca="1">IF(AND(Sheet1!L400&lt;0, Sheet1!$C$21&gt;R400,OR(Sheet1!$C$21&lt;=R401,Sheet1!L401="")),   -1*Sheet1!L400,"")</f>
        <v/>
      </c>
    </row>
    <row r="401" spans="1:16" ht="15.75" x14ac:dyDescent="0.25">
      <c r="A401" s="456" t="str">
        <f>IF(AND(R401&lt;&gt;"",R400&lt;&gt;""),(-Sheet1!L401/Sheet1!L400)^(360/(R401-R400-1))-1,"")</f>
        <v/>
      </c>
      <c r="B401" s="41" t="str">
        <f ca="1">IF(AND(Sheet1!L401&lt;0, Sheet1!$C$21&gt;R401+1,OR(Sheet1!$C$21&lt;=R402,Sheet1!L402="")),   -1*Sheet1!L401,"")</f>
        <v/>
      </c>
      <c r="C401" s="42">
        <f ca="1">IF(Sheet3!$B$5="",0,    IF(E401&lt;1,0,  IF(B401="","",     IF(OR(Sheet3!$B$6=0,INDIRECT(ADDRESS(ROW(),Sheet3!$B$3+16))="" ),D401/E401,    IF(E401&lt;0,0,    IF(OR( INDIRECT(ADDRESS(8,Sheet3!$B$3+16))="",INDIRECT(ADDRESS(ROW(),Sheet3!$B$3+17))=""),        (INDIRECT(ADDRESS(ROW(),Sheet3!$B$3+16))+B401)*Sheet3!$Q$4,         INDIRECT(ADDRESS(ROW(),Sheet3!$B$3+17))-INDIRECT(ADDRESS(ROW(),Sheet3!$B$3+16))))))))</f>
        <v>0</v>
      </c>
      <c r="D401" s="39">
        <f ca="1">IF(Sheet3!$B$5="",0,IF(B401="","",IF(E401&lt;1,0,   IF(INDIRECT(ADDRESS(ROW(), Sheet3!$B$3+17))="",        INDIRECT(ADDRESS(ROW(), Sheet3!$B$3+16))*  (1+Sheet3!$Q$4)   +B401*Sheet3!$Q$4,       INDIRECT(ADDRESS(ROW(), Sheet3!$B$3+17))))))</f>
        <v>0</v>
      </c>
      <c r="E401" s="40">
        <f ca="1">IF(AND(Sheet1!L401&lt;0,  Sheet1!$C$21&gt;R401),    IF(OR(Sheet1!$C$21&lt;=R402,  Sheet1!L402=""),       IF(AND(MOD(NOW(),1)&lt;TIME(9,39,0),Sheet1!$C$22=TODAY()),    Sheet1!$C$21-R401,     Sheet1!$C$21-R401-1),               R402-R401-1),    0)</f>
        <v>0</v>
      </c>
      <c r="F401" s="30"/>
      <c r="G401" s="25" t="str">
        <f>IF(LEFT(Sheet1!K402,2)="0x",Sheet1!K401,IF(AND(Sheet1!L401="",Sheet1!L400=""),"",G400))</f>
        <v/>
      </c>
      <c r="H401" s="81"/>
      <c r="I401" s="43" t="str">
        <f t="shared" si="29"/>
        <v/>
      </c>
      <c r="J401" s="29" t="str">
        <f t="shared" si="28"/>
        <v/>
      </c>
      <c r="K401" s="24" t="str">
        <f>IF(Sheet1!L401="","",IF(Sheet1!L401&gt;0,ROW(),""))</f>
        <v/>
      </c>
      <c r="L401" s="24" t="str">
        <f t="shared" ca="1" si="30"/>
        <v/>
      </c>
      <c r="M401" s="47" t="str">
        <f t="shared" ca="1" si="31"/>
        <v/>
      </c>
      <c r="N401" s="48" t="str">
        <f>IF(LEFT(Sheet1!K401,2)="0x",Sheet1!K401,IF(AND(Sheet1!L401="",Sheet1!L400=""),"",N400))</f>
        <v/>
      </c>
      <c r="O401" s="46">
        <f>IF(Sheet1!L401="",0,IF(Sheet1!O401&lt;TIME(7,39,0)+Sheet1!$E$3/24,1,0))</f>
        <v>0</v>
      </c>
      <c r="P401" s="46" t="str">
        <f ca="1">IF(AND(Sheet1!L401&lt;0, Sheet1!$C$21&gt;R401,OR(Sheet1!$C$21&lt;=R402,Sheet1!L402="")),   -1*Sheet1!L401,"")</f>
        <v/>
      </c>
    </row>
    <row r="402" spans="1:16" ht="15.75" x14ac:dyDescent="0.25">
      <c r="A402" s="456" t="str">
        <f>IF(AND(R402&lt;&gt;"",R401&lt;&gt;""),(-Sheet1!L402/Sheet1!L401)^(360/(R402-R401-1))-1,"")</f>
        <v/>
      </c>
      <c r="B402" s="41" t="str">
        <f ca="1">IF(AND(Sheet1!L402&lt;0, Sheet1!$C$21&gt;R402+1,OR(Sheet1!$C$21&lt;=R403,Sheet1!L403="")),   -1*Sheet1!L402,"")</f>
        <v/>
      </c>
      <c r="C402" s="42">
        <f ca="1">IF(Sheet3!$B$5="",0,    IF(E402&lt;1,0,  IF(B402="","",     IF(OR(Sheet3!$B$6=0,INDIRECT(ADDRESS(ROW(),Sheet3!$B$3+16))="" ),D402/E402,    IF(E402&lt;0,0,    IF(OR( INDIRECT(ADDRESS(8,Sheet3!$B$3+16))="",INDIRECT(ADDRESS(ROW(),Sheet3!$B$3+17))=""),        (INDIRECT(ADDRESS(ROW(),Sheet3!$B$3+16))+B402)*Sheet3!$Q$4,         INDIRECT(ADDRESS(ROW(),Sheet3!$B$3+17))-INDIRECT(ADDRESS(ROW(),Sheet3!$B$3+16))))))))</f>
        <v>0</v>
      </c>
      <c r="D402" s="39">
        <f ca="1">IF(Sheet3!$B$5="",0,IF(B402="","",IF(E402&lt;1,0,   IF(INDIRECT(ADDRESS(ROW(), Sheet3!$B$3+17))="",        INDIRECT(ADDRESS(ROW(), Sheet3!$B$3+16))*  (1+Sheet3!$Q$4)   +B402*Sheet3!$Q$4,       INDIRECT(ADDRESS(ROW(), Sheet3!$B$3+17))))))</f>
        <v>0</v>
      </c>
      <c r="E402" s="40">
        <f ca="1">IF(AND(Sheet1!L402&lt;0,  Sheet1!$C$21&gt;R402),    IF(OR(Sheet1!$C$21&lt;=R403,  Sheet1!L403=""),       IF(AND(MOD(NOW(),1)&lt;TIME(9,39,0),Sheet1!$C$22=TODAY()),    Sheet1!$C$21-R402,     Sheet1!$C$21-R402-1),               R403-R402-1),    0)</f>
        <v>0</v>
      </c>
      <c r="F402" s="30"/>
      <c r="G402" s="25" t="str">
        <f>IF(LEFT(Sheet1!K403,2)="0x",Sheet1!K402,IF(AND(Sheet1!L402="",Sheet1!L401=""),"",G401))</f>
        <v/>
      </c>
      <c r="H402" s="81"/>
      <c r="I402" s="43" t="str">
        <f t="shared" si="29"/>
        <v/>
      </c>
      <c r="J402" s="29" t="str">
        <f t="shared" si="28"/>
        <v/>
      </c>
      <c r="K402" s="24" t="str">
        <f>IF(Sheet1!L402="","",IF(Sheet1!L402&gt;0,ROW(),""))</f>
        <v/>
      </c>
      <c r="L402" s="24" t="str">
        <f t="shared" ca="1" si="30"/>
        <v/>
      </c>
      <c r="M402" s="47" t="str">
        <f t="shared" ca="1" si="31"/>
        <v/>
      </c>
      <c r="N402" s="48" t="str">
        <f>IF(LEFT(Sheet1!K402,2)="0x",Sheet1!K402,IF(AND(Sheet1!L402="",Sheet1!L401=""),"",N401))</f>
        <v/>
      </c>
      <c r="O402" s="46">
        <f>IF(Sheet1!L402="",0,IF(Sheet1!O402&lt;TIME(7,39,0)+Sheet1!$E$3/24,1,0))</f>
        <v>0</v>
      </c>
      <c r="P402" s="46" t="str">
        <f ca="1">IF(AND(Sheet1!L402&lt;0, Sheet1!$C$21&gt;R402,OR(Sheet1!$C$21&lt;=R403,Sheet1!L403="")),   -1*Sheet1!L402,"")</f>
        <v/>
      </c>
    </row>
    <row r="403" spans="1:16" ht="15.75" x14ac:dyDescent="0.25">
      <c r="A403" s="456" t="str">
        <f>IF(AND(R403&lt;&gt;"",R402&lt;&gt;""),(-Sheet1!L403/Sheet1!L402)^(360/(R403-R402-1))-1,"")</f>
        <v/>
      </c>
      <c r="B403" s="41" t="str">
        <f ca="1">IF(AND(Sheet1!L403&lt;0, Sheet1!$C$21&gt;R403+1,OR(Sheet1!$C$21&lt;=R404,Sheet1!L404="")),   -1*Sheet1!L403,"")</f>
        <v/>
      </c>
      <c r="C403" s="42">
        <f ca="1">IF(Sheet3!$B$5="",0,    IF(E403&lt;1,0,  IF(B403="","",     IF(OR(Sheet3!$B$6=0,INDIRECT(ADDRESS(ROW(),Sheet3!$B$3+16))="" ),D403/E403,    IF(E403&lt;0,0,    IF(OR( INDIRECT(ADDRESS(8,Sheet3!$B$3+16))="",INDIRECT(ADDRESS(ROW(),Sheet3!$B$3+17))=""),        (INDIRECT(ADDRESS(ROW(),Sheet3!$B$3+16))+B403)*Sheet3!$Q$4,         INDIRECT(ADDRESS(ROW(),Sheet3!$B$3+17))-INDIRECT(ADDRESS(ROW(),Sheet3!$B$3+16))))))))</f>
        <v>0</v>
      </c>
      <c r="D403" s="39">
        <f ca="1">IF(Sheet3!$B$5="",0,IF(B403="","",IF(E403&lt;1,0,   IF(INDIRECT(ADDRESS(ROW(), Sheet3!$B$3+17))="",        INDIRECT(ADDRESS(ROW(), Sheet3!$B$3+16))*  (1+Sheet3!$Q$4)   +B403*Sheet3!$Q$4,       INDIRECT(ADDRESS(ROW(), Sheet3!$B$3+17))))))</f>
        <v>0</v>
      </c>
      <c r="E403" s="40">
        <f ca="1">IF(AND(Sheet1!L403&lt;0,  Sheet1!$C$21&gt;R403),    IF(OR(Sheet1!$C$21&lt;=R404,  Sheet1!L404=""),       IF(AND(MOD(NOW(),1)&lt;TIME(9,39,0),Sheet1!$C$22=TODAY()),    Sheet1!$C$21-R403,     Sheet1!$C$21-R403-1),               R404-R403-1),    0)</f>
        <v>0</v>
      </c>
      <c r="F403" s="30"/>
      <c r="G403" s="25" t="str">
        <f>IF(LEFT(Sheet1!K404,2)="0x",Sheet1!K403,IF(AND(Sheet1!L403="",Sheet1!L402=""),"",G402))</f>
        <v/>
      </c>
      <c r="H403" s="81"/>
      <c r="I403" s="43" t="str">
        <f t="shared" si="29"/>
        <v/>
      </c>
      <c r="J403" s="29" t="str">
        <f t="shared" si="28"/>
        <v/>
      </c>
      <c r="K403" s="24" t="str">
        <f>IF(Sheet1!L403="","",IF(Sheet1!L403&gt;0,ROW(),""))</f>
        <v/>
      </c>
      <c r="L403" s="24" t="str">
        <f t="shared" ca="1" si="30"/>
        <v/>
      </c>
      <c r="M403" s="47" t="str">
        <f t="shared" ca="1" si="31"/>
        <v/>
      </c>
      <c r="N403" s="48" t="str">
        <f>IF(LEFT(Sheet1!K403,2)="0x",Sheet1!K403,IF(AND(Sheet1!L403="",Sheet1!L402=""),"",N402))</f>
        <v/>
      </c>
      <c r="O403" s="46">
        <f>IF(Sheet1!L403="",0,IF(Sheet1!O403&lt;TIME(7,39,0)+Sheet1!$E$3/24,1,0))</f>
        <v>0</v>
      </c>
      <c r="P403" s="46" t="str">
        <f ca="1">IF(AND(Sheet1!L403&lt;0, Sheet1!$C$21&gt;R403,OR(Sheet1!$C$21&lt;=R404,Sheet1!L404="")),   -1*Sheet1!L403,"")</f>
        <v/>
      </c>
    </row>
    <row r="404" spans="1:16" ht="15.75" x14ac:dyDescent="0.25">
      <c r="A404" s="456" t="str">
        <f>IF(AND(R404&lt;&gt;"",R403&lt;&gt;""),(-Sheet1!L404/Sheet1!L403)^(360/(R404-R403-1))-1,"")</f>
        <v/>
      </c>
      <c r="B404" s="41" t="str">
        <f ca="1">IF(AND(Sheet1!L404&lt;0, Sheet1!$C$21&gt;R404+1,OR(Sheet1!$C$21&lt;=R405,Sheet1!L405="")),   -1*Sheet1!L404,"")</f>
        <v/>
      </c>
      <c r="C404" s="42">
        <f ca="1">IF(Sheet3!$B$5="",0,    IF(E404&lt;1,0,  IF(B404="","",     IF(OR(Sheet3!$B$6=0,INDIRECT(ADDRESS(ROW(),Sheet3!$B$3+16))="" ),D404/E404,    IF(E404&lt;0,0,    IF(OR( INDIRECT(ADDRESS(8,Sheet3!$B$3+16))="",INDIRECT(ADDRESS(ROW(),Sheet3!$B$3+17))=""),        (INDIRECT(ADDRESS(ROW(),Sheet3!$B$3+16))+B404)*Sheet3!$Q$4,         INDIRECT(ADDRESS(ROW(),Sheet3!$B$3+17))-INDIRECT(ADDRESS(ROW(),Sheet3!$B$3+16))))))))</f>
        <v>0</v>
      </c>
      <c r="D404" s="39">
        <f ca="1">IF(Sheet3!$B$5="",0,IF(B404="","",IF(E404&lt;1,0,   IF(INDIRECT(ADDRESS(ROW(), Sheet3!$B$3+17))="",        INDIRECT(ADDRESS(ROW(), Sheet3!$B$3+16))*  (1+Sheet3!$Q$4)   +B404*Sheet3!$Q$4,       INDIRECT(ADDRESS(ROW(), Sheet3!$B$3+17))))))</f>
        <v>0</v>
      </c>
      <c r="E404" s="40">
        <f ca="1">IF(AND(Sheet1!L404&lt;0,  Sheet1!$C$21&gt;R404),    IF(OR(Sheet1!$C$21&lt;=R405,  Sheet1!L405=""),       IF(AND(MOD(NOW(),1)&lt;TIME(9,39,0),Sheet1!$C$22=TODAY()),    Sheet1!$C$21-R404,     Sheet1!$C$21-R404-1),               R405-R404-1),    0)</f>
        <v>0</v>
      </c>
      <c r="F404" s="30"/>
      <c r="G404" s="25" t="str">
        <f>IF(LEFT(Sheet1!K405,2)="0x",Sheet1!K404,IF(AND(Sheet1!L404="",Sheet1!L403=""),"",G403))</f>
        <v/>
      </c>
      <c r="H404" s="81"/>
      <c r="I404" s="43" t="str">
        <f t="shared" si="29"/>
        <v/>
      </c>
      <c r="J404" s="29" t="str">
        <f t="shared" si="28"/>
        <v/>
      </c>
      <c r="K404" s="24" t="str">
        <f>IF(Sheet1!L404="","",IF(Sheet1!L404&gt;0,ROW(),""))</f>
        <v/>
      </c>
      <c r="L404" s="24" t="str">
        <f t="shared" ca="1" si="30"/>
        <v/>
      </c>
      <c r="M404" s="47" t="str">
        <f t="shared" ca="1" si="31"/>
        <v/>
      </c>
      <c r="N404" s="48" t="str">
        <f>IF(LEFT(Sheet1!K404,2)="0x",Sheet1!K404,IF(AND(Sheet1!L404="",Sheet1!L403=""),"",N403))</f>
        <v/>
      </c>
      <c r="O404" s="46">
        <f>IF(Sheet1!L404="",0,IF(Sheet1!O404&lt;TIME(7,39,0)+Sheet1!$E$3/24,1,0))</f>
        <v>0</v>
      </c>
      <c r="P404" s="46" t="str">
        <f ca="1">IF(AND(Sheet1!L404&lt;0, Sheet1!$C$21&gt;R404,OR(Sheet1!$C$21&lt;=R405,Sheet1!L405="")),   -1*Sheet1!L404,"")</f>
        <v/>
      </c>
    </row>
    <row r="405" spans="1:16" ht="15.75" x14ac:dyDescent="0.25">
      <c r="A405" s="456" t="str">
        <f>IF(AND(R405&lt;&gt;"",R404&lt;&gt;""),(-Sheet1!L405/Sheet1!L404)^(360/(R405-R404-1))-1,"")</f>
        <v/>
      </c>
      <c r="B405" s="41" t="str">
        <f ca="1">IF(AND(Sheet1!L405&lt;0, Sheet1!$C$21&gt;R405+1,OR(Sheet1!$C$21&lt;=R406,Sheet1!L406="")),   -1*Sheet1!L405,"")</f>
        <v/>
      </c>
      <c r="C405" s="42">
        <f ca="1">IF(Sheet3!$B$5="",0,    IF(E405&lt;1,0,  IF(B405="","",     IF(OR(Sheet3!$B$6=0,INDIRECT(ADDRESS(ROW(),Sheet3!$B$3+16))="" ),D405/E405,    IF(E405&lt;0,0,    IF(OR( INDIRECT(ADDRESS(8,Sheet3!$B$3+16))="",INDIRECT(ADDRESS(ROW(),Sheet3!$B$3+17))=""),        (INDIRECT(ADDRESS(ROW(),Sheet3!$B$3+16))+B405)*Sheet3!$Q$4,         INDIRECT(ADDRESS(ROW(),Sheet3!$B$3+17))-INDIRECT(ADDRESS(ROW(),Sheet3!$B$3+16))))))))</f>
        <v>0</v>
      </c>
      <c r="D405" s="39">
        <f ca="1">IF(Sheet3!$B$5="",0,IF(B405="","",IF(E405&lt;1,0,   IF(INDIRECT(ADDRESS(ROW(), Sheet3!$B$3+17))="",        INDIRECT(ADDRESS(ROW(), Sheet3!$B$3+16))*  (1+Sheet3!$Q$4)   +B405*Sheet3!$Q$4,       INDIRECT(ADDRESS(ROW(), Sheet3!$B$3+17))))))</f>
        <v>0</v>
      </c>
      <c r="E405" s="40">
        <f ca="1">IF(AND(Sheet1!L405&lt;0,  Sheet1!$C$21&gt;R405),    IF(OR(Sheet1!$C$21&lt;=R406,  Sheet1!L406=""),       IF(AND(MOD(NOW(),1)&lt;TIME(9,39,0),Sheet1!$C$22=TODAY()),    Sheet1!$C$21-R405,     Sheet1!$C$21-R405-1),               R406-R405-1),    0)</f>
        <v>0</v>
      </c>
      <c r="F405" s="30"/>
      <c r="G405" s="25" t="str">
        <f>IF(LEFT(Sheet1!K406,2)="0x",Sheet1!K405,IF(AND(Sheet1!L405="",Sheet1!L404=""),"",G404))</f>
        <v/>
      </c>
      <c r="H405" s="81"/>
      <c r="I405" s="43" t="str">
        <f t="shared" si="29"/>
        <v/>
      </c>
      <c r="J405" s="29" t="str">
        <f t="shared" si="28"/>
        <v/>
      </c>
      <c r="K405" s="24" t="str">
        <f>IF(Sheet1!L405="","",IF(Sheet1!L405&gt;0,ROW(),""))</f>
        <v/>
      </c>
      <c r="L405" s="24" t="str">
        <f t="shared" ca="1" si="30"/>
        <v/>
      </c>
      <c r="M405" s="47" t="str">
        <f t="shared" ca="1" si="31"/>
        <v/>
      </c>
      <c r="N405" s="48" t="str">
        <f>IF(LEFT(Sheet1!K405,2)="0x",Sheet1!K405,IF(AND(Sheet1!L405="",Sheet1!L404=""),"",N404))</f>
        <v/>
      </c>
      <c r="O405" s="46">
        <f>IF(Sheet1!L405="",0,IF(Sheet1!O405&lt;TIME(7,39,0)+Sheet1!$E$3/24,1,0))</f>
        <v>0</v>
      </c>
      <c r="P405" s="46" t="str">
        <f ca="1">IF(AND(Sheet1!L405&lt;0, Sheet1!$C$21&gt;R405,OR(Sheet1!$C$21&lt;=R406,Sheet1!L406="")),   -1*Sheet1!L405,"")</f>
        <v/>
      </c>
    </row>
    <row r="406" spans="1:16" ht="15.75" x14ac:dyDescent="0.25">
      <c r="A406" s="456" t="str">
        <f>IF(AND(R406&lt;&gt;"",R405&lt;&gt;""),(-Sheet1!L406/Sheet1!L405)^(360/(R406-R405-1))-1,"")</f>
        <v/>
      </c>
      <c r="B406" s="41" t="str">
        <f ca="1">IF(AND(Sheet1!L406&lt;0, Sheet1!$C$21&gt;R406+1,OR(Sheet1!$C$21&lt;=R407,Sheet1!L407="")),   -1*Sheet1!L406,"")</f>
        <v/>
      </c>
      <c r="C406" s="42">
        <f ca="1">IF(Sheet3!$B$5="",0,    IF(E406&lt;1,0,  IF(B406="","",     IF(OR(Sheet3!$B$6=0,INDIRECT(ADDRESS(ROW(),Sheet3!$B$3+16))="" ),D406/E406,    IF(E406&lt;0,0,    IF(OR( INDIRECT(ADDRESS(8,Sheet3!$B$3+16))="",INDIRECT(ADDRESS(ROW(),Sheet3!$B$3+17))=""),        (INDIRECT(ADDRESS(ROW(),Sheet3!$B$3+16))+B406)*Sheet3!$Q$4,         INDIRECT(ADDRESS(ROW(),Sheet3!$B$3+17))-INDIRECT(ADDRESS(ROW(),Sheet3!$B$3+16))))))))</f>
        <v>0</v>
      </c>
      <c r="D406" s="39">
        <f ca="1">IF(Sheet3!$B$5="",0,IF(B406="","",IF(E406&lt;1,0,   IF(INDIRECT(ADDRESS(ROW(), Sheet3!$B$3+17))="",        INDIRECT(ADDRESS(ROW(), Sheet3!$B$3+16))*  (1+Sheet3!$Q$4)   +B406*Sheet3!$Q$4,       INDIRECT(ADDRESS(ROW(), Sheet3!$B$3+17))))))</f>
        <v>0</v>
      </c>
      <c r="E406" s="40">
        <f ca="1">IF(AND(Sheet1!L406&lt;0,  Sheet1!$C$21&gt;R406),    IF(OR(Sheet1!$C$21&lt;=R407,  Sheet1!L407=""),       IF(AND(MOD(NOW(),1)&lt;TIME(9,39,0),Sheet1!$C$22=TODAY()),    Sheet1!$C$21-R406,     Sheet1!$C$21-R406-1),               R407-R406-1),    0)</f>
        <v>0</v>
      </c>
      <c r="F406" s="30"/>
      <c r="G406" s="25" t="str">
        <f>IF(LEFT(Sheet1!K407,2)="0x",Sheet1!K406,IF(AND(Sheet1!L406="",Sheet1!L405=""),"",G405))</f>
        <v/>
      </c>
      <c r="H406" s="81"/>
      <c r="I406" s="43" t="str">
        <f t="shared" si="29"/>
        <v/>
      </c>
      <c r="J406" s="29" t="str">
        <f t="shared" si="28"/>
        <v/>
      </c>
      <c r="K406" s="24" t="str">
        <f>IF(Sheet1!L406="","",IF(Sheet1!L406&gt;0,ROW(),""))</f>
        <v/>
      </c>
      <c r="L406" s="24" t="str">
        <f t="shared" ca="1" si="30"/>
        <v/>
      </c>
      <c r="M406" s="47" t="str">
        <f t="shared" ca="1" si="31"/>
        <v/>
      </c>
      <c r="N406" s="48" t="str">
        <f>IF(LEFT(Sheet1!K406,2)="0x",Sheet1!K406,IF(AND(Sheet1!L406="",Sheet1!L405=""),"",N405))</f>
        <v/>
      </c>
      <c r="O406" s="46">
        <f>IF(Sheet1!L406="",0,IF(Sheet1!O406&lt;TIME(7,39,0)+Sheet1!$E$3/24,1,0))</f>
        <v>0</v>
      </c>
      <c r="P406" s="46" t="str">
        <f ca="1">IF(AND(Sheet1!L406&lt;0, Sheet1!$C$21&gt;R406,OR(Sheet1!$C$21&lt;=R407,Sheet1!L407="")),   -1*Sheet1!L406,"")</f>
        <v/>
      </c>
    </row>
    <row r="407" spans="1:16" ht="15.75" x14ac:dyDescent="0.25">
      <c r="A407" s="456" t="str">
        <f>IF(AND(R407&lt;&gt;"",R406&lt;&gt;""),(-Sheet1!L407/Sheet1!L406)^(360/(R407-R406-1))-1,"")</f>
        <v/>
      </c>
      <c r="B407" s="41" t="str">
        <f ca="1">IF(AND(Sheet1!L407&lt;0, Sheet1!$C$21&gt;R407+1,OR(Sheet1!$C$21&lt;=R408,Sheet1!L408="")),   -1*Sheet1!L407,"")</f>
        <v/>
      </c>
      <c r="C407" s="42">
        <f ca="1">IF(Sheet3!$B$5="",0,    IF(E407&lt;1,0,  IF(B407="","",     IF(OR(Sheet3!$B$6=0,INDIRECT(ADDRESS(ROW(),Sheet3!$B$3+16))="" ),D407/E407,    IF(E407&lt;0,0,    IF(OR( INDIRECT(ADDRESS(8,Sheet3!$B$3+16))="",INDIRECT(ADDRESS(ROW(),Sheet3!$B$3+17))=""),        (INDIRECT(ADDRESS(ROW(),Sheet3!$B$3+16))+B407)*Sheet3!$Q$4,         INDIRECT(ADDRESS(ROW(),Sheet3!$B$3+17))-INDIRECT(ADDRESS(ROW(),Sheet3!$B$3+16))))))))</f>
        <v>0</v>
      </c>
      <c r="D407" s="39">
        <f ca="1">IF(Sheet3!$B$5="",0,IF(B407="","",IF(E407&lt;1,0,   IF(INDIRECT(ADDRESS(ROW(), Sheet3!$B$3+17))="",        INDIRECT(ADDRESS(ROW(), Sheet3!$B$3+16))*  (1+Sheet3!$Q$4)   +B407*Sheet3!$Q$4,       INDIRECT(ADDRESS(ROW(), Sheet3!$B$3+17))))))</f>
        <v>0</v>
      </c>
      <c r="E407" s="40">
        <f ca="1">IF(AND(Sheet1!L407&lt;0,  Sheet1!$C$21&gt;R407),    IF(OR(Sheet1!$C$21&lt;=R408,  Sheet1!L408=""),       IF(AND(MOD(NOW(),1)&lt;TIME(9,39,0),Sheet1!$C$22=TODAY()),    Sheet1!$C$21-R407,     Sheet1!$C$21-R407-1),               R408-R407-1),    0)</f>
        <v>0</v>
      </c>
      <c r="F407" s="30"/>
      <c r="G407" s="25" t="str">
        <f>IF(LEFT(Sheet1!K408,2)="0x",Sheet1!K407,IF(AND(Sheet1!L407="",Sheet1!L406=""),"",G406))</f>
        <v/>
      </c>
      <c r="H407" s="81"/>
      <c r="I407" s="43" t="str">
        <f t="shared" si="29"/>
        <v/>
      </c>
      <c r="J407" s="29" t="str">
        <f t="shared" si="28"/>
        <v/>
      </c>
      <c r="K407" s="24" t="str">
        <f>IF(Sheet1!L407="","",IF(Sheet1!L407&gt;0,ROW(),""))</f>
        <v/>
      </c>
      <c r="L407" s="24" t="str">
        <f t="shared" ca="1" si="30"/>
        <v/>
      </c>
      <c r="M407" s="47" t="str">
        <f t="shared" ca="1" si="31"/>
        <v/>
      </c>
      <c r="N407" s="48" t="str">
        <f>IF(LEFT(Sheet1!K407,2)="0x",Sheet1!K407,IF(AND(Sheet1!L407="",Sheet1!L406=""),"",N406))</f>
        <v/>
      </c>
      <c r="O407" s="46">
        <f>IF(Sheet1!L407="",0,IF(Sheet1!O407&lt;TIME(7,39,0)+Sheet1!$E$3/24,1,0))</f>
        <v>0</v>
      </c>
      <c r="P407" s="46" t="str">
        <f ca="1">IF(AND(Sheet1!L407&lt;0, Sheet1!$C$21&gt;R407,OR(Sheet1!$C$21&lt;=R408,Sheet1!L408="")),   -1*Sheet1!L407,"")</f>
        <v/>
      </c>
    </row>
    <row r="408" spans="1:16" ht="15.75" x14ac:dyDescent="0.25">
      <c r="A408" s="456" t="str">
        <f>IF(AND(R408&lt;&gt;"",R407&lt;&gt;""),(-Sheet1!L408/Sheet1!L407)^(360/(R408-R407-1))-1,"")</f>
        <v/>
      </c>
      <c r="B408" s="41" t="str">
        <f ca="1">IF(AND(Sheet1!L408&lt;0, Sheet1!$C$21&gt;R408+1,OR(Sheet1!$C$21&lt;=R409,Sheet1!L409="")),   -1*Sheet1!L408,"")</f>
        <v/>
      </c>
      <c r="C408" s="42">
        <f ca="1">IF(Sheet3!$B$5="",0,    IF(E408&lt;1,0,  IF(B408="","",     IF(OR(Sheet3!$B$6=0,INDIRECT(ADDRESS(ROW(),Sheet3!$B$3+16))="" ),D408/E408,    IF(E408&lt;0,0,    IF(OR( INDIRECT(ADDRESS(8,Sheet3!$B$3+16))="",INDIRECT(ADDRESS(ROW(),Sheet3!$B$3+17))=""),        (INDIRECT(ADDRESS(ROW(),Sheet3!$B$3+16))+B408)*Sheet3!$Q$4,         INDIRECT(ADDRESS(ROW(),Sheet3!$B$3+17))-INDIRECT(ADDRESS(ROW(),Sheet3!$B$3+16))))))))</f>
        <v>0</v>
      </c>
      <c r="D408" s="39">
        <f ca="1">IF(Sheet3!$B$5="",0,IF(B408="","",IF(E408&lt;1,0,   IF(INDIRECT(ADDRESS(ROW(), Sheet3!$B$3+17))="",        INDIRECT(ADDRESS(ROW(), Sheet3!$B$3+16))*  (1+Sheet3!$Q$4)   +B408*Sheet3!$Q$4,       INDIRECT(ADDRESS(ROW(), Sheet3!$B$3+17))))))</f>
        <v>0</v>
      </c>
      <c r="E408" s="40">
        <f ca="1">IF(AND(Sheet1!L408&lt;0,  Sheet1!$C$21&gt;R408),    IF(OR(Sheet1!$C$21&lt;=R409,  Sheet1!L409=""),       IF(AND(MOD(NOW(),1)&lt;TIME(9,39,0),Sheet1!$C$22=TODAY()),    Sheet1!$C$21-R408,     Sheet1!$C$21-R408-1),               R409-R408-1),    0)</f>
        <v>0</v>
      </c>
      <c r="F408" s="30"/>
      <c r="G408" s="25" t="str">
        <f>IF(LEFT(Sheet1!K409,2)="0x",Sheet1!K408,IF(AND(Sheet1!L408="",Sheet1!L407=""),"",G407))</f>
        <v/>
      </c>
      <c r="H408" s="81"/>
      <c r="I408" s="43" t="str">
        <f t="shared" si="29"/>
        <v/>
      </c>
      <c r="J408" s="29" t="str">
        <f t="shared" si="28"/>
        <v/>
      </c>
      <c r="K408" s="24" t="str">
        <f>IF(Sheet1!L408="","",IF(Sheet1!L408&gt;0,ROW(),""))</f>
        <v/>
      </c>
      <c r="L408" s="24" t="str">
        <f t="shared" ca="1" si="30"/>
        <v/>
      </c>
      <c r="M408" s="47" t="str">
        <f t="shared" ca="1" si="31"/>
        <v/>
      </c>
      <c r="N408" s="48" t="str">
        <f>IF(LEFT(Sheet1!K408,2)="0x",Sheet1!K408,IF(AND(Sheet1!L408="",Sheet1!L407=""),"",N407))</f>
        <v/>
      </c>
      <c r="O408" s="46">
        <f>IF(Sheet1!L408="",0,IF(Sheet1!O408&lt;TIME(7,39,0)+Sheet1!$E$3/24,1,0))</f>
        <v>0</v>
      </c>
      <c r="P408" s="46" t="str">
        <f ca="1">IF(AND(Sheet1!L408&lt;0, Sheet1!$C$21&gt;R408,OR(Sheet1!$C$21&lt;=R409,Sheet1!L409="")),   -1*Sheet1!L408,"")</f>
        <v/>
      </c>
    </row>
    <row r="409" spans="1:16" ht="15.75" x14ac:dyDescent="0.25">
      <c r="A409" s="456" t="str">
        <f>IF(AND(R409&lt;&gt;"",R408&lt;&gt;""),(-Sheet1!L409/Sheet1!L408)^(360/(R409-R408-1))-1,"")</f>
        <v/>
      </c>
      <c r="B409" s="41" t="str">
        <f ca="1">IF(AND(Sheet1!L409&lt;0, Sheet1!$C$21&gt;R409+1,OR(Sheet1!$C$21&lt;=R410,Sheet1!L410="")),   -1*Sheet1!L409,"")</f>
        <v/>
      </c>
      <c r="C409" s="42">
        <f ca="1">IF(Sheet3!$B$5="",0,    IF(E409&lt;1,0,  IF(B409="","",     IF(OR(Sheet3!$B$6=0,INDIRECT(ADDRESS(ROW(),Sheet3!$B$3+16))="" ),D409/E409,    IF(E409&lt;0,0,    IF(OR( INDIRECT(ADDRESS(8,Sheet3!$B$3+16))="",INDIRECT(ADDRESS(ROW(),Sheet3!$B$3+17))=""),        (INDIRECT(ADDRESS(ROW(),Sheet3!$B$3+16))+B409)*Sheet3!$Q$4,         INDIRECT(ADDRESS(ROW(),Sheet3!$B$3+17))-INDIRECT(ADDRESS(ROW(),Sheet3!$B$3+16))))))))</f>
        <v>0</v>
      </c>
      <c r="D409" s="39">
        <f ca="1">IF(Sheet3!$B$5="",0,IF(B409="","",IF(E409&lt;1,0,   IF(INDIRECT(ADDRESS(ROW(), Sheet3!$B$3+17))="",        INDIRECT(ADDRESS(ROW(), Sheet3!$B$3+16))*  (1+Sheet3!$Q$4)   +B409*Sheet3!$Q$4,       INDIRECT(ADDRESS(ROW(), Sheet3!$B$3+17))))))</f>
        <v>0</v>
      </c>
      <c r="E409" s="40">
        <f ca="1">IF(AND(Sheet1!L409&lt;0,  Sheet1!$C$21&gt;R409),    IF(OR(Sheet1!$C$21&lt;=R410,  Sheet1!L410=""),       IF(AND(MOD(NOW(),1)&lt;TIME(9,39,0),Sheet1!$C$22=TODAY()),    Sheet1!$C$21-R409,     Sheet1!$C$21-R409-1),               R410-R409-1),    0)</f>
        <v>0</v>
      </c>
      <c r="F409" s="30"/>
      <c r="G409" s="25" t="str">
        <f>IF(LEFT(Sheet1!K410,2)="0x",Sheet1!K409,IF(AND(Sheet1!L409="",Sheet1!L408=""),"",G408))</f>
        <v/>
      </c>
      <c r="H409" s="81"/>
      <c r="I409" s="43" t="str">
        <f t="shared" si="29"/>
        <v/>
      </c>
      <c r="J409" s="29" t="str">
        <f t="shared" ref="J409:J472" si="32">IF(I409="","",INDEX(G:G,I409))</f>
        <v/>
      </c>
      <c r="K409" s="24" t="str">
        <f>IF(Sheet1!L409="","",IF(Sheet1!L409&gt;0,ROW(),""))</f>
        <v/>
      </c>
      <c r="L409" s="24" t="str">
        <f t="shared" ca="1" si="30"/>
        <v/>
      </c>
      <c r="M409" s="47" t="str">
        <f t="shared" ca="1" si="31"/>
        <v/>
      </c>
      <c r="N409" s="48" t="str">
        <f>IF(LEFT(Sheet1!K409,2)="0x",Sheet1!K409,IF(AND(Sheet1!L409="",Sheet1!L408=""),"",N408))</f>
        <v/>
      </c>
      <c r="O409" s="46">
        <f>IF(Sheet1!L409="",0,IF(Sheet1!O409&lt;TIME(7,39,0)+Sheet1!$E$3/24,1,0))</f>
        <v>0</v>
      </c>
      <c r="P409" s="46" t="str">
        <f ca="1">IF(AND(Sheet1!L409&lt;0, Sheet1!$C$21&gt;R409,OR(Sheet1!$C$21&lt;=R410,Sheet1!L410="")),   -1*Sheet1!L409,"")</f>
        <v/>
      </c>
    </row>
    <row r="410" spans="1:16" ht="15.75" x14ac:dyDescent="0.25">
      <c r="A410" s="456" t="str">
        <f>IF(AND(R410&lt;&gt;"",R409&lt;&gt;""),(-Sheet1!L410/Sheet1!L409)^(360/(R410-R409-1))-1,"")</f>
        <v/>
      </c>
      <c r="B410" s="41" t="str">
        <f ca="1">IF(AND(Sheet1!L410&lt;0, Sheet1!$C$21&gt;R410+1,OR(Sheet1!$C$21&lt;=R411,Sheet1!L411="")),   -1*Sheet1!L410,"")</f>
        <v/>
      </c>
      <c r="C410" s="42">
        <f ca="1">IF(Sheet3!$B$5="",0,    IF(E410&lt;1,0,  IF(B410="","",     IF(OR(Sheet3!$B$6=0,INDIRECT(ADDRESS(ROW(),Sheet3!$B$3+16))="" ),D410/E410,    IF(E410&lt;0,0,    IF(OR( INDIRECT(ADDRESS(8,Sheet3!$B$3+16))="",INDIRECT(ADDRESS(ROW(),Sheet3!$B$3+17))=""),        (INDIRECT(ADDRESS(ROW(),Sheet3!$B$3+16))+B410)*Sheet3!$Q$4,         INDIRECT(ADDRESS(ROW(),Sheet3!$B$3+17))-INDIRECT(ADDRESS(ROW(),Sheet3!$B$3+16))))))))</f>
        <v>0</v>
      </c>
      <c r="D410" s="39">
        <f ca="1">IF(Sheet3!$B$5="",0,IF(B410="","",IF(E410&lt;1,0,   IF(INDIRECT(ADDRESS(ROW(), Sheet3!$B$3+17))="",        INDIRECT(ADDRESS(ROW(), Sheet3!$B$3+16))*  (1+Sheet3!$Q$4)   +B410*Sheet3!$Q$4,       INDIRECT(ADDRESS(ROW(), Sheet3!$B$3+17))))))</f>
        <v>0</v>
      </c>
      <c r="E410" s="40">
        <f ca="1">IF(AND(Sheet1!L410&lt;0,  Sheet1!$C$21&gt;R410),    IF(OR(Sheet1!$C$21&lt;=R411,  Sheet1!L411=""),       IF(AND(MOD(NOW(),1)&lt;TIME(9,39,0),Sheet1!$C$22=TODAY()),    Sheet1!$C$21-R410,     Sheet1!$C$21-R410-1),               R411-R410-1),    0)</f>
        <v>0</v>
      </c>
      <c r="F410" s="30"/>
      <c r="G410" s="25" t="str">
        <f>IF(LEFT(Sheet1!K411,2)="0x",Sheet1!K410,IF(AND(Sheet1!L410="",Sheet1!L409=""),"",G409))</f>
        <v/>
      </c>
      <c r="H410" s="81"/>
      <c r="I410" s="43" t="str">
        <f t="shared" si="29"/>
        <v/>
      </c>
      <c r="J410" s="29" t="str">
        <f t="shared" si="32"/>
        <v/>
      </c>
      <c r="K410" s="24" t="str">
        <f>IF(Sheet1!L410="","",IF(Sheet1!L410&gt;0,ROW(),""))</f>
        <v/>
      </c>
      <c r="L410" s="24" t="str">
        <f t="shared" ca="1" si="30"/>
        <v/>
      </c>
      <c r="M410" s="47" t="str">
        <f t="shared" ca="1" si="31"/>
        <v/>
      </c>
      <c r="N410" s="48" t="str">
        <f>IF(LEFT(Sheet1!K410,2)="0x",Sheet1!K410,IF(AND(Sheet1!L410="",Sheet1!L409=""),"",N409))</f>
        <v/>
      </c>
      <c r="O410" s="46">
        <f>IF(Sheet1!L410="",0,IF(Sheet1!O410&lt;TIME(7,39,0)+Sheet1!$E$3/24,1,0))</f>
        <v>0</v>
      </c>
      <c r="P410" s="46" t="str">
        <f ca="1">IF(AND(Sheet1!L410&lt;0, Sheet1!$C$21&gt;R410,OR(Sheet1!$C$21&lt;=R411,Sheet1!L411="")),   -1*Sheet1!L410,"")</f>
        <v/>
      </c>
    </row>
    <row r="411" spans="1:16" ht="15.75" x14ac:dyDescent="0.25">
      <c r="A411" s="456" t="str">
        <f>IF(AND(R411&lt;&gt;"",R410&lt;&gt;""),(-Sheet1!L411/Sheet1!L410)^(360/(R411-R410-1))-1,"")</f>
        <v/>
      </c>
      <c r="B411" s="41" t="str">
        <f ca="1">IF(AND(Sheet1!L411&lt;0, Sheet1!$C$21&gt;R411+1,OR(Sheet1!$C$21&lt;=R412,Sheet1!L412="")),   -1*Sheet1!L411,"")</f>
        <v/>
      </c>
      <c r="C411" s="42">
        <f ca="1">IF(Sheet3!$B$5="",0,    IF(E411&lt;1,0,  IF(B411="","",     IF(OR(Sheet3!$B$6=0,INDIRECT(ADDRESS(ROW(),Sheet3!$B$3+16))="" ),D411/E411,    IF(E411&lt;0,0,    IF(OR( INDIRECT(ADDRESS(8,Sheet3!$B$3+16))="",INDIRECT(ADDRESS(ROW(),Sheet3!$B$3+17))=""),        (INDIRECT(ADDRESS(ROW(),Sheet3!$B$3+16))+B411)*Sheet3!$Q$4,         INDIRECT(ADDRESS(ROW(),Sheet3!$B$3+17))-INDIRECT(ADDRESS(ROW(),Sheet3!$B$3+16))))))))</f>
        <v>0</v>
      </c>
      <c r="D411" s="39">
        <f ca="1">IF(Sheet3!$B$5="",0,IF(B411="","",IF(E411&lt;1,0,   IF(INDIRECT(ADDRESS(ROW(), Sheet3!$B$3+17))="",        INDIRECT(ADDRESS(ROW(), Sheet3!$B$3+16))*  (1+Sheet3!$Q$4)   +B411*Sheet3!$Q$4,       INDIRECT(ADDRESS(ROW(), Sheet3!$B$3+17))))))</f>
        <v>0</v>
      </c>
      <c r="E411" s="40">
        <f ca="1">IF(AND(Sheet1!L411&lt;0,  Sheet1!$C$21&gt;R411),    IF(OR(Sheet1!$C$21&lt;=R412,  Sheet1!L412=""),       IF(AND(MOD(NOW(),1)&lt;TIME(9,39,0),Sheet1!$C$22=TODAY()),    Sheet1!$C$21-R411,     Sheet1!$C$21-R411-1),               R412-R411-1),    0)</f>
        <v>0</v>
      </c>
      <c r="F411" s="30"/>
      <c r="G411" s="25" t="str">
        <f>IF(LEFT(Sheet1!K412,2)="0x",Sheet1!K411,IF(AND(Sheet1!L411="",Sheet1!L410=""),"",G410))</f>
        <v/>
      </c>
      <c r="H411" s="81"/>
      <c r="I411" s="43" t="str">
        <f t="shared" si="29"/>
        <v/>
      </c>
      <c r="J411" s="29" t="str">
        <f t="shared" si="32"/>
        <v/>
      </c>
      <c r="K411" s="24" t="str">
        <f>IF(Sheet1!L411="","",IF(Sheet1!L411&gt;0,ROW(),""))</f>
        <v/>
      </c>
      <c r="L411" s="24" t="str">
        <f t="shared" ca="1" si="30"/>
        <v/>
      </c>
      <c r="M411" s="47" t="str">
        <f t="shared" ca="1" si="31"/>
        <v/>
      </c>
      <c r="N411" s="48" t="str">
        <f>IF(LEFT(Sheet1!K411,2)="0x",Sheet1!K411,IF(AND(Sheet1!L411="",Sheet1!L410=""),"",N410))</f>
        <v/>
      </c>
      <c r="O411" s="46">
        <f>IF(Sheet1!L411="",0,IF(Sheet1!O411&lt;TIME(7,39,0)+Sheet1!$E$3/24,1,0))</f>
        <v>0</v>
      </c>
      <c r="P411" s="46" t="str">
        <f ca="1">IF(AND(Sheet1!L411&lt;0, Sheet1!$C$21&gt;R411,OR(Sheet1!$C$21&lt;=R412,Sheet1!L412="")),   -1*Sheet1!L411,"")</f>
        <v/>
      </c>
    </row>
    <row r="412" spans="1:16" ht="15.75" x14ac:dyDescent="0.25">
      <c r="A412" s="456" t="str">
        <f>IF(AND(R412&lt;&gt;"",R411&lt;&gt;""),(-Sheet1!L412/Sheet1!L411)^(360/(R412-R411-1))-1,"")</f>
        <v/>
      </c>
      <c r="B412" s="41" t="str">
        <f ca="1">IF(AND(Sheet1!L412&lt;0, Sheet1!$C$21&gt;R412+1,OR(Sheet1!$C$21&lt;=R413,Sheet1!L413="")),   -1*Sheet1!L412,"")</f>
        <v/>
      </c>
      <c r="C412" s="42">
        <f ca="1">IF(Sheet3!$B$5="",0,    IF(E412&lt;1,0,  IF(B412="","",     IF(OR(Sheet3!$B$6=0,INDIRECT(ADDRESS(ROW(),Sheet3!$B$3+16))="" ),D412/E412,    IF(E412&lt;0,0,    IF(OR( INDIRECT(ADDRESS(8,Sheet3!$B$3+16))="",INDIRECT(ADDRESS(ROW(),Sheet3!$B$3+17))=""),        (INDIRECT(ADDRESS(ROW(),Sheet3!$B$3+16))+B412)*Sheet3!$Q$4,         INDIRECT(ADDRESS(ROW(),Sheet3!$B$3+17))-INDIRECT(ADDRESS(ROW(),Sheet3!$B$3+16))))))))</f>
        <v>0</v>
      </c>
      <c r="D412" s="39">
        <f ca="1">IF(Sheet3!$B$5="",0,IF(B412="","",IF(E412&lt;1,0,   IF(INDIRECT(ADDRESS(ROW(), Sheet3!$B$3+17))="",        INDIRECT(ADDRESS(ROW(), Sheet3!$B$3+16))*  (1+Sheet3!$Q$4)   +B412*Sheet3!$Q$4,       INDIRECT(ADDRESS(ROW(), Sheet3!$B$3+17))))))</f>
        <v>0</v>
      </c>
      <c r="E412" s="40">
        <f ca="1">IF(AND(Sheet1!L412&lt;0,  Sheet1!$C$21&gt;R412),    IF(OR(Sheet1!$C$21&lt;=R413,  Sheet1!L413=""),       IF(AND(MOD(NOW(),1)&lt;TIME(9,39,0),Sheet1!$C$22=TODAY()),    Sheet1!$C$21-R412,     Sheet1!$C$21-R412-1),               R413-R412-1),    0)</f>
        <v>0</v>
      </c>
      <c r="F412" s="30"/>
      <c r="G412" s="25" t="str">
        <f>IF(LEFT(Sheet1!K413,2)="0x",Sheet1!K412,IF(AND(Sheet1!L412="",Sheet1!L411=""),"",G411))</f>
        <v/>
      </c>
      <c r="H412" s="81"/>
      <c r="I412" s="43" t="str">
        <f t="shared" si="29"/>
        <v/>
      </c>
      <c r="J412" s="29" t="str">
        <f t="shared" si="32"/>
        <v/>
      </c>
      <c r="K412" s="24" t="str">
        <f>IF(Sheet1!L412="","",IF(Sheet1!L412&gt;0,ROW(),""))</f>
        <v/>
      </c>
      <c r="L412" s="24" t="str">
        <f t="shared" ca="1" si="30"/>
        <v/>
      </c>
      <c r="M412" s="47" t="str">
        <f t="shared" ca="1" si="31"/>
        <v/>
      </c>
      <c r="N412" s="48" t="str">
        <f>IF(LEFT(Sheet1!K412,2)="0x",Sheet1!K412,IF(AND(Sheet1!L412="",Sheet1!L411=""),"",N411))</f>
        <v/>
      </c>
      <c r="O412" s="46">
        <f>IF(Sheet1!L412="",0,IF(Sheet1!O412&lt;TIME(7,39,0)+Sheet1!$E$3/24,1,0))</f>
        <v>0</v>
      </c>
      <c r="P412" s="46" t="str">
        <f ca="1">IF(AND(Sheet1!L412&lt;0, Sheet1!$C$21&gt;R412,OR(Sheet1!$C$21&lt;=R413,Sheet1!L413="")),   -1*Sheet1!L412,"")</f>
        <v/>
      </c>
    </row>
    <row r="413" spans="1:16" ht="15.75" x14ac:dyDescent="0.25">
      <c r="A413" s="456" t="str">
        <f>IF(AND(R413&lt;&gt;"",R412&lt;&gt;""),(-Sheet1!L413/Sheet1!L412)^(360/(R413-R412-1))-1,"")</f>
        <v/>
      </c>
      <c r="B413" s="41" t="str">
        <f ca="1">IF(AND(Sheet1!L413&lt;0, Sheet1!$C$21&gt;R413+1,OR(Sheet1!$C$21&lt;=R414,Sheet1!L414="")),   -1*Sheet1!L413,"")</f>
        <v/>
      </c>
      <c r="C413" s="42">
        <f ca="1">IF(Sheet3!$B$5="",0,    IF(E413&lt;1,0,  IF(B413="","",     IF(OR(Sheet3!$B$6=0,INDIRECT(ADDRESS(ROW(),Sheet3!$B$3+16))="" ),D413/E413,    IF(E413&lt;0,0,    IF(OR( INDIRECT(ADDRESS(8,Sheet3!$B$3+16))="",INDIRECT(ADDRESS(ROW(),Sheet3!$B$3+17))=""),        (INDIRECT(ADDRESS(ROW(),Sheet3!$B$3+16))+B413)*Sheet3!$Q$4,         INDIRECT(ADDRESS(ROW(),Sheet3!$B$3+17))-INDIRECT(ADDRESS(ROW(),Sheet3!$B$3+16))))))))</f>
        <v>0</v>
      </c>
      <c r="D413" s="39">
        <f ca="1">IF(Sheet3!$B$5="",0,IF(B413="","",IF(E413&lt;1,0,   IF(INDIRECT(ADDRESS(ROW(), Sheet3!$B$3+17))="",        INDIRECT(ADDRESS(ROW(), Sheet3!$B$3+16))*  (1+Sheet3!$Q$4)   +B413*Sheet3!$Q$4,       INDIRECT(ADDRESS(ROW(), Sheet3!$B$3+17))))))</f>
        <v>0</v>
      </c>
      <c r="E413" s="40">
        <f ca="1">IF(AND(Sheet1!L413&lt;0,  Sheet1!$C$21&gt;R413),    IF(OR(Sheet1!$C$21&lt;=R414,  Sheet1!L414=""),       IF(AND(MOD(NOW(),1)&lt;TIME(9,39,0),Sheet1!$C$22=TODAY()),    Sheet1!$C$21-R413,     Sheet1!$C$21-R413-1),               R414-R413-1),    0)</f>
        <v>0</v>
      </c>
      <c r="F413" s="30"/>
      <c r="G413" s="25" t="str">
        <f>IF(LEFT(Sheet1!K414,2)="0x",Sheet1!K413,IF(AND(Sheet1!L413="",Sheet1!L412=""),"",G412))</f>
        <v/>
      </c>
      <c r="H413" s="81"/>
      <c r="I413" s="43" t="str">
        <f t="shared" si="29"/>
        <v/>
      </c>
      <c r="J413" s="29" t="str">
        <f t="shared" si="32"/>
        <v/>
      </c>
      <c r="K413" s="24" t="str">
        <f>IF(Sheet1!L413="","",IF(Sheet1!L413&gt;0,ROW(),""))</f>
        <v/>
      </c>
      <c r="L413" s="24" t="str">
        <f t="shared" ca="1" si="30"/>
        <v/>
      </c>
      <c r="M413" s="47" t="str">
        <f t="shared" ca="1" si="31"/>
        <v/>
      </c>
      <c r="N413" s="48" t="str">
        <f>IF(LEFT(Sheet1!K413,2)="0x",Sheet1!K413,IF(AND(Sheet1!L413="",Sheet1!L412=""),"",N412))</f>
        <v/>
      </c>
      <c r="O413" s="46">
        <f>IF(Sheet1!L413="",0,IF(Sheet1!O413&lt;TIME(7,39,0)+Sheet1!$E$3/24,1,0))</f>
        <v>0</v>
      </c>
      <c r="P413" s="46" t="str">
        <f ca="1">IF(AND(Sheet1!L413&lt;0, Sheet1!$C$21&gt;R413,OR(Sheet1!$C$21&lt;=R414,Sheet1!L414="")),   -1*Sheet1!L413,"")</f>
        <v/>
      </c>
    </row>
    <row r="414" spans="1:16" ht="15.75" x14ac:dyDescent="0.25">
      <c r="A414" s="456" t="str">
        <f>IF(AND(R414&lt;&gt;"",R413&lt;&gt;""),(-Sheet1!L414/Sheet1!L413)^(360/(R414-R413-1))-1,"")</f>
        <v/>
      </c>
      <c r="B414" s="41" t="str">
        <f ca="1">IF(AND(Sheet1!L414&lt;0, Sheet1!$C$21&gt;R414+1,OR(Sheet1!$C$21&lt;=R415,Sheet1!L415="")),   -1*Sheet1!L414,"")</f>
        <v/>
      </c>
      <c r="C414" s="42">
        <f ca="1">IF(Sheet3!$B$5="",0,    IF(E414&lt;1,0,  IF(B414="","",     IF(OR(Sheet3!$B$6=0,INDIRECT(ADDRESS(ROW(),Sheet3!$B$3+16))="" ),D414/E414,    IF(E414&lt;0,0,    IF(OR( INDIRECT(ADDRESS(8,Sheet3!$B$3+16))="",INDIRECT(ADDRESS(ROW(),Sheet3!$B$3+17))=""),        (INDIRECT(ADDRESS(ROW(),Sheet3!$B$3+16))+B414)*Sheet3!$Q$4,         INDIRECT(ADDRESS(ROW(),Sheet3!$B$3+17))-INDIRECT(ADDRESS(ROW(),Sheet3!$B$3+16))))))))</f>
        <v>0</v>
      </c>
      <c r="D414" s="39">
        <f ca="1">IF(Sheet3!$B$5="",0,IF(B414="","",IF(E414&lt;1,0,   IF(INDIRECT(ADDRESS(ROW(), Sheet3!$B$3+17))="",        INDIRECT(ADDRESS(ROW(), Sheet3!$B$3+16))*  (1+Sheet3!$Q$4)   +B414*Sheet3!$Q$4,       INDIRECT(ADDRESS(ROW(), Sheet3!$B$3+17))))))</f>
        <v>0</v>
      </c>
      <c r="E414" s="40">
        <f ca="1">IF(AND(Sheet1!L414&lt;0,  Sheet1!$C$21&gt;R414),    IF(OR(Sheet1!$C$21&lt;=R415,  Sheet1!L415=""),       IF(AND(MOD(NOW(),1)&lt;TIME(9,39,0),Sheet1!$C$22=TODAY()),    Sheet1!$C$21-R414,     Sheet1!$C$21-R414-1),               R415-R414-1),    0)</f>
        <v>0</v>
      </c>
      <c r="F414" s="30"/>
      <c r="G414" s="25" t="str">
        <f>IF(LEFT(Sheet1!K415,2)="0x",Sheet1!K414,IF(AND(Sheet1!L414="",Sheet1!L413=""),"",G413))</f>
        <v/>
      </c>
      <c r="H414" s="81"/>
      <c r="I414" s="43" t="str">
        <f t="shared" si="29"/>
        <v/>
      </c>
      <c r="J414" s="29" t="str">
        <f t="shared" si="32"/>
        <v/>
      </c>
      <c r="K414" s="24" t="str">
        <f>IF(Sheet1!L414="","",IF(Sheet1!L414&gt;0,ROW(),""))</f>
        <v/>
      </c>
      <c r="L414" s="24" t="str">
        <f t="shared" ca="1" si="30"/>
        <v/>
      </c>
      <c r="M414" s="47" t="str">
        <f t="shared" ca="1" si="31"/>
        <v/>
      </c>
      <c r="N414" s="48" t="str">
        <f>IF(LEFT(Sheet1!K414,2)="0x",Sheet1!K414,IF(AND(Sheet1!L414="",Sheet1!L413=""),"",N413))</f>
        <v/>
      </c>
      <c r="O414" s="46">
        <f>IF(Sheet1!L414="",0,IF(Sheet1!O414&lt;TIME(7,39,0)+Sheet1!$E$3/24,1,0))</f>
        <v>0</v>
      </c>
      <c r="P414" s="46" t="str">
        <f ca="1">IF(AND(Sheet1!L414&lt;0, Sheet1!$C$21&gt;R414,OR(Sheet1!$C$21&lt;=R415,Sheet1!L415="")),   -1*Sheet1!L414,"")</f>
        <v/>
      </c>
    </row>
    <row r="415" spans="1:16" ht="15.75" x14ac:dyDescent="0.25">
      <c r="A415" s="456" t="str">
        <f>IF(AND(R415&lt;&gt;"",R414&lt;&gt;""),(-Sheet1!L415/Sheet1!L414)^(360/(R415-R414-1))-1,"")</f>
        <v/>
      </c>
      <c r="B415" s="41" t="str">
        <f ca="1">IF(AND(Sheet1!L415&lt;0, Sheet1!$C$21&gt;R415+1,OR(Sheet1!$C$21&lt;=R416,Sheet1!L416="")),   -1*Sheet1!L415,"")</f>
        <v/>
      </c>
      <c r="C415" s="42">
        <f ca="1">IF(Sheet3!$B$5="",0,    IF(E415&lt;1,0,  IF(B415="","",     IF(OR(Sheet3!$B$6=0,INDIRECT(ADDRESS(ROW(),Sheet3!$B$3+16))="" ),D415/E415,    IF(E415&lt;0,0,    IF(OR( INDIRECT(ADDRESS(8,Sheet3!$B$3+16))="",INDIRECT(ADDRESS(ROW(),Sheet3!$B$3+17))=""),        (INDIRECT(ADDRESS(ROW(),Sheet3!$B$3+16))+B415)*Sheet3!$Q$4,         INDIRECT(ADDRESS(ROW(),Sheet3!$B$3+17))-INDIRECT(ADDRESS(ROW(),Sheet3!$B$3+16))))))))</f>
        <v>0</v>
      </c>
      <c r="D415" s="39">
        <f ca="1">IF(Sheet3!$B$5="",0,IF(B415="","",IF(E415&lt;1,0,   IF(INDIRECT(ADDRESS(ROW(), Sheet3!$B$3+17))="",        INDIRECT(ADDRESS(ROW(), Sheet3!$B$3+16))*  (1+Sheet3!$Q$4)   +B415*Sheet3!$Q$4,       INDIRECT(ADDRESS(ROW(), Sheet3!$B$3+17))))))</f>
        <v>0</v>
      </c>
      <c r="E415" s="40">
        <f ca="1">IF(AND(Sheet1!L415&lt;0,  Sheet1!$C$21&gt;R415),    IF(OR(Sheet1!$C$21&lt;=R416,  Sheet1!L416=""),       IF(AND(MOD(NOW(),1)&lt;TIME(9,39,0),Sheet1!$C$22=TODAY()),    Sheet1!$C$21-R415,     Sheet1!$C$21-R415-1),               R416-R415-1),    0)</f>
        <v>0</v>
      </c>
      <c r="F415" s="30"/>
      <c r="G415" s="25" t="str">
        <f>IF(LEFT(Sheet1!K416,2)="0x",Sheet1!K415,IF(AND(Sheet1!L415="",Sheet1!L414=""),"",G414))</f>
        <v/>
      </c>
      <c r="H415" s="81"/>
      <c r="I415" s="43" t="str">
        <f t="shared" si="29"/>
        <v/>
      </c>
      <c r="J415" s="29" t="str">
        <f t="shared" si="32"/>
        <v/>
      </c>
      <c r="K415" s="24" t="str">
        <f>IF(Sheet1!L415="","",IF(Sheet1!L415&gt;0,ROW(),""))</f>
        <v/>
      </c>
      <c r="L415" s="24" t="str">
        <f t="shared" ca="1" si="30"/>
        <v/>
      </c>
      <c r="M415" s="47" t="str">
        <f t="shared" ca="1" si="31"/>
        <v/>
      </c>
      <c r="N415" s="48" t="str">
        <f>IF(LEFT(Sheet1!K415,2)="0x",Sheet1!K415,IF(AND(Sheet1!L415="",Sheet1!L414=""),"",N414))</f>
        <v/>
      </c>
      <c r="O415" s="46">
        <f>IF(Sheet1!L415="",0,IF(Sheet1!O415&lt;TIME(7,39,0)+Sheet1!$E$3/24,1,0))</f>
        <v>0</v>
      </c>
      <c r="P415" s="46" t="str">
        <f ca="1">IF(AND(Sheet1!L415&lt;0, Sheet1!$C$21&gt;R415,OR(Sheet1!$C$21&lt;=R416,Sheet1!L416="")),   -1*Sheet1!L415,"")</f>
        <v/>
      </c>
    </row>
    <row r="416" spans="1:16" ht="15.75" x14ac:dyDescent="0.25">
      <c r="A416" s="456" t="str">
        <f>IF(AND(R416&lt;&gt;"",R415&lt;&gt;""),(-Sheet1!L416/Sheet1!L415)^(360/(R416-R415-1))-1,"")</f>
        <v/>
      </c>
      <c r="B416" s="41" t="str">
        <f ca="1">IF(AND(Sheet1!L416&lt;0, Sheet1!$C$21&gt;R416+1,OR(Sheet1!$C$21&lt;=R417,Sheet1!L417="")),   -1*Sheet1!L416,"")</f>
        <v/>
      </c>
      <c r="C416" s="42">
        <f ca="1">IF(Sheet3!$B$5="",0,    IF(E416&lt;1,0,  IF(B416="","",     IF(OR(Sheet3!$B$6=0,INDIRECT(ADDRESS(ROW(),Sheet3!$B$3+16))="" ),D416/E416,    IF(E416&lt;0,0,    IF(OR( INDIRECT(ADDRESS(8,Sheet3!$B$3+16))="",INDIRECT(ADDRESS(ROW(),Sheet3!$B$3+17))=""),        (INDIRECT(ADDRESS(ROW(),Sheet3!$B$3+16))+B416)*Sheet3!$Q$4,         INDIRECT(ADDRESS(ROW(),Sheet3!$B$3+17))-INDIRECT(ADDRESS(ROW(),Sheet3!$B$3+16))))))))</f>
        <v>0</v>
      </c>
      <c r="D416" s="39">
        <f ca="1">IF(Sheet3!$B$5="",0,IF(B416="","",IF(E416&lt;1,0,   IF(INDIRECT(ADDRESS(ROW(), Sheet3!$B$3+17))="",        INDIRECT(ADDRESS(ROW(), Sheet3!$B$3+16))*  (1+Sheet3!$Q$4)   +B416*Sheet3!$Q$4,       INDIRECT(ADDRESS(ROW(), Sheet3!$B$3+17))))))</f>
        <v>0</v>
      </c>
      <c r="E416" s="40">
        <f ca="1">IF(AND(Sheet1!L416&lt;0,  Sheet1!$C$21&gt;R416),    IF(OR(Sheet1!$C$21&lt;=R417,  Sheet1!L417=""),       IF(AND(MOD(NOW(),1)&lt;TIME(9,39,0),Sheet1!$C$22=TODAY()),    Sheet1!$C$21-R416,     Sheet1!$C$21-R416-1),               R417-R416-1),    0)</f>
        <v>0</v>
      </c>
      <c r="F416" s="30"/>
      <c r="G416" s="25" t="str">
        <f>IF(LEFT(Sheet1!K417,2)="0x",Sheet1!K416,IF(AND(Sheet1!L416="",Sheet1!L415=""),"",G415))</f>
        <v/>
      </c>
      <c r="H416" s="81"/>
      <c r="I416" s="43" t="str">
        <f t="shared" si="29"/>
        <v/>
      </c>
      <c r="J416" s="29" t="str">
        <f t="shared" si="32"/>
        <v/>
      </c>
      <c r="K416" s="24" t="str">
        <f>IF(Sheet1!L416="","",IF(Sheet1!L416&gt;0,ROW(),""))</f>
        <v/>
      </c>
      <c r="L416" s="24" t="str">
        <f t="shared" ca="1" si="30"/>
        <v/>
      </c>
      <c r="M416" s="47" t="str">
        <f t="shared" ca="1" si="31"/>
        <v/>
      </c>
      <c r="N416" s="48" t="str">
        <f>IF(LEFT(Sheet1!K416,2)="0x",Sheet1!K416,IF(AND(Sheet1!L416="",Sheet1!L415=""),"",N415))</f>
        <v/>
      </c>
      <c r="O416" s="46">
        <f>IF(Sheet1!L416="",0,IF(Sheet1!O416&lt;TIME(7,39,0)+Sheet1!$E$3/24,1,0))</f>
        <v>0</v>
      </c>
      <c r="P416" s="46" t="str">
        <f ca="1">IF(AND(Sheet1!L416&lt;0, Sheet1!$C$21&gt;R416,OR(Sheet1!$C$21&lt;=R417,Sheet1!L417="")),   -1*Sheet1!L416,"")</f>
        <v/>
      </c>
    </row>
    <row r="417" spans="1:16" ht="15.75" x14ac:dyDescent="0.25">
      <c r="A417" s="456" t="str">
        <f>IF(AND(R417&lt;&gt;"",R416&lt;&gt;""),(-Sheet1!L417/Sheet1!L416)^(360/(R417-R416-1))-1,"")</f>
        <v/>
      </c>
      <c r="B417" s="41" t="str">
        <f ca="1">IF(AND(Sheet1!L417&lt;0, Sheet1!$C$21&gt;R417+1,OR(Sheet1!$C$21&lt;=R418,Sheet1!L418="")),   -1*Sheet1!L417,"")</f>
        <v/>
      </c>
      <c r="C417" s="42">
        <f ca="1">IF(Sheet3!$B$5="",0,    IF(E417&lt;1,0,  IF(B417="","",     IF(OR(Sheet3!$B$6=0,INDIRECT(ADDRESS(ROW(),Sheet3!$B$3+16))="" ),D417/E417,    IF(E417&lt;0,0,    IF(OR( INDIRECT(ADDRESS(8,Sheet3!$B$3+16))="",INDIRECT(ADDRESS(ROW(),Sheet3!$B$3+17))=""),        (INDIRECT(ADDRESS(ROW(),Sheet3!$B$3+16))+B417)*Sheet3!$Q$4,         INDIRECT(ADDRESS(ROW(),Sheet3!$B$3+17))-INDIRECT(ADDRESS(ROW(),Sheet3!$B$3+16))))))))</f>
        <v>0</v>
      </c>
      <c r="D417" s="39">
        <f ca="1">IF(Sheet3!$B$5="",0,IF(B417="","",IF(E417&lt;1,0,   IF(INDIRECT(ADDRESS(ROW(), Sheet3!$B$3+17))="",        INDIRECT(ADDRESS(ROW(), Sheet3!$B$3+16))*  (1+Sheet3!$Q$4)   +B417*Sheet3!$Q$4,       INDIRECT(ADDRESS(ROW(), Sheet3!$B$3+17))))))</f>
        <v>0</v>
      </c>
      <c r="E417" s="40">
        <f ca="1">IF(AND(Sheet1!L417&lt;0,  Sheet1!$C$21&gt;R417),    IF(OR(Sheet1!$C$21&lt;=R418,  Sheet1!L418=""),       IF(AND(MOD(NOW(),1)&lt;TIME(9,39,0),Sheet1!$C$22=TODAY()),    Sheet1!$C$21-R417,     Sheet1!$C$21-R417-1),               R418-R417-1),    0)</f>
        <v>0</v>
      </c>
      <c r="F417" s="30"/>
      <c r="G417" s="25" t="str">
        <f>IF(LEFT(Sheet1!K418,2)="0x",Sheet1!K417,IF(AND(Sheet1!L417="",Sheet1!L416=""),"",G416))</f>
        <v/>
      </c>
      <c r="H417" s="81"/>
      <c r="I417" s="43" t="str">
        <f t="shared" si="29"/>
        <v/>
      </c>
      <c r="J417" s="29" t="str">
        <f t="shared" si="32"/>
        <v/>
      </c>
      <c r="K417" s="24" t="str">
        <f>IF(Sheet1!L417="","",IF(Sheet1!L417&gt;0,ROW(),""))</f>
        <v/>
      </c>
      <c r="L417" s="24" t="str">
        <f t="shared" ca="1" si="30"/>
        <v/>
      </c>
      <c r="M417" s="47" t="str">
        <f t="shared" ca="1" si="31"/>
        <v/>
      </c>
      <c r="N417" s="48" t="str">
        <f>IF(LEFT(Sheet1!K417,2)="0x",Sheet1!K417,IF(AND(Sheet1!L417="",Sheet1!L416=""),"",N416))</f>
        <v/>
      </c>
      <c r="O417" s="46">
        <f>IF(Sheet1!L417="",0,IF(Sheet1!O417&lt;TIME(7,39,0)+Sheet1!$E$3/24,1,0))</f>
        <v>0</v>
      </c>
      <c r="P417" s="46" t="str">
        <f ca="1">IF(AND(Sheet1!L417&lt;0, Sheet1!$C$21&gt;R417,OR(Sheet1!$C$21&lt;=R418,Sheet1!L418="")),   -1*Sheet1!L417,"")</f>
        <v/>
      </c>
    </row>
    <row r="418" spans="1:16" ht="15.75" x14ac:dyDescent="0.25">
      <c r="A418" s="456" t="str">
        <f>IF(AND(R418&lt;&gt;"",R417&lt;&gt;""),(-Sheet1!L418/Sheet1!L417)^(360/(R418-R417-1))-1,"")</f>
        <v/>
      </c>
      <c r="B418" s="41" t="str">
        <f ca="1">IF(AND(Sheet1!L418&lt;0, Sheet1!$C$21&gt;R418+1,OR(Sheet1!$C$21&lt;=R419,Sheet1!L419="")),   -1*Sheet1!L418,"")</f>
        <v/>
      </c>
      <c r="C418" s="42">
        <f ca="1">IF(Sheet3!$B$5="",0,    IF(E418&lt;1,0,  IF(B418="","",     IF(OR(Sheet3!$B$6=0,INDIRECT(ADDRESS(ROW(),Sheet3!$B$3+16))="" ),D418/E418,    IF(E418&lt;0,0,    IF(OR( INDIRECT(ADDRESS(8,Sheet3!$B$3+16))="",INDIRECT(ADDRESS(ROW(),Sheet3!$B$3+17))=""),        (INDIRECT(ADDRESS(ROW(),Sheet3!$B$3+16))+B418)*Sheet3!$Q$4,         INDIRECT(ADDRESS(ROW(),Sheet3!$B$3+17))-INDIRECT(ADDRESS(ROW(),Sheet3!$B$3+16))))))))</f>
        <v>0</v>
      </c>
      <c r="D418" s="39">
        <f ca="1">IF(Sheet3!$B$5="",0,IF(B418="","",IF(E418&lt;1,0,   IF(INDIRECT(ADDRESS(ROW(), Sheet3!$B$3+17))="",        INDIRECT(ADDRESS(ROW(), Sheet3!$B$3+16))*  (1+Sheet3!$Q$4)   +B418*Sheet3!$Q$4,       INDIRECT(ADDRESS(ROW(), Sheet3!$B$3+17))))))</f>
        <v>0</v>
      </c>
      <c r="E418" s="40">
        <f ca="1">IF(AND(Sheet1!L418&lt;0,  Sheet1!$C$21&gt;R418),    IF(OR(Sheet1!$C$21&lt;=R419,  Sheet1!L419=""),       IF(AND(MOD(NOW(),1)&lt;TIME(9,39,0),Sheet1!$C$22=TODAY()),    Sheet1!$C$21-R418,     Sheet1!$C$21-R418-1),               R419-R418-1),    0)</f>
        <v>0</v>
      </c>
      <c r="F418" s="30"/>
      <c r="G418" s="25" t="str">
        <f>IF(LEFT(Sheet1!K419,2)="0x",Sheet1!K418,IF(AND(Sheet1!L418="",Sheet1!L417=""),"",G417))</f>
        <v/>
      </c>
      <c r="H418" s="81"/>
      <c r="I418" s="43" t="str">
        <f t="shared" si="29"/>
        <v/>
      </c>
      <c r="J418" s="29" t="str">
        <f t="shared" si="32"/>
        <v/>
      </c>
      <c r="K418" s="24" t="str">
        <f>IF(Sheet1!L418="","",IF(Sheet1!L418&gt;0,ROW(),""))</f>
        <v/>
      </c>
      <c r="L418" s="24" t="str">
        <f t="shared" ca="1" si="30"/>
        <v/>
      </c>
      <c r="M418" s="47" t="str">
        <f t="shared" ca="1" si="31"/>
        <v/>
      </c>
      <c r="N418" s="48" t="str">
        <f>IF(LEFT(Sheet1!K418,2)="0x",Sheet1!K418,IF(AND(Sheet1!L418="",Sheet1!L417=""),"",N417))</f>
        <v/>
      </c>
      <c r="O418" s="46">
        <f>IF(Sheet1!L418="",0,IF(Sheet1!O418&lt;TIME(7,39,0)+Sheet1!$E$3/24,1,0))</f>
        <v>0</v>
      </c>
      <c r="P418" s="46" t="str">
        <f ca="1">IF(AND(Sheet1!L418&lt;0, Sheet1!$C$21&gt;R418,OR(Sheet1!$C$21&lt;=R419,Sheet1!L419="")),   -1*Sheet1!L418,"")</f>
        <v/>
      </c>
    </row>
    <row r="419" spans="1:16" ht="15.75" x14ac:dyDescent="0.25">
      <c r="A419" s="456" t="str">
        <f>IF(AND(R419&lt;&gt;"",R418&lt;&gt;""),(-Sheet1!L419/Sheet1!L418)^(360/(R419-R418-1))-1,"")</f>
        <v/>
      </c>
      <c r="B419" s="41" t="str">
        <f ca="1">IF(AND(Sheet1!L419&lt;0, Sheet1!$C$21&gt;R419+1,OR(Sheet1!$C$21&lt;=R420,Sheet1!L420="")),   -1*Sheet1!L419,"")</f>
        <v/>
      </c>
      <c r="C419" s="42">
        <f ca="1">IF(Sheet3!$B$5="",0,    IF(E419&lt;1,0,  IF(B419="","",     IF(OR(Sheet3!$B$6=0,INDIRECT(ADDRESS(ROW(),Sheet3!$B$3+16))="" ),D419/E419,    IF(E419&lt;0,0,    IF(OR( INDIRECT(ADDRESS(8,Sheet3!$B$3+16))="",INDIRECT(ADDRESS(ROW(),Sheet3!$B$3+17))=""),        (INDIRECT(ADDRESS(ROW(),Sheet3!$B$3+16))+B419)*Sheet3!$Q$4,         INDIRECT(ADDRESS(ROW(),Sheet3!$B$3+17))-INDIRECT(ADDRESS(ROW(),Sheet3!$B$3+16))))))))</f>
        <v>0</v>
      </c>
      <c r="D419" s="39">
        <f ca="1">IF(Sheet3!$B$5="",0,IF(B419="","",IF(E419&lt;1,0,   IF(INDIRECT(ADDRESS(ROW(), Sheet3!$B$3+17))="",        INDIRECT(ADDRESS(ROW(), Sheet3!$B$3+16))*  (1+Sheet3!$Q$4)   +B419*Sheet3!$Q$4,       INDIRECT(ADDRESS(ROW(), Sheet3!$B$3+17))))))</f>
        <v>0</v>
      </c>
      <c r="E419" s="40">
        <f ca="1">IF(AND(Sheet1!L419&lt;0,  Sheet1!$C$21&gt;R419),    IF(OR(Sheet1!$C$21&lt;=R420,  Sheet1!L420=""),       IF(AND(MOD(NOW(),1)&lt;TIME(9,39,0),Sheet1!$C$22=TODAY()),    Sheet1!$C$21-R419,     Sheet1!$C$21-R419-1),               R420-R419-1),    0)</f>
        <v>0</v>
      </c>
      <c r="F419" s="30"/>
      <c r="G419" s="25" t="str">
        <f>IF(LEFT(Sheet1!K420,2)="0x",Sheet1!K419,IF(AND(Sheet1!L419="",Sheet1!L418=""),"",G418))</f>
        <v/>
      </c>
      <c r="H419" s="81"/>
      <c r="I419" s="43" t="str">
        <f t="shared" si="29"/>
        <v/>
      </c>
      <c r="J419" s="29" t="str">
        <f t="shared" si="32"/>
        <v/>
      </c>
      <c r="K419" s="24" t="str">
        <f>IF(Sheet1!L419="","",IF(Sheet1!L419&gt;0,ROW(),""))</f>
        <v/>
      </c>
      <c r="L419" s="24" t="str">
        <f t="shared" ca="1" si="30"/>
        <v/>
      </c>
      <c r="M419" s="47" t="str">
        <f t="shared" ca="1" si="31"/>
        <v/>
      </c>
      <c r="N419" s="48" t="str">
        <f>IF(LEFT(Sheet1!K419,2)="0x",Sheet1!K419,IF(AND(Sheet1!L419="",Sheet1!L418=""),"",N418))</f>
        <v/>
      </c>
      <c r="O419" s="46">
        <f>IF(Sheet1!L419="",0,IF(Sheet1!O419&lt;TIME(7,39,0)+Sheet1!$E$3/24,1,0))</f>
        <v>0</v>
      </c>
      <c r="P419" s="46" t="str">
        <f ca="1">IF(AND(Sheet1!L419&lt;0, Sheet1!$C$21&gt;R419,OR(Sheet1!$C$21&lt;=R420,Sheet1!L420="")),   -1*Sheet1!L419,"")</f>
        <v/>
      </c>
    </row>
    <row r="420" spans="1:16" ht="15.75" x14ac:dyDescent="0.25">
      <c r="A420" s="456" t="str">
        <f>IF(AND(R420&lt;&gt;"",R419&lt;&gt;""),(-Sheet1!L420/Sheet1!L419)^(360/(R420-R419-1))-1,"")</f>
        <v/>
      </c>
      <c r="B420" s="41" t="str">
        <f ca="1">IF(AND(Sheet1!L420&lt;0, Sheet1!$C$21&gt;R420+1,OR(Sheet1!$C$21&lt;=R421,Sheet1!L421="")),   -1*Sheet1!L420,"")</f>
        <v/>
      </c>
      <c r="C420" s="42">
        <f ca="1">IF(Sheet3!$B$5="",0,    IF(E420&lt;1,0,  IF(B420="","",     IF(OR(Sheet3!$B$6=0,INDIRECT(ADDRESS(ROW(),Sheet3!$B$3+16))="" ),D420/E420,    IF(E420&lt;0,0,    IF(OR( INDIRECT(ADDRESS(8,Sheet3!$B$3+16))="",INDIRECT(ADDRESS(ROW(),Sheet3!$B$3+17))=""),        (INDIRECT(ADDRESS(ROW(),Sheet3!$B$3+16))+B420)*Sheet3!$Q$4,         INDIRECT(ADDRESS(ROW(),Sheet3!$B$3+17))-INDIRECT(ADDRESS(ROW(),Sheet3!$B$3+16))))))))</f>
        <v>0</v>
      </c>
      <c r="D420" s="39">
        <f ca="1">IF(Sheet3!$B$5="",0,IF(B420="","",IF(E420&lt;1,0,   IF(INDIRECT(ADDRESS(ROW(), Sheet3!$B$3+17))="",        INDIRECT(ADDRESS(ROW(), Sheet3!$B$3+16))*  (1+Sheet3!$Q$4)   +B420*Sheet3!$Q$4,       INDIRECT(ADDRESS(ROW(), Sheet3!$B$3+17))))))</f>
        <v>0</v>
      </c>
      <c r="E420" s="40">
        <f ca="1">IF(AND(Sheet1!L420&lt;0,  Sheet1!$C$21&gt;R420),    IF(OR(Sheet1!$C$21&lt;=R421,  Sheet1!L421=""),       IF(AND(MOD(NOW(),1)&lt;TIME(9,39,0),Sheet1!$C$22=TODAY()),    Sheet1!$C$21-R420,     Sheet1!$C$21-R420-1),               R421-R420-1),    0)</f>
        <v>0</v>
      </c>
      <c r="F420" s="30"/>
      <c r="G420" s="25" t="str">
        <f>IF(LEFT(Sheet1!K421,2)="0x",Sheet1!K420,IF(AND(Sheet1!L420="",Sheet1!L419=""),"",G419))</f>
        <v/>
      </c>
      <c r="H420" s="81"/>
      <c r="I420" s="43" t="str">
        <f t="shared" si="29"/>
        <v/>
      </c>
      <c r="J420" s="29" t="str">
        <f t="shared" si="32"/>
        <v/>
      </c>
      <c r="K420" s="24" t="str">
        <f>IF(Sheet1!L420="","",IF(Sheet1!L420&gt;0,ROW(),""))</f>
        <v/>
      </c>
      <c r="L420" s="24" t="str">
        <f t="shared" ca="1" si="30"/>
        <v/>
      </c>
      <c r="M420" s="47" t="str">
        <f t="shared" ca="1" si="31"/>
        <v/>
      </c>
      <c r="N420" s="48" t="str">
        <f>IF(LEFT(Sheet1!K420,2)="0x",Sheet1!K420,IF(AND(Sheet1!L420="",Sheet1!L419=""),"",N419))</f>
        <v/>
      </c>
      <c r="O420" s="46">
        <f>IF(Sheet1!L420="",0,IF(Sheet1!O420&lt;TIME(7,39,0)+Sheet1!$E$3/24,1,0))</f>
        <v>0</v>
      </c>
      <c r="P420" s="46" t="str">
        <f ca="1">IF(AND(Sheet1!L420&lt;0, Sheet1!$C$21&gt;R420,OR(Sheet1!$C$21&lt;=R421,Sheet1!L421="")),   -1*Sheet1!L420,"")</f>
        <v/>
      </c>
    </row>
    <row r="421" spans="1:16" ht="15.75" x14ac:dyDescent="0.25">
      <c r="A421" s="456" t="str">
        <f>IF(AND(R421&lt;&gt;"",R420&lt;&gt;""),(-Sheet1!L421/Sheet1!L420)^(360/(R421-R420-1))-1,"")</f>
        <v/>
      </c>
      <c r="B421" s="41" t="str">
        <f ca="1">IF(AND(Sheet1!L421&lt;0, Sheet1!$C$21&gt;R421+1,OR(Sheet1!$C$21&lt;=R422,Sheet1!L422="")),   -1*Sheet1!L421,"")</f>
        <v/>
      </c>
      <c r="C421" s="42">
        <f ca="1">IF(Sheet3!$B$5="",0,    IF(E421&lt;1,0,  IF(B421="","",     IF(OR(Sheet3!$B$6=0,INDIRECT(ADDRESS(ROW(),Sheet3!$B$3+16))="" ),D421/E421,    IF(E421&lt;0,0,    IF(OR( INDIRECT(ADDRESS(8,Sheet3!$B$3+16))="",INDIRECT(ADDRESS(ROW(),Sheet3!$B$3+17))=""),        (INDIRECT(ADDRESS(ROW(),Sheet3!$B$3+16))+B421)*Sheet3!$Q$4,         INDIRECT(ADDRESS(ROW(),Sheet3!$B$3+17))-INDIRECT(ADDRESS(ROW(),Sheet3!$B$3+16))))))))</f>
        <v>0</v>
      </c>
      <c r="D421" s="39">
        <f ca="1">IF(Sheet3!$B$5="",0,IF(B421="","",IF(E421&lt;1,0,   IF(INDIRECT(ADDRESS(ROW(), Sheet3!$B$3+17))="",        INDIRECT(ADDRESS(ROW(), Sheet3!$B$3+16))*  (1+Sheet3!$Q$4)   +B421*Sheet3!$Q$4,       INDIRECT(ADDRESS(ROW(), Sheet3!$B$3+17))))))</f>
        <v>0</v>
      </c>
      <c r="E421" s="40">
        <f ca="1">IF(AND(Sheet1!L421&lt;0,  Sheet1!$C$21&gt;R421),    IF(OR(Sheet1!$C$21&lt;=R422,  Sheet1!L422=""),       IF(AND(MOD(NOW(),1)&lt;TIME(9,39,0),Sheet1!$C$22=TODAY()),    Sheet1!$C$21-R421,     Sheet1!$C$21-R421-1),               R422-R421-1),    0)</f>
        <v>0</v>
      </c>
      <c r="F421" s="30"/>
      <c r="G421" s="25" t="str">
        <f>IF(LEFT(Sheet1!K422,2)="0x",Sheet1!K421,IF(AND(Sheet1!L421="",Sheet1!L420=""),"",G420))</f>
        <v/>
      </c>
      <c r="H421" s="81"/>
      <c r="I421" s="43" t="str">
        <f t="shared" si="29"/>
        <v/>
      </c>
      <c r="J421" s="29" t="str">
        <f t="shared" si="32"/>
        <v/>
      </c>
      <c r="K421" s="24" t="str">
        <f>IF(Sheet1!L421="","",IF(Sheet1!L421&gt;0,ROW(),""))</f>
        <v/>
      </c>
      <c r="L421" s="24" t="str">
        <f t="shared" ca="1" si="30"/>
        <v/>
      </c>
      <c r="M421" s="47" t="str">
        <f t="shared" ca="1" si="31"/>
        <v/>
      </c>
      <c r="N421" s="48" t="str">
        <f>IF(LEFT(Sheet1!K421,2)="0x",Sheet1!K421,IF(AND(Sheet1!L421="",Sheet1!L420=""),"",N420))</f>
        <v/>
      </c>
      <c r="O421" s="46">
        <f>IF(Sheet1!L421="",0,IF(Sheet1!O421&lt;TIME(7,39,0)+Sheet1!$E$3/24,1,0))</f>
        <v>0</v>
      </c>
      <c r="P421" s="46" t="str">
        <f ca="1">IF(AND(Sheet1!L421&lt;0, Sheet1!$C$21&gt;R421,OR(Sheet1!$C$21&lt;=R422,Sheet1!L422="")),   -1*Sheet1!L421,"")</f>
        <v/>
      </c>
    </row>
    <row r="422" spans="1:16" ht="15.75" x14ac:dyDescent="0.25">
      <c r="A422" s="456" t="str">
        <f>IF(AND(R422&lt;&gt;"",R421&lt;&gt;""),(-Sheet1!L422/Sheet1!L421)^(360/(R422-R421-1))-1,"")</f>
        <v/>
      </c>
      <c r="B422" s="41" t="str">
        <f ca="1">IF(AND(Sheet1!L422&lt;0, Sheet1!$C$21&gt;R422+1,OR(Sheet1!$C$21&lt;=R423,Sheet1!L423="")),   -1*Sheet1!L422,"")</f>
        <v/>
      </c>
      <c r="C422" s="42">
        <f ca="1">IF(Sheet3!$B$5="",0,    IF(E422&lt;1,0,  IF(B422="","",     IF(OR(Sheet3!$B$6=0,INDIRECT(ADDRESS(ROW(),Sheet3!$B$3+16))="" ),D422/E422,    IF(E422&lt;0,0,    IF(OR( INDIRECT(ADDRESS(8,Sheet3!$B$3+16))="",INDIRECT(ADDRESS(ROW(),Sheet3!$B$3+17))=""),        (INDIRECT(ADDRESS(ROW(),Sheet3!$B$3+16))+B422)*Sheet3!$Q$4,         INDIRECT(ADDRESS(ROW(),Sheet3!$B$3+17))-INDIRECT(ADDRESS(ROW(),Sheet3!$B$3+16))))))))</f>
        <v>0</v>
      </c>
      <c r="D422" s="39">
        <f ca="1">IF(Sheet3!$B$5="",0,IF(B422="","",IF(E422&lt;1,0,   IF(INDIRECT(ADDRESS(ROW(), Sheet3!$B$3+17))="",        INDIRECT(ADDRESS(ROW(), Sheet3!$B$3+16))*  (1+Sheet3!$Q$4)   +B422*Sheet3!$Q$4,       INDIRECT(ADDRESS(ROW(), Sheet3!$B$3+17))))))</f>
        <v>0</v>
      </c>
      <c r="E422" s="40">
        <f ca="1">IF(AND(Sheet1!L422&lt;0,  Sheet1!$C$21&gt;R422),    IF(OR(Sheet1!$C$21&lt;=R423,  Sheet1!L423=""),       IF(AND(MOD(NOW(),1)&lt;TIME(9,39,0),Sheet1!$C$22=TODAY()),    Sheet1!$C$21-R422,     Sheet1!$C$21-R422-1),               R423-R422-1),    0)</f>
        <v>0</v>
      </c>
      <c r="F422" s="30"/>
      <c r="G422" s="25" t="str">
        <f>IF(LEFT(Sheet1!K423,2)="0x",Sheet1!K422,IF(AND(Sheet1!L422="",Sheet1!L421=""),"",G421))</f>
        <v/>
      </c>
      <c r="H422" s="81"/>
      <c r="I422" s="43" t="str">
        <f t="shared" ref="I422:I485" si="33">IFERROR(SMALL(K$6:K$117,ROW(Q385)),"")</f>
        <v/>
      </c>
      <c r="J422" s="29" t="str">
        <f t="shared" si="32"/>
        <v/>
      </c>
      <c r="K422" s="24" t="str">
        <f>IF(Sheet1!L422="","",IF(Sheet1!L422&gt;0,ROW(),""))</f>
        <v/>
      </c>
      <c r="L422" s="24" t="str">
        <f t="shared" ca="1" si="30"/>
        <v/>
      </c>
      <c r="M422" s="47" t="str">
        <f t="shared" ca="1" si="31"/>
        <v/>
      </c>
      <c r="N422" s="48" t="str">
        <f>IF(LEFT(Sheet1!K422,2)="0x",Sheet1!K422,IF(AND(Sheet1!L422="",Sheet1!L421=""),"",N421))</f>
        <v/>
      </c>
      <c r="O422" s="46">
        <f>IF(Sheet1!L422="",0,IF(Sheet1!O422&lt;TIME(7,39,0)+Sheet1!$E$3/24,1,0))</f>
        <v>0</v>
      </c>
      <c r="P422" s="46" t="str">
        <f ca="1">IF(AND(Sheet1!L422&lt;0, Sheet1!$C$21&gt;R422,OR(Sheet1!$C$21&lt;=R423,Sheet1!L423="")),   -1*Sheet1!L422,"")</f>
        <v/>
      </c>
    </row>
    <row r="423" spans="1:16" ht="15.75" x14ac:dyDescent="0.25">
      <c r="A423" s="456" t="str">
        <f>IF(AND(R423&lt;&gt;"",R422&lt;&gt;""),(-Sheet1!L423/Sheet1!L422)^(360/(R423-R422-1))-1,"")</f>
        <v/>
      </c>
      <c r="B423" s="41" t="str">
        <f ca="1">IF(AND(Sheet1!L423&lt;0, Sheet1!$C$21&gt;R423+1,OR(Sheet1!$C$21&lt;=R424,Sheet1!L424="")),   -1*Sheet1!L423,"")</f>
        <v/>
      </c>
      <c r="C423" s="42">
        <f ca="1">IF(Sheet3!$B$5="",0,    IF(E423&lt;1,0,  IF(B423="","",     IF(OR(Sheet3!$B$6=0,INDIRECT(ADDRESS(ROW(),Sheet3!$B$3+16))="" ),D423/E423,    IF(E423&lt;0,0,    IF(OR( INDIRECT(ADDRESS(8,Sheet3!$B$3+16))="",INDIRECT(ADDRESS(ROW(),Sheet3!$B$3+17))=""),        (INDIRECT(ADDRESS(ROW(),Sheet3!$B$3+16))+B423)*Sheet3!$Q$4,         INDIRECT(ADDRESS(ROW(),Sheet3!$B$3+17))-INDIRECT(ADDRESS(ROW(),Sheet3!$B$3+16))))))))</f>
        <v>0</v>
      </c>
      <c r="D423" s="39">
        <f ca="1">IF(Sheet3!$B$5="",0,IF(B423="","",IF(E423&lt;1,0,   IF(INDIRECT(ADDRESS(ROW(), Sheet3!$B$3+17))="",        INDIRECT(ADDRESS(ROW(), Sheet3!$B$3+16))*  (1+Sheet3!$Q$4)   +B423*Sheet3!$Q$4,       INDIRECT(ADDRESS(ROW(), Sheet3!$B$3+17))))))</f>
        <v>0</v>
      </c>
      <c r="E423" s="40">
        <f ca="1">IF(AND(Sheet1!L423&lt;0,  Sheet1!$C$21&gt;R423),    IF(OR(Sheet1!$C$21&lt;=R424,  Sheet1!L424=""),       IF(AND(MOD(NOW(),1)&lt;TIME(9,39,0),Sheet1!$C$22=TODAY()),    Sheet1!$C$21-R423,     Sheet1!$C$21-R423-1),               R424-R423-1),    0)</f>
        <v>0</v>
      </c>
      <c r="F423" s="30"/>
      <c r="G423" s="25" t="str">
        <f>IF(LEFT(Sheet1!K424,2)="0x",Sheet1!K423,IF(AND(Sheet1!L423="",Sheet1!L422=""),"",G422))</f>
        <v/>
      </c>
      <c r="H423" s="81"/>
      <c r="I423" s="43" t="str">
        <f t="shared" si="33"/>
        <v/>
      </c>
      <c r="J423" s="29" t="str">
        <f t="shared" si="32"/>
        <v/>
      </c>
      <c r="K423" s="24" t="str">
        <f>IF(Sheet1!L423="","",IF(Sheet1!L423&gt;0,ROW(),""))</f>
        <v/>
      </c>
      <c r="L423" s="24" t="str">
        <f t="shared" ca="1" si="30"/>
        <v/>
      </c>
      <c r="M423" s="47" t="str">
        <f t="shared" ca="1" si="31"/>
        <v/>
      </c>
      <c r="N423" s="48" t="str">
        <f>IF(LEFT(Sheet1!K423,2)="0x",Sheet1!K423,IF(AND(Sheet1!L423="",Sheet1!L422=""),"",N422))</f>
        <v/>
      </c>
      <c r="O423" s="46">
        <f>IF(Sheet1!L423="",0,IF(Sheet1!O423&lt;TIME(7,39,0)+Sheet1!$E$3/24,1,0))</f>
        <v>0</v>
      </c>
      <c r="P423" s="46" t="str">
        <f ca="1">IF(AND(Sheet1!L423&lt;0, Sheet1!$C$21&gt;R423,OR(Sheet1!$C$21&lt;=R424,Sheet1!L424="")),   -1*Sheet1!L423,"")</f>
        <v/>
      </c>
    </row>
    <row r="424" spans="1:16" ht="15.75" x14ac:dyDescent="0.25">
      <c r="A424" s="456" t="str">
        <f>IF(AND(R424&lt;&gt;"",R423&lt;&gt;""),(-Sheet1!L424/Sheet1!L423)^(360/(R424-R423-1))-1,"")</f>
        <v/>
      </c>
      <c r="B424" s="41" t="str">
        <f ca="1">IF(AND(Sheet1!L424&lt;0, Sheet1!$C$21&gt;R424+1,OR(Sheet1!$C$21&lt;=R425,Sheet1!L425="")),   -1*Sheet1!L424,"")</f>
        <v/>
      </c>
      <c r="C424" s="42">
        <f ca="1">IF(Sheet3!$B$5="",0,    IF(E424&lt;1,0,  IF(B424="","",     IF(OR(Sheet3!$B$6=0,INDIRECT(ADDRESS(ROW(),Sheet3!$B$3+16))="" ),D424/E424,    IF(E424&lt;0,0,    IF(OR( INDIRECT(ADDRESS(8,Sheet3!$B$3+16))="",INDIRECT(ADDRESS(ROW(),Sheet3!$B$3+17))=""),        (INDIRECT(ADDRESS(ROW(),Sheet3!$B$3+16))+B424)*Sheet3!$Q$4,         INDIRECT(ADDRESS(ROW(),Sheet3!$B$3+17))-INDIRECT(ADDRESS(ROW(),Sheet3!$B$3+16))))))))</f>
        <v>0</v>
      </c>
      <c r="D424" s="39">
        <f ca="1">IF(Sheet3!$B$5="",0,IF(B424="","",IF(E424&lt;1,0,   IF(INDIRECT(ADDRESS(ROW(), Sheet3!$B$3+17))="",        INDIRECT(ADDRESS(ROW(), Sheet3!$B$3+16))*  (1+Sheet3!$Q$4)   +B424*Sheet3!$Q$4,       INDIRECT(ADDRESS(ROW(), Sheet3!$B$3+17))))))</f>
        <v>0</v>
      </c>
      <c r="E424" s="40">
        <f ca="1">IF(AND(Sheet1!L424&lt;0,  Sheet1!$C$21&gt;R424),    IF(OR(Sheet1!$C$21&lt;=R425,  Sheet1!L425=""),       IF(AND(MOD(NOW(),1)&lt;TIME(9,39,0),Sheet1!$C$22=TODAY()),    Sheet1!$C$21-R424,     Sheet1!$C$21-R424-1),               R425-R424-1),    0)</f>
        <v>0</v>
      </c>
      <c r="F424" s="30"/>
      <c r="G424" s="25" t="str">
        <f>IF(LEFT(Sheet1!K425,2)="0x",Sheet1!K424,IF(AND(Sheet1!L424="",Sheet1!L423=""),"",G423))</f>
        <v/>
      </c>
      <c r="H424" s="81"/>
      <c r="I424" s="43" t="str">
        <f t="shared" si="33"/>
        <v/>
      </c>
      <c r="J424" s="29" t="str">
        <f t="shared" si="32"/>
        <v/>
      </c>
      <c r="K424" s="24" t="str">
        <f>IF(Sheet1!L424="","",IF(Sheet1!L424&gt;0,ROW(),""))</f>
        <v/>
      </c>
      <c r="L424" s="24" t="str">
        <f t="shared" ca="1" si="30"/>
        <v/>
      </c>
      <c r="M424" s="47" t="str">
        <f t="shared" ca="1" si="31"/>
        <v/>
      </c>
      <c r="N424" s="48" t="str">
        <f>IF(LEFT(Sheet1!K424,2)="0x",Sheet1!K424,IF(AND(Sheet1!L424="",Sheet1!L423=""),"",N423))</f>
        <v/>
      </c>
      <c r="O424" s="46">
        <f>IF(Sheet1!L424="",0,IF(Sheet1!O424&lt;TIME(7,39,0)+Sheet1!$E$3/24,1,0))</f>
        <v>0</v>
      </c>
      <c r="P424" s="46" t="str">
        <f ca="1">IF(AND(Sheet1!L424&lt;0, Sheet1!$C$21&gt;R424,OR(Sheet1!$C$21&lt;=R425,Sheet1!L425="")),   -1*Sheet1!L424,"")</f>
        <v/>
      </c>
    </row>
    <row r="425" spans="1:16" ht="15.75" x14ac:dyDescent="0.25">
      <c r="A425" s="456" t="str">
        <f>IF(AND(R425&lt;&gt;"",R424&lt;&gt;""),(-Sheet1!L425/Sheet1!L424)^(360/(R425-R424-1))-1,"")</f>
        <v/>
      </c>
      <c r="B425" s="41" t="str">
        <f ca="1">IF(AND(Sheet1!L425&lt;0, Sheet1!$C$21&gt;R425+1,OR(Sheet1!$C$21&lt;=R426,Sheet1!L426="")),   -1*Sheet1!L425,"")</f>
        <v/>
      </c>
      <c r="C425" s="42">
        <f ca="1">IF(Sheet3!$B$5="",0,    IF(E425&lt;1,0,  IF(B425="","",     IF(OR(Sheet3!$B$6=0,INDIRECT(ADDRESS(ROW(),Sheet3!$B$3+16))="" ),D425/E425,    IF(E425&lt;0,0,    IF(OR( INDIRECT(ADDRESS(8,Sheet3!$B$3+16))="",INDIRECT(ADDRESS(ROW(),Sheet3!$B$3+17))=""),        (INDIRECT(ADDRESS(ROW(),Sheet3!$B$3+16))+B425)*Sheet3!$Q$4,         INDIRECT(ADDRESS(ROW(),Sheet3!$B$3+17))-INDIRECT(ADDRESS(ROW(),Sheet3!$B$3+16))))))))</f>
        <v>0</v>
      </c>
      <c r="D425" s="39">
        <f ca="1">IF(Sheet3!$B$5="",0,IF(B425="","",IF(E425&lt;1,0,   IF(INDIRECT(ADDRESS(ROW(), Sheet3!$B$3+17))="",        INDIRECT(ADDRESS(ROW(), Sheet3!$B$3+16))*  (1+Sheet3!$Q$4)   +B425*Sheet3!$Q$4,       INDIRECT(ADDRESS(ROW(), Sheet3!$B$3+17))))))</f>
        <v>0</v>
      </c>
      <c r="E425" s="40">
        <f ca="1">IF(AND(Sheet1!L425&lt;0,  Sheet1!$C$21&gt;R425),    IF(OR(Sheet1!$C$21&lt;=R426,  Sheet1!L426=""),       IF(AND(MOD(NOW(),1)&lt;TIME(9,39,0),Sheet1!$C$22=TODAY()),    Sheet1!$C$21-R425,     Sheet1!$C$21-R425-1),               R426-R425-1),    0)</f>
        <v>0</v>
      </c>
      <c r="F425" s="30"/>
      <c r="G425" s="25" t="str">
        <f>IF(LEFT(Sheet1!K426,2)="0x",Sheet1!K425,IF(AND(Sheet1!L425="",Sheet1!L424=""),"",G424))</f>
        <v/>
      </c>
      <c r="H425" s="81"/>
      <c r="I425" s="43" t="str">
        <f t="shared" si="33"/>
        <v/>
      </c>
      <c r="J425" s="29" t="str">
        <f t="shared" si="32"/>
        <v/>
      </c>
      <c r="K425" s="24" t="str">
        <f>IF(Sheet1!L425="","",IF(Sheet1!L425&gt;0,ROW(),""))</f>
        <v/>
      </c>
      <c r="L425" s="24" t="str">
        <f t="shared" ca="1" si="30"/>
        <v/>
      </c>
      <c r="M425" s="47" t="str">
        <f t="shared" ca="1" si="31"/>
        <v/>
      </c>
      <c r="N425" s="48" t="str">
        <f>IF(LEFT(Sheet1!K425,2)="0x",Sheet1!K425,IF(AND(Sheet1!L425="",Sheet1!L424=""),"",N424))</f>
        <v/>
      </c>
      <c r="O425" s="46">
        <f>IF(Sheet1!L425="",0,IF(Sheet1!O425&lt;TIME(7,39,0)+Sheet1!$E$3/24,1,0))</f>
        <v>0</v>
      </c>
      <c r="P425" s="46" t="str">
        <f ca="1">IF(AND(Sheet1!L425&lt;0, Sheet1!$C$21&gt;R425,OR(Sheet1!$C$21&lt;=R426,Sheet1!L426="")),   -1*Sheet1!L425,"")</f>
        <v/>
      </c>
    </row>
    <row r="426" spans="1:16" ht="15.75" x14ac:dyDescent="0.25">
      <c r="A426" s="456" t="str">
        <f>IF(AND(R426&lt;&gt;"",R425&lt;&gt;""),(-Sheet1!L426/Sheet1!L425)^(360/(R426-R425-1))-1,"")</f>
        <v/>
      </c>
      <c r="B426" s="41" t="str">
        <f ca="1">IF(AND(Sheet1!L426&lt;0, Sheet1!$C$21&gt;R426+1,OR(Sheet1!$C$21&lt;=R427,Sheet1!L427="")),   -1*Sheet1!L426,"")</f>
        <v/>
      </c>
      <c r="C426" s="42">
        <f ca="1">IF(Sheet3!$B$5="",0,    IF(E426&lt;1,0,  IF(B426="","",     IF(OR(Sheet3!$B$6=0,INDIRECT(ADDRESS(ROW(),Sheet3!$B$3+16))="" ),D426/E426,    IF(E426&lt;0,0,    IF(OR( INDIRECT(ADDRESS(8,Sheet3!$B$3+16))="",INDIRECT(ADDRESS(ROW(),Sheet3!$B$3+17))=""),        (INDIRECT(ADDRESS(ROW(),Sheet3!$B$3+16))+B426)*Sheet3!$Q$4,         INDIRECT(ADDRESS(ROW(),Sheet3!$B$3+17))-INDIRECT(ADDRESS(ROW(),Sheet3!$B$3+16))))))))</f>
        <v>0</v>
      </c>
      <c r="D426" s="39">
        <f ca="1">IF(Sheet3!$B$5="",0,IF(B426="","",IF(E426&lt;1,0,   IF(INDIRECT(ADDRESS(ROW(), Sheet3!$B$3+17))="",        INDIRECT(ADDRESS(ROW(), Sheet3!$B$3+16))*  (1+Sheet3!$Q$4)   +B426*Sheet3!$Q$4,       INDIRECT(ADDRESS(ROW(), Sheet3!$B$3+17))))))</f>
        <v>0</v>
      </c>
      <c r="E426" s="40">
        <f ca="1">IF(AND(Sheet1!L426&lt;0,  Sheet1!$C$21&gt;R426),    IF(OR(Sheet1!$C$21&lt;=R427,  Sheet1!L427=""),       IF(AND(MOD(NOW(),1)&lt;TIME(9,39,0),Sheet1!$C$22=TODAY()),    Sheet1!$C$21-R426,     Sheet1!$C$21-R426-1),               R427-R426-1),    0)</f>
        <v>0</v>
      </c>
      <c r="F426" s="30"/>
      <c r="G426" s="25" t="str">
        <f>IF(LEFT(Sheet1!K427,2)="0x",Sheet1!K426,IF(AND(Sheet1!L426="",Sheet1!L425=""),"",G425))</f>
        <v/>
      </c>
      <c r="H426" s="81"/>
      <c r="I426" s="43" t="str">
        <f t="shared" si="33"/>
        <v/>
      </c>
      <c r="J426" s="29" t="str">
        <f t="shared" si="32"/>
        <v/>
      </c>
      <c r="K426" s="24" t="str">
        <f>IF(Sheet1!L426="","",IF(Sheet1!L426&gt;0,ROW(),""))</f>
        <v/>
      </c>
      <c r="L426" s="24" t="str">
        <f t="shared" ca="1" si="30"/>
        <v/>
      </c>
      <c r="M426" s="47" t="str">
        <f t="shared" ca="1" si="31"/>
        <v/>
      </c>
      <c r="N426" s="48" t="str">
        <f>IF(LEFT(Sheet1!K426,2)="0x",Sheet1!K426,IF(AND(Sheet1!L426="",Sheet1!L425=""),"",N425))</f>
        <v/>
      </c>
      <c r="O426" s="46">
        <f>IF(Sheet1!L426="",0,IF(Sheet1!O426&lt;TIME(7,39,0)+Sheet1!$E$3/24,1,0))</f>
        <v>0</v>
      </c>
      <c r="P426" s="46" t="str">
        <f ca="1">IF(AND(Sheet1!L426&lt;0, Sheet1!$C$21&gt;R426,OR(Sheet1!$C$21&lt;=R427,Sheet1!L427="")),   -1*Sheet1!L426,"")</f>
        <v/>
      </c>
    </row>
    <row r="427" spans="1:16" ht="15.75" x14ac:dyDescent="0.25">
      <c r="A427" s="456" t="str">
        <f>IF(AND(R427&lt;&gt;"",R426&lt;&gt;""),(-Sheet1!L427/Sheet1!L426)^(360/(R427-R426-1))-1,"")</f>
        <v/>
      </c>
      <c r="B427" s="41" t="str">
        <f ca="1">IF(AND(Sheet1!L427&lt;0, Sheet1!$C$21&gt;R427+1,OR(Sheet1!$C$21&lt;=R428,Sheet1!L428="")),   -1*Sheet1!L427,"")</f>
        <v/>
      </c>
      <c r="C427" s="42">
        <f ca="1">IF(Sheet3!$B$5="",0,    IF(E427&lt;1,0,  IF(B427="","",     IF(OR(Sheet3!$B$6=0,INDIRECT(ADDRESS(ROW(),Sheet3!$B$3+16))="" ),D427/E427,    IF(E427&lt;0,0,    IF(OR( INDIRECT(ADDRESS(8,Sheet3!$B$3+16))="",INDIRECT(ADDRESS(ROW(),Sheet3!$B$3+17))=""),        (INDIRECT(ADDRESS(ROW(),Sheet3!$B$3+16))+B427)*Sheet3!$Q$4,         INDIRECT(ADDRESS(ROW(),Sheet3!$B$3+17))-INDIRECT(ADDRESS(ROW(),Sheet3!$B$3+16))))))))</f>
        <v>0</v>
      </c>
      <c r="D427" s="39">
        <f ca="1">IF(Sheet3!$B$5="",0,IF(B427="","",IF(E427&lt;1,0,   IF(INDIRECT(ADDRESS(ROW(), Sheet3!$B$3+17))="",        INDIRECT(ADDRESS(ROW(), Sheet3!$B$3+16))*  (1+Sheet3!$Q$4)   +B427*Sheet3!$Q$4,       INDIRECT(ADDRESS(ROW(), Sheet3!$B$3+17))))))</f>
        <v>0</v>
      </c>
      <c r="E427" s="40">
        <f ca="1">IF(AND(Sheet1!L427&lt;0,  Sheet1!$C$21&gt;R427),    IF(OR(Sheet1!$C$21&lt;=R428,  Sheet1!L428=""),       IF(AND(MOD(NOW(),1)&lt;TIME(9,39,0),Sheet1!$C$22=TODAY()),    Sheet1!$C$21-R427,     Sheet1!$C$21-R427-1),               R428-R427-1),    0)</f>
        <v>0</v>
      </c>
      <c r="F427" s="30"/>
      <c r="G427" s="25" t="str">
        <f>IF(LEFT(Sheet1!K428,2)="0x",Sheet1!K427,IF(AND(Sheet1!L427="",Sheet1!L426=""),"",G426))</f>
        <v/>
      </c>
      <c r="H427" s="81"/>
      <c r="I427" s="43" t="str">
        <f t="shared" si="33"/>
        <v/>
      </c>
      <c r="J427" s="29" t="str">
        <f t="shared" si="32"/>
        <v/>
      </c>
      <c r="K427" s="24" t="str">
        <f>IF(Sheet1!L427="","",IF(Sheet1!L427&gt;0,ROW(),""))</f>
        <v/>
      </c>
      <c r="L427" s="24" t="str">
        <f t="shared" ca="1" si="30"/>
        <v/>
      </c>
      <c r="M427" s="47" t="str">
        <f t="shared" ca="1" si="31"/>
        <v/>
      </c>
      <c r="N427" s="48" t="str">
        <f>IF(LEFT(Sheet1!K427,2)="0x",Sheet1!K427,IF(AND(Sheet1!L427="",Sheet1!L426=""),"",N426))</f>
        <v/>
      </c>
      <c r="O427" s="46">
        <f>IF(Sheet1!L427="",0,IF(Sheet1!O427&lt;TIME(7,39,0)+Sheet1!$E$3/24,1,0))</f>
        <v>0</v>
      </c>
      <c r="P427" s="46" t="str">
        <f ca="1">IF(AND(Sheet1!L427&lt;0, Sheet1!$C$21&gt;R427,OR(Sheet1!$C$21&lt;=R428,Sheet1!L428="")),   -1*Sheet1!L427,"")</f>
        <v/>
      </c>
    </row>
    <row r="428" spans="1:16" ht="15.75" x14ac:dyDescent="0.25">
      <c r="A428" s="456" t="str">
        <f>IF(AND(R428&lt;&gt;"",R427&lt;&gt;""),(-Sheet1!L428/Sheet1!L427)^(360/(R428-R427-1))-1,"")</f>
        <v/>
      </c>
      <c r="B428" s="41" t="str">
        <f ca="1">IF(AND(Sheet1!L428&lt;0, Sheet1!$C$21&gt;R428+1,OR(Sheet1!$C$21&lt;=R429,Sheet1!L429="")),   -1*Sheet1!L428,"")</f>
        <v/>
      </c>
      <c r="C428" s="42">
        <f ca="1">IF(Sheet3!$B$5="",0,    IF(E428&lt;1,0,  IF(B428="","",     IF(OR(Sheet3!$B$6=0,INDIRECT(ADDRESS(ROW(),Sheet3!$B$3+16))="" ),D428/E428,    IF(E428&lt;0,0,    IF(OR( INDIRECT(ADDRESS(8,Sheet3!$B$3+16))="",INDIRECT(ADDRESS(ROW(),Sheet3!$B$3+17))=""),        (INDIRECT(ADDRESS(ROW(),Sheet3!$B$3+16))+B428)*Sheet3!$Q$4,         INDIRECT(ADDRESS(ROW(),Sheet3!$B$3+17))-INDIRECT(ADDRESS(ROW(),Sheet3!$B$3+16))))))))</f>
        <v>0</v>
      </c>
      <c r="D428" s="39">
        <f ca="1">IF(Sheet3!$B$5="",0,IF(B428="","",IF(E428&lt;1,0,   IF(INDIRECT(ADDRESS(ROW(), Sheet3!$B$3+17))="",        INDIRECT(ADDRESS(ROW(), Sheet3!$B$3+16))*  (1+Sheet3!$Q$4)   +B428*Sheet3!$Q$4,       INDIRECT(ADDRESS(ROW(), Sheet3!$B$3+17))))))</f>
        <v>0</v>
      </c>
      <c r="E428" s="40">
        <f ca="1">IF(AND(Sheet1!L428&lt;0,  Sheet1!$C$21&gt;R428),    IF(OR(Sheet1!$C$21&lt;=R429,  Sheet1!L429=""),       IF(AND(MOD(NOW(),1)&lt;TIME(9,39,0),Sheet1!$C$22=TODAY()),    Sheet1!$C$21-R428,     Sheet1!$C$21-R428-1),               R429-R428-1),    0)</f>
        <v>0</v>
      </c>
      <c r="F428" s="30"/>
      <c r="G428" s="25" t="str">
        <f>IF(LEFT(Sheet1!K429,2)="0x",Sheet1!K428,IF(AND(Sheet1!L428="",Sheet1!L427=""),"",G427))</f>
        <v/>
      </c>
      <c r="H428" s="81"/>
      <c r="I428" s="43" t="str">
        <f t="shared" si="33"/>
        <v/>
      </c>
      <c r="J428" s="29" t="str">
        <f t="shared" si="32"/>
        <v/>
      </c>
      <c r="K428" s="24" t="str">
        <f>IF(Sheet1!L428="","",IF(Sheet1!L428&gt;0,ROW(),""))</f>
        <v/>
      </c>
      <c r="L428" s="24" t="str">
        <f t="shared" ca="1" si="30"/>
        <v/>
      </c>
      <c r="M428" s="47" t="str">
        <f t="shared" ca="1" si="31"/>
        <v/>
      </c>
      <c r="N428" s="48" t="str">
        <f>IF(LEFT(Sheet1!K428,2)="0x",Sheet1!K428,IF(AND(Sheet1!L428="",Sheet1!L427=""),"",N427))</f>
        <v/>
      </c>
      <c r="O428" s="46">
        <f>IF(Sheet1!L428="",0,IF(Sheet1!O428&lt;TIME(7,39,0)+Sheet1!$E$3/24,1,0))</f>
        <v>0</v>
      </c>
      <c r="P428" s="46" t="str">
        <f ca="1">IF(AND(Sheet1!L428&lt;0, Sheet1!$C$21&gt;R428,OR(Sheet1!$C$21&lt;=R429,Sheet1!L429="")),   -1*Sheet1!L428,"")</f>
        <v/>
      </c>
    </row>
    <row r="429" spans="1:16" ht="15.75" x14ac:dyDescent="0.25">
      <c r="A429" s="456" t="str">
        <f>IF(AND(R429&lt;&gt;"",R428&lt;&gt;""),(-Sheet1!L429/Sheet1!L428)^(360/(R429-R428-1))-1,"")</f>
        <v/>
      </c>
      <c r="B429" s="41" t="str">
        <f ca="1">IF(AND(Sheet1!L429&lt;0, Sheet1!$C$21&gt;R429+1,OR(Sheet1!$C$21&lt;=R430,Sheet1!L430="")),   -1*Sheet1!L429,"")</f>
        <v/>
      </c>
      <c r="C429" s="42">
        <f ca="1">IF(Sheet3!$B$5="",0,    IF(E429&lt;1,0,  IF(B429="","",     IF(OR(Sheet3!$B$6=0,INDIRECT(ADDRESS(ROW(),Sheet3!$B$3+16))="" ),D429/E429,    IF(E429&lt;0,0,    IF(OR( INDIRECT(ADDRESS(8,Sheet3!$B$3+16))="",INDIRECT(ADDRESS(ROW(),Sheet3!$B$3+17))=""),        (INDIRECT(ADDRESS(ROW(),Sheet3!$B$3+16))+B429)*Sheet3!$Q$4,         INDIRECT(ADDRESS(ROW(),Sheet3!$B$3+17))-INDIRECT(ADDRESS(ROW(),Sheet3!$B$3+16))))))))</f>
        <v>0</v>
      </c>
      <c r="D429" s="39">
        <f ca="1">IF(Sheet3!$B$5="",0,IF(B429="","",IF(E429&lt;1,0,   IF(INDIRECT(ADDRESS(ROW(), Sheet3!$B$3+17))="",        INDIRECT(ADDRESS(ROW(), Sheet3!$B$3+16))*  (1+Sheet3!$Q$4)   +B429*Sheet3!$Q$4,       INDIRECT(ADDRESS(ROW(), Sheet3!$B$3+17))))))</f>
        <v>0</v>
      </c>
      <c r="E429" s="40">
        <f ca="1">IF(AND(Sheet1!L429&lt;0,  Sheet1!$C$21&gt;R429),    IF(OR(Sheet1!$C$21&lt;=R430,  Sheet1!L430=""),       IF(AND(MOD(NOW(),1)&lt;TIME(9,39,0),Sheet1!$C$22=TODAY()),    Sheet1!$C$21-R429,     Sheet1!$C$21-R429-1),               R430-R429-1),    0)</f>
        <v>0</v>
      </c>
      <c r="F429" s="30"/>
      <c r="G429" s="25" t="str">
        <f>IF(LEFT(Sheet1!K430,2)="0x",Sheet1!K429,IF(AND(Sheet1!L429="",Sheet1!L428=""),"",G428))</f>
        <v/>
      </c>
      <c r="H429" s="81"/>
      <c r="I429" s="43" t="str">
        <f t="shared" si="33"/>
        <v/>
      </c>
      <c r="J429" s="29" t="str">
        <f t="shared" si="32"/>
        <v/>
      </c>
      <c r="K429" s="24" t="str">
        <f>IF(Sheet1!L429="","",IF(Sheet1!L429&gt;0,ROW(),""))</f>
        <v/>
      </c>
      <c r="L429" s="24" t="str">
        <f t="shared" ca="1" si="30"/>
        <v/>
      </c>
      <c r="M429" s="47" t="str">
        <f t="shared" ca="1" si="31"/>
        <v/>
      </c>
      <c r="N429" s="48" t="str">
        <f>IF(LEFT(Sheet1!K429,2)="0x",Sheet1!K429,IF(AND(Sheet1!L429="",Sheet1!L428=""),"",N428))</f>
        <v/>
      </c>
      <c r="O429" s="46">
        <f>IF(Sheet1!L429="",0,IF(Sheet1!O429&lt;TIME(7,39,0)+Sheet1!$E$3/24,1,0))</f>
        <v>0</v>
      </c>
      <c r="P429" s="46" t="str">
        <f ca="1">IF(AND(Sheet1!L429&lt;0, Sheet1!$C$21&gt;R429,OR(Sheet1!$C$21&lt;=R430,Sheet1!L430="")),   -1*Sheet1!L429,"")</f>
        <v/>
      </c>
    </row>
    <row r="430" spans="1:16" ht="15.75" x14ac:dyDescent="0.25">
      <c r="A430" s="456" t="str">
        <f>IF(AND(R430&lt;&gt;"",R429&lt;&gt;""),(-Sheet1!L430/Sheet1!L429)^(360/(R430-R429-1))-1,"")</f>
        <v/>
      </c>
      <c r="B430" s="41" t="str">
        <f ca="1">IF(AND(Sheet1!L430&lt;0, Sheet1!$C$21&gt;R430+1,OR(Sheet1!$C$21&lt;=R431,Sheet1!L431="")),   -1*Sheet1!L430,"")</f>
        <v/>
      </c>
      <c r="C430" s="42">
        <f ca="1">IF(Sheet3!$B$5="",0,    IF(E430&lt;1,0,  IF(B430="","",     IF(OR(Sheet3!$B$6=0,INDIRECT(ADDRESS(ROW(),Sheet3!$B$3+16))="" ),D430/E430,    IF(E430&lt;0,0,    IF(OR( INDIRECT(ADDRESS(8,Sheet3!$B$3+16))="",INDIRECT(ADDRESS(ROW(),Sheet3!$B$3+17))=""),        (INDIRECT(ADDRESS(ROW(),Sheet3!$B$3+16))+B430)*Sheet3!$Q$4,         INDIRECT(ADDRESS(ROW(),Sheet3!$B$3+17))-INDIRECT(ADDRESS(ROW(),Sheet3!$B$3+16))))))))</f>
        <v>0</v>
      </c>
      <c r="D430" s="39">
        <f ca="1">IF(Sheet3!$B$5="",0,IF(B430="","",IF(E430&lt;1,0,   IF(INDIRECT(ADDRESS(ROW(), Sheet3!$B$3+17))="",        INDIRECT(ADDRESS(ROW(), Sheet3!$B$3+16))*  (1+Sheet3!$Q$4)   +B430*Sheet3!$Q$4,       INDIRECT(ADDRESS(ROW(), Sheet3!$B$3+17))))))</f>
        <v>0</v>
      </c>
      <c r="E430" s="40">
        <f ca="1">IF(AND(Sheet1!L430&lt;0,  Sheet1!$C$21&gt;R430),    IF(OR(Sheet1!$C$21&lt;=R431,  Sheet1!L431=""),       IF(AND(MOD(NOW(),1)&lt;TIME(9,39,0),Sheet1!$C$22=TODAY()),    Sheet1!$C$21-R430,     Sheet1!$C$21-R430-1),               R431-R430-1),    0)</f>
        <v>0</v>
      </c>
      <c r="F430" s="30"/>
      <c r="G430" s="25" t="str">
        <f>IF(LEFT(Sheet1!K431,2)="0x",Sheet1!K430,IF(AND(Sheet1!L430="",Sheet1!L429=""),"",G429))</f>
        <v/>
      </c>
      <c r="H430" s="81"/>
      <c r="I430" s="43" t="str">
        <f t="shared" si="33"/>
        <v/>
      </c>
      <c r="J430" s="29" t="str">
        <f t="shared" si="32"/>
        <v/>
      </c>
      <c r="K430" s="24" t="str">
        <f>IF(Sheet1!L430="","",IF(Sheet1!L430&gt;0,ROW(),""))</f>
        <v/>
      </c>
      <c r="L430" s="24" t="str">
        <f t="shared" ca="1" si="30"/>
        <v/>
      </c>
      <c r="M430" s="47" t="str">
        <f t="shared" ca="1" si="31"/>
        <v/>
      </c>
      <c r="N430" s="48" t="str">
        <f>IF(LEFT(Sheet1!K430,2)="0x",Sheet1!K430,IF(AND(Sheet1!L430="",Sheet1!L429=""),"",N429))</f>
        <v/>
      </c>
      <c r="O430" s="46">
        <f>IF(Sheet1!L430="",0,IF(Sheet1!O430&lt;TIME(7,39,0)+Sheet1!$E$3/24,1,0))</f>
        <v>0</v>
      </c>
      <c r="P430" s="46" t="str">
        <f ca="1">IF(AND(Sheet1!L430&lt;0, Sheet1!$C$21&gt;R430,OR(Sheet1!$C$21&lt;=R431,Sheet1!L431="")),   -1*Sheet1!L430,"")</f>
        <v/>
      </c>
    </row>
    <row r="431" spans="1:16" ht="15.75" x14ac:dyDescent="0.25">
      <c r="A431" s="456" t="str">
        <f>IF(AND(R431&lt;&gt;"",R430&lt;&gt;""),(-Sheet1!L431/Sheet1!L430)^(360/(R431-R430-1))-1,"")</f>
        <v/>
      </c>
      <c r="B431" s="41" t="str">
        <f ca="1">IF(AND(Sheet1!L431&lt;0, Sheet1!$C$21&gt;R431+1,OR(Sheet1!$C$21&lt;=R432,Sheet1!L432="")),   -1*Sheet1!L431,"")</f>
        <v/>
      </c>
      <c r="C431" s="42">
        <f ca="1">IF(Sheet3!$B$5="",0,    IF(E431&lt;1,0,  IF(B431="","",     IF(OR(Sheet3!$B$6=0,INDIRECT(ADDRESS(ROW(),Sheet3!$B$3+16))="" ),D431/E431,    IF(E431&lt;0,0,    IF(OR( INDIRECT(ADDRESS(8,Sheet3!$B$3+16))="",INDIRECT(ADDRESS(ROW(),Sheet3!$B$3+17))=""),        (INDIRECT(ADDRESS(ROW(),Sheet3!$B$3+16))+B431)*Sheet3!$Q$4,         INDIRECT(ADDRESS(ROW(),Sheet3!$B$3+17))-INDIRECT(ADDRESS(ROW(),Sheet3!$B$3+16))))))))</f>
        <v>0</v>
      </c>
      <c r="D431" s="39">
        <f ca="1">IF(Sheet3!$B$5="",0,IF(B431="","",IF(E431&lt;1,0,   IF(INDIRECT(ADDRESS(ROW(), Sheet3!$B$3+17))="",        INDIRECT(ADDRESS(ROW(), Sheet3!$B$3+16))*  (1+Sheet3!$Q$4)   +B431*Sheet3!$Q$4,       INDIRECT(ADDRESS(ROW(), Sheet3!$B$3+17))))))</f>
        <v>0</v>
      </c>
      <c r="E431" s="40">
        <f ca="1">IF(AND(Sheet1!L431&lt;0,  Sheet1!$C$21&gt;R431),    IF(OR(Sheet1!$C$21&lt;=R432,  Sheet1!L432=""),       IF(AND(MOD(NOW(),1)&lt;TIME(9,39,0),Sheet1!$C$22=TODAY()),    Sheet1!$C$21-R431,     Sheet1!$C$21-R431-1),               R432-R431-1),    0)</f>
        <v>0</v>
      </c>
      <c r="F431" s="30"/>
      <c r="G431" s="25" t="str">
        <f>IF(LEFT(Sheet1!K432,2)="0x",Sheet1!K431,IF(AND(Sheet1!L431="",Sheet1!L430=""),"",G430))</f>
        <v/>
      </c>
      <c r="H431" s="81"/>
      <c r="I431" s="43" t="str">
        <f t="shared" si="33"/>
        <v/>
      </c>
      <c r="J431" s="29" t="str">
        <f t="shared" si="32"/>
        <v/>
      </c>
      <c r="K431" s="24" t="str">
        <f>IF(Sheet1!L431="","",IF(Sheet1!L431&gt;0,ROW(),""))</f>
        <v/>
      </c>
      <c r="L431" s="24" t="str">
        <f t="shared" ca="1" si="30"/>
        <v/>
      </c>
      <c r="M431" s="47" t="str">
        <f t="shared" ca="1" si="31"/>
        <v/>
      </c>
      <c r="N431" s="48" t="str">
        <f>IF(LEFT(Sheet1!K431,2)="0x",Sheet1!K431,IF(AND(Sheet1!L431="",Sheet1!L430=""),"",N430))</f>
        <v/>
      </c>
      <c r="O431" s="46">
        <f>IF(Sheet1!L431="",0,IF(Sheet1!O431&lt;TIME(7,39,0)+Sheet1!$E$3/24,1,0))</f>
        <v>0</v>
      </c>
      <c r="P431" s="46" t="str">
        <f ca="1">IF(AND(Sheet1!L431&lt;0, Sheet1!$C$21&gt;R431,OR(Sheet1!$C$21&lt;=R432,Sheet1!L432="")),   -1*Sheet1!L431,"")</f>
        <v/>
      </c>
    </row>
    <row r="432" spans="1:16" ht="15.75" x14ac:dyDescent="0.25">
      <c r="A432" s="456" t="str">
        <f>IF(AND(R432&lt;&gt;"",R431&lt;&gt;""),(-Sheet1!L432/Sheet1!L431)^(360/(R432-R431-1))-1,"")</f>
        <v/>
      </c>
      <c r="B432" s="41" t="str">
        <f ca="1">IF(AND(Sheet1!L432&lt;0, Sheet1!$C$21&gt;R432+1,OR(Sheet1!$C$21&lt;=R433,Sheet1!L433="")),   -1*Sheet1!L432,"")</f>
        <v/>
      </c>
      <c r="C432" s="42">
        <f ca="1">IF(Sheet3!$B$5="",0,    IF(E432&lt;1,0,  IF(B432="","",     IF(OR(Sheet3!$B$6=0,INDIRECT(ADDRESS(ROW(),Sheet3!$B$3+16))="" ),D432/E432,    IF(E432&lt;0,0,    IF(OR( INDIRECT(ADDRESS(8,Sheet3!$B$3+16))="",INDIRECT(ADDRESS(ROW(),Sheet3!$B$3+17))=""),        (INDIRECT(ADDRESS(ROW(),Sheet3!$B$3+16))+B432)*Sheet3!$Q$4,         INDIRECT(ADDRESS(ROW(),Sheet3!$B$3+17))-INDIRECT(ADDRESS(ROW(),Sheet3!$B$3+16))))))))</f>
        <v>0</v>
      </c>
      <c r="D432" s="39">
        <f ca="1">IF(Sheet3!$B$5="",0,IF(B432="","",IF(E432&lt;1,0,   IF(INDIRECT(ADDRESS(ROW(), Sheet3!$B$3+17))="",        INDIRECT(ADDRESS(ROW(), Sheet3!$B$3+16))*  (1+Sheet3!$Q$4)   +B432*Sheet3!$Q$4,       INDIRECT(ADDRESS(ROW(), Sheet3!$B$3+17))))))</f>
        <v>0</v>
      </c>
      <c r="E432" s="40">
        <f ca="1">IF(AND(Sheet1!L432&lt;0,  Sheet1!$C$21&gt;R432),    IF(OR(Sheet1!$C$21&lt;=R433,  Sheet1!L433=""),       IF(AND(MOD(NOW(),1)&lt;TIME(9,39,0),Sheet1!$C$22=TODAY()),    Sheet1!$C$21-R432,     Sheet1!$C$21-R432-1),               R433-R432-1),    0)</f>
        <v>0</v>
      </c>
      <c r="F432" s="30"/>
      <c r="G432" s="25" t="str">
        <f>IF(LEFT(Sheet1!K433,2)="0x",Sheet1!K432,IF(AND(Sheet1!L432="",Sheet1!L431=""),"",G431))</f>
        <v/>
      </c>
      <c r="H432" s="81"/>
      <c r="I432" s="43" t="str">
        <f t="shared" si="33"/>
        <v/>
      </c>
      <c r="J432" s="29" t="str">
        <f t="shared" si="32"/>
        <v/>
      </c>
      <c r="K432" s="24" t="str">
        <f>IF(Sheet1!L432="","",IF(Sheet1!L432&gt;0,ROW(),""))</f>
        <v/>
      </c>
      <c r="L432" s="24" t="str">
        <f t="shared" ca="1" si="30"/>
        <v/>
      </c>
      <c r="M432" s="47" t="str">
        <f t="shared" ca="1" si="31"/>
        <v/>
      </c>
      <c r="N432" s="48" t="str">
        <f>IF(LEFT(Sheet1!K432,2)="0x",Sheet1!K432,IF(AND(Sheet1!L432="",Sheet1!L431=""),"",N431))</f>
        <v/>
      </c>
      <c r="O432" s="46">
        <f>IF(Sheet1!L432="",0,IF(Sheet1!O432&lt;TIME(7,39,0)+Sheet1!$E$3/24,1,0))</f>
        <v>0</v>
      </c>
      <c r="P432" s="46" t="str">
        <f ca="1">IF(AND(Sheet1!L432&lt;0, Sheet1!$C$21&gt;R432,OR(Sheet1!$C$21&lt;=R433,Sheet1!L433="")),   -1*Sheet1!L432,"")</f>
        <v/>
      </c>
    </row>
    <row r="433" spans="1:16" ht="15.75" x14ac:dyDescent="0.25">
      <c r="A433" s="456" t="str">
        <f>IF(AND(R433&lt;&gt;"",R432&lt;&gt;""),(-Sheet1!L433/Sheet1!L432)^(360/(R433-R432-1))-1,"")</f>
        <v/>
      </c>
      <c r="B433" s="41" t="str">
        <f ca="1">IF(AND(Sheet1!L433&lt;0, Sheet1!$C$21&gt;R433+1,OR(Sheet1!$C$21&lt;=R434,Sheet1!L434="")),   -1*Sheet1!L433,"")</f>
        <v/>
      </c>
      <c r="C433" s="42">
        <f ca="1">IF(Sheet3!$B$5="",0,    IF(E433&lt;1,0,  IF(B433="","",     IF(OR(Sheet3!$B$6=0,INDIRECT(ADDRESS(ROW(),Sheet3!$B$3+16))="" ),D433/E433,    IF(E433&lt;0,0,    IF(OR( INDIRECT(ADDRESS(8,Sheet3!$B$3+16))="",INDIRECT(ADDRESS(ROW(),Sheet3!$B$3+17))=""),        (INDIRECT(ADDRESS(ROW(),Sheet3!$B$3+16))+B433)*Sheet3!$Q$4,         INDIRECT(ADDRESS(ROW(),Sheet3!$B$3+17))-INDIRECT(ADDRESS(ROW(),Sheet3!$B$3+16))))))))</f>
        <v>0</v>
      </c>
      <c r="D433" s="39">
        <f ca="1">IF(Sheet3!$B$5="",0,IF(B433="","",IF(E433&lt;1,0,   IF(INDIRECT(ADDRESS(ROW(), Sheet3!$B$3+17))="",        INDIRECT(ADDRESS(ROW(), Sheet3!$B$3+16))*  (1+Sheet3!$Q$4)   +B433*Sheet3!$Q$4,       INDIRECT(ADDRESS(ROW(), Sheet3!$B$3+17))))))</f>
        <v>0</v>
      </c>
      <c r="E433" s="40">
        <f ca="1">IF(AND(Sheet1!L433&lt;0,  Sheet1!$C$21&gt;R433),    IF(OR(Sheet1!$C$21&lt;=R434,  Sheet1!L434=""),       IF(AND(MOD(NOW(),1)&lt;TIME(9,39,0),Sheet1!$C$22=TODAY()),    Sheet1!$C$21-R433,     Sheet1!$C$21-R433-1),               R434-R433-1),    0)</f>
        <v>0</v>
      </c>
      <c r="F433" s="30"/>
      <c r="G433" s="25" t="str">
        <f>IF(LEFT(Sheet1!K434,2)="0x",Sheet1!K433,IF(AND(Sheet1!L433="",Sheet1!L432=""),"",G432))</f>
        <v/>
      </c>
      <c r="H433" s="81"/>
      <c r="I433" s="43" t="str">
        <f t="shared" si="33"/>
        <v/>
      </c>
      <c r="J433" s="29" t="str">
        <f t="shared" si="32"/>
        <v/>
      </c>
      <c r="K433" s="24" t="str">
        <f>IF(Sheet1!L433="","",IF(Sheet1!L433&gt;0,ROW(),""))</f>
        <v/>
      </c>
      <c r="L433" s="24" t="str">
        <f t="shared" ca="1" si="30"/>
        <v/>
      </c>
      <c r="M433" s="47" t="str">
        <f t="shared" ca="1" si="31"/>
        <v/>
      </c>
      <c r="N433" s="48" t="str">
        <f>IF(LEFT(Sheet1!K433,2)="0x",Sheet1!K433,IF(AND(Sheet1!L433="",Sheet1!L432=""),"",N432))</f>
        <v/>
      </c>
      <c r="O433" s="46">
        <f>IF(Sheet1!L433="",0,IF(Sheet1!O433&lt;TIME(7,39,0)+Sheet1!$E$3/24,1,0))</f>
        <v>0</v>
      </c>
      <c r="P433" s="46" t="str">
        <f ca="1">IF(AND(Sheet1!L433&lt;0, Sheet1!$C$21&gt;R433,OR(Sheet1!$C$21&lt;=R434,Sheet1!L434="")),   -1*Sheet1!L433,"")</f>
        <v/>
      </c>
    </row>
    <row r="434" spans="1:16" ht="15.75" x14ac:dyDescent="0.25">
      <c r="A434" s="456" t="str">
        <f>IF(AND(R434&lt;&gt;"",R433&lt;&gt;""),(-Sheet1!L434/Sheet1!L433)^(360/(R434-R433-1))-1,"")</f>
        <v/>
      </c>
      <c r="B434" s="41" t="str">
        <f ca="1">IF(AND(Sheet1!L434&lt;0, Sheet1!$C$21&gt;R434+1,OR(Sheet1!$C$21&lt;=R435,Sheet1!L435="")),   -1*Sheet1!L434,"")</f>
        <v/>
      </c>
      <c r="C434" s="42">
        <f ca="1">IF(Sheet3!$B$5="",0,    IF(E434&lt;1,0,  IF(B434="","",     IF(OR(Sheet3!$B$6=0,INDIRECT(ADDRESS(ROW(),Sheet3!$B$3+16))="" ),D434/E434,    IF(E434&lt;0,0,    IF(OR( INDIRECT(ADDRESS(8,Sheet3!$B$3+16))="",INDIRECT(ADDRESS(ROW(),Sheet3!$B$3+17))=""),        (INDIRECT(ADDRESS(ROW(),Sheet3!$B$3+16))+B434)*Sheet3!$Q$4,         INDIRECT(ADDRESS(ROW(),Sheet3!$B$3+17))-INDIRECT(ADDRESS(ROW(),Sheet3!$B$3+16))))))))</f>
        <v>0</v>
      </c>
      <c r="D434" s="39">
        <f ca="1">IF(Sheet3!$B$5="",0,IF(B434="","",IF(E434&lt;1,0,   IF(INDIRECT(ADDRESS(ROW(), Sheet3!$B$3+17))="",        INDIRECT(ADDRESS(ROW(), Sheet3!$B$3+16))*  (1+Sheet3!$Q$4)   +B434*Sheet3!$Q$4,       INDIRECT(ADDRESS(ROW(), Sheet3!$B$3+17))))))</f>
        <v>0</v>
      </c>
      <c r="E434" s="40">
        <f ca="1">IF(AND(Sheet1!L434&lt;0,  Sheet1!$C$21&gt;R434),    IF(OR(Sheet1!$C$21&lt;=R435,  Sheet1!L435=""),       IF(AND(MOD(NOW(),1)&lt;TIME(9,39,0),Sheet1!$C$22=TODAY()),    Sheet1!$C$21-R434,     Sheet1!$C$21-R434-1),               R435-R434-1),    0)</f>
        <v>0</v>
      </c>
      <c r="F434" s="30"/>
      <c r="G434" s="25" t="str">
        <f>IF(LEFT(Sheet1!K435,2)="0x",Sheet1!K434,IF(AND(Sheet1!L434="",Sheet1!L433=""),"",G433))</f>
        <v/>
      </c>
      <c r="H434" s="81"/>
      <c r="I434" s="43" t="str">
        <f t="shared" si="33"/>
        <v/>
      </c>
      <c r="J434" s="29" t="str">
        <f t="shared" si="32"/>
        <v/>
      </c>
      <c r="K434" s="24" t="str">
        <f>IF(Sheet1!L434="","",IF(Sheet1!L434&gt;0,ROW(),""))</f>
        <v/>
      </c>
      <c r="L434" s="24" t="str">
        <f t="shared" ca="1" si="30"/>
        <v/>
      </c>
      <c r="M434" s="47" t="str">
        <f t="shared" ca="1" si="31"/>
        <v/>
      </c>
      <c r="N434" s="48" t="str">
        <f>IF(LEFT(Sheet1!K434,2)="0x",Sheet1!K434,IF(AND(Sheet1!L434="",Sheet1!L433=""),"",N433))</f>
        <v/>
      </c>
      <c r="O434" s="46">
        <f>IF(Sheet1!L434="",0,IF(Sheet1!O434&lt;TIME(7,39,0)+Sheet1!$E$3/24,1,0))</f>
        <v>0</v>
      </c>
      <c r="P434" s="46" t="str">
        <f ca="1">IF(AND(Sheet1!L434&lt;0, Sheet1!$C$21&gt;R434,OR(Sheet1!$C$21&lt;=R435,Sheet1!L435="")),   -1*Sheet1!L434,"")</f>
        <v/>
      </c>
    </row>
    <row r="435" spans="1:16" ht="15.75" x14ac:dyDescent="0.25">
      <c r="A435" s="456" t="str">
        <f>IF(AND(R435&lt;&gt;"",R434&lt;&gt;""),(-Sheet1!L435/Sheet1!L434)^(360/(R435-R434-1))-1,"")</f>
        <v/>
      </c>
      <c r="B435" s="41" t="str">
        <f ca="1">IF(AND(Sheet1!L435&lt;0, Sheet1!$C$21&gt;R435+1,OR(Sheet1!$C$21&lt;=R436,Sheet1!L436="")),   -1*Sheet1!L435,"")</f>
        <v/>
      </c>
      <c r="C435" s="42">
        <f ca="1">IF(Sheet3!$B$5="",0,    IF(E435&lt;1,0,  IF(B435="","",     IF(OR(Sheet3!$B$6=0,INDIRECT(ADDRESS(ROW(),Sheet3!$B$3+16))="" ),D435/E435,    IF(E435&lt;0,0,    IF(OR( INDIRECT(ADDRESS(8,Sheet3!$B$3+16))="",INDIRECT(ADDRESS(ROW(),Sheet3!$B$3+17))=""),        (INDIRECT(ADDRESS(ROW(),Sheet3!$B$3+16))+B435)*Sheet3!$Q$4,         INDIRECT(ADDRESS(ROW(),Sheet3!$B$3+17))-INDIRECT(ADDRESS(ROW(),Sheet3!$B$3+16))))))))</f>
        <v>0</v>
      </c>
      <c r="D435" s="39">
        <f ca="1">IF(Sheet3!$B$5="",0,IF(B435="","",IF(E435&lt;1,0,   IF(INDIRECT(ADDRESS(ROW(), Sheet3!$B$3+17))="",        INDIRECT(ADDRESS(ROW(), Sheet3!$B$3+16))*  (1+Sheet3!$Q$4)   +B435*Sheet3!$Q$4,       INDIRECT(ADDRESS(ROW(), Sheet3!$B$3+17))))))</f>
        <v>0</v>
      </c>
      <c r="E435" s="40">
        <f ca="1">IF(AND(Sheet1!L435&lt;0,  Sheet1!$C$21&gt;R435),    IF(OR(Sheet1!$C$21&lt;=R436,  Sheet1!L436=""),       IF(AND(MOD(NOW(),1)&lt;TIME(9,39,0),Sheet1!$C$22=TODAY()),    Sheet1!$C$21-R435,     Sheet1!$C$21-R435-1),               R436-R435-1),    0)</f>
        <v>0</v>
      </c>
      <c r="F435" s="30"/>
      <c r="G435" s="25" t="str">
        <f>IF(LEFT(Sheet1!K436,2)="0x",Sheet1!K435,IF(AND(Sheet1!L435="",Sheet1!L434=""),"",G434))</f>
        <v/>
      </c>
      <c r="H435" s="81"/>
      <c r="I435" s="43" t="str">
        <f t="shared" si="33"/>
        <v/>
      </c>
      <c r="J435" s="29" t="str">
        <f t="shared" si="32"/>
        <v/>
      </c>
      <c r="K435" s="24" t="str">
        <f>IF(Sheet1!L435="","",IF(Sheet1!L435&gt;0,ROW(),""))</f>
        <v/>
      </c>
      <c r="L435" s="24" t="str">
        <f t="shared" ca="1" si="30"/>
        <v/>
      </c>
      <c r="M435" s="47" t="str">
        <f t="shared" ca="1" si="31"/>
        <v/>
      </c>
      <c r="N435" s="48" t="str">
        <f>IF(LEFT(Sheet1!K435,2)="0x",Sheet1!K435,IF(AND(Sheet1!L435="",Sheet1!L434=""),"",N434))</f>
        <v/>
      </c>
      <c r="O435" s="46">
        <f>IF(Sheet1!L435="",0,IF(Sheet1!O435&lt;TIME(7,39,0)+Sheet1!$E$3/24,1,0))</f>
        <v>0</v>
      </c>
      <c r="P435" s="46" t="str">
        <f ca="1">IF(AND(Sheet1!L435&lt;0, Sheet1!$C$21&gt;R435,OR(Sheet1!$C$21&lt;=R436,Sheet1!L436="")),   -1*Sheet1!L435,"")</f>
        <v/>
      </c>
    </row>
    <row r="436" spans="1:16" ht="15.75" x14ac:dyDescent="0.25">
      <c r="A436" s="456" t="str">
        <f>IF(AND(R436&lt;&gt;"",R435&lt;&gt;""),(-Sheet1!L436/Sheet1!L435)^(360/(R436-R435-1))-1,"")</f>
        <v/>
      </c>
      <c r="B436" s="41" t="str">
        <f ca="1">IF(AND(Sheet1!L436&lt;0, Sheet1!$C$21&gt;R436+1,OR(Sheet1!$C$21&lt;=R437,Sheet1!L437="")),   -1*Sheet1!L436,"")</f>
        <v/>
      </c>
      <c r="C436" s="42">
        <f ca="1">IF(Sheet3!$B$5="",0,    IF(E436&lt;1,0,  IF(B436="","",     IF(OR(Sheet3!$B$6=0,INDIRECT(ADDRESS(ROW(),Sheet3!$B$3+16))="" ),D436/E436,    IF(E436&lt;0,0,    IF(OR( INDIRECT(ADDRESS(8,Sheet3!$B$3+16))="",INDIRECT(ADDRESS(ROW(),Sheet3!$B$3+17))=""),        (INDIRECT(ADDRESS(ROW(),Sheet3!$B$3+16))+B436)*Sheet3!$Q$4,         INDIRECT(ADDRESS(ROW(),Sheet3!$B$3+17))-INDIRECT(ADDRESS(ROW(),Sheet3!$B$3+16))))))))</f>
        <v>0</v>
      </c>
      <c r="D436" s="39">
        <f ca="1">IF(Sheet3!$B$5="",0,IF(B436="","",IF(E436&lt;1,0,   IF(INDIRECT(ADDRESS(ROW(), Sheet3!$B$3+17))="",        INDIRECT(ADDRESS(ROW(), Sheet3!$B$3+16))*  (1+Sheet3!$Q$4)   +B436*Sheet3!$Q$4,       INDIRECT(ADDRESS(ROW(), Sheet3!$B$3+17))))))</f>
        <v>0</v>
      </c>
      <c r="E436" s="40">
        <f ca="1">IF(AND(Sheet1!L436&lt;0,  Sheet1!$C$21&gt;R436),    IF(OR(Sheet1!$C$21&lt;=R437,  Sheet1!L437=""),       IF(AND(MOD(NOW(),1)&lt;TIME(9,39,0),Sheet1!$C$22=TODAY()),    Sheet1!$C$21-R436,     Sheet1!$C$21-R436-1),               R437-R436-1),    0)</f>
        <v>0</v>
      </c>
      <c r="F436" s="30"/>
      <c r="G436" s="25" t="str">
        <f>IF(LEFT(Sheet1!K437,2)="0x",Sheet1!K436,IF(AND(Sheet1!L436="",Sheet1!L435=""),"",G435))</f>
        <v/>
      </c>
      <c r="H436" s="81"/>
      <c r="I436" s="43" t="str">
        <f t="shared" si="33"/>
        <v/>
      </c>
      <c r="J436" s="29" t="str">
        <f t="shared" si="32"/>
        <v/>
      </c>
      <c r="K436" s="24" t="str">
        <f>IF(Sheet1!L436="","",IF(Sheet1!L436&gt;0,ROW(),""))</f>
        <v/>
      </c>
      <c r="L436" s="24" t="str">
        <f t="shared" ca="1" si="30"/>
        <v/>
      </c>
      <c r="M436" s="47" t="str">
        <f t="shared" ca="1" si="31"/>
        <v/>
      </c>
      <c r="N436" s="48" t="str">
        <f>IF(LEFT(Sheet1!K436,2)="0x",Sheet1!K436,IF(AND(Sheet1!L436="",Sheet1!L435=""),"",N435))</f>
        <v/>
      </c>
      <c r="O436" s="46">
        <f>IF(Sheet1!L436="",0,IF(Sheet1!O436&lt;TIME(7,39,0)+Sheet1!$E$3/24,1,0))</f>
        <v>0</v>
      </c>
      <c r="P436" s="46" t="str">
        <f ca="1">IF(AND(Sheet1!L436&lt;0, Sheet1!$C$21&gt;R436,OR(Sheet1!$C$21&lt;=R437,Sheet1!L437="")),   -1*Sheet1!L436,"")</f>
        <v/>
      </c>
    </row>
    <row r="437" spans="1:16" ht="15.75" x14ac:dyDescent="0.25">
      <c r="A437" s="456" t="str">
        <f>IF(AND(R437&lt;&gt;"",R436&lt;&gt;""),(-Sheet1!L437/Sheet1!L436)^(360/(R437-R436-1))-1,"")</f>
        <v/>
      </c>
      <c r="B437" s="41" t="str">
        <f ca="1">IF(AND(Sheet1!L437&lt;0, Sheet1!$C$21&gt;R437+1,OR(Sheet1!$C$21&lt;=R438,Sheet1!L438="")),   -1*Sheet1!L437,"")</f>
        <v/>
      </c>
      <c r="C437" s="42">
        <f ca="1">IF(Sheet3!$B$5="",0,    IF(E437&lt;1,0,  IF(B437="","",     IF(OR(Sheet3!$B$6=0,INDIRECT(ADDRESS(ROW(),Sheet3!$B$3+16))="" ),D437/E437,    IF(E437&lt;0,0,    IF(OR( INDIRECT(ADDRESS(8,Sheet3!$B$3+16))="",INDIRECT(ADDRESS(ROW(),Sheet3!$B$3+17))=""),        (INDIRECT(ADDRESS(ROW(),Sheet3!$B$3+16))+B437)*Sheet3!$Q$4,         INDIRECT(ADDRESS(ROW(),Sheet3!$B$3+17))-INDIRECT(ADDRESS(ROW(),Sheet3!$B$3+16))))))))</f>
        <v>0</v>
      </c>
      <c r="D437" s="39">
        <f ca="1">IF(Sheet3!$B$5="",0,IF(B437="","",IF(E437&lt;1,0,   IF(INDIRECT(ADDRESS(ROW(), Sheet3!$B$3+17))="",        INDIRECT(ADDRESS(ROW(), Sheet3!$B$3+16))*  (1+Sheet3!$Q$4)   +B437*Sheet3!$Q$4,       INDIRECT(ADDRESS(ROW(), Sheet3!$B$3+17))))))</f>
        <v>0</v>
      </c>
      <c r="E437" s="40">
        <f ca="1">IF(AND(Sheet1!L437&lt;0,  Sheet1!$C$21&gt;R437),    IF(OR(Sheet1!$C$21&lt;=R438,  Sheet1!L438=""),       IF(AND(MOD(NOW(),1)&lt;TIME(9,39,0),Sheet1!$C$22=TODAY()),    Sheet1!$C$21-R437,     Sheet1!$C$21-R437-1),               R438-R437-1),    0)</f>
        <v>0</v>
      </c>
      <c r="F437" s="30"/>
      <c r="G437" s="25" t="str">
        <f>IF(LEFT(Sheet1!K438,2)="0x",Sheet1!K437,IF(AND(Sheet1!L437="",Sheet1!L436=""),"",G436))</f>
        <v/>
      </c>
      <c r="H437" s="81"/>
      <c r="I437" s="43" t="str">
        <f t="shared" si="33"/>
        <v/>
      </c>
      <c r="J437" s="29" t="str">
        <f t="shared" si="32"/>
        <v/>
      </c>
      <c r="K437" s="24" t="str">
        <f>IF(Sheet1!L437="","",IF(Sheet1!L437&gt;0,ROW(),""))</f>
        <v/>
      </c>
      <c r="L437" s="24" t="str">
        <f t="shared" ca="1" si="30"/>
        <v/>
      </c>
      <c r="M437" s="47" t="str">
        <f t="shared" ca="1" si="31"/>
        <v/>
      </c>
      <c r="N437" s="48" t="str">
        <f>IF(LEFT(Sheet1!K437,2)="0x",Sheet1!K437,IF(AND(Sheet1!L437="",Sheet1!L436=""),"",N436))</f>
        <v/>
      </c>
      <c r="O437" s="46">
        <f>IF(Sheet1!L437="",0,IF(Sheet1!O437&lt;TIME(7,39,0)+Sheet1!$E$3/24,1,0))</f>
        <v>0</v>
      </c>
      <c r="P437" s="46" t="str">
        <f ca="1">IF(AND(Sheet1!L437&lt;0, Sheet1!$C$21&gt;R437,OR(Sheet1!$C$21&lt;=R438,Sheet1!L438="")),   -1*Sheet1!L437,"")</f>
        <v/>
      </c>
    </row>
    <row r="438" spans="1:16" ht="15.75" x14ac:dyDescent="0.25">
      <c r="A438" s="456" t="str">
        <f>IF(AND(R438&lt;&gt;"",R437&lt;&gt;""),(-Sheet1!L438/Sheet1!L437)^(360/(R438-R437-1))-1,"")</f>
        <v/>
      </c>
      <c r="B438" s="41" t="str">
        <f ca="1">IF(AND(Sheet1!L438&lt;0, Sheet1!$C$21&gt;R438+1,OR(Sheet1!$C$21&lt;=R439,Sheet1!L439="")),   -1*Sheet1!L438,"")</f>
        <v/>
      </c>
      <c r="C438" s="42">
        <f ca="1">IF(Sheet3!$B$5="",0,    IF(E438&lt;1,0,  IF(B438="","",     IF(OR(Sheet3!$B$6=0,INDIRECT(ADDRESS(ROW(),Sheet3!$B$3+16))="" ),D438/E438,    IF(E438&lt;0,0,    IF(OR( INDIRECT(ADDRESS(8,Sheet3!$B$3+16))="",INDIRECT(ADDRESS(ROW(),Sheet3!$B$3+17))=""),        (INDIRECT(ADDRESS(ROW(),Sheet3!$B$3+16))+B438)*Sheet3!$Q$4,         INDIRECT(ADDRESS(ROW(),Sheet3!$B$3+17))-INDIRECT(ADDRESS(ROW(),Sheet3!$B$3+16))))))))</f>
        <v>0</v>
      </c>
      <c r="D438" s="39">
        <f ca="1">IF(Sheet3!$B$5="",0,IF(B438="","",IF(E438&lt;1,0,   IF(INDIRECT(ADDRESS(ROW(), Sheet3!$B$3+17))="",        INDIRECT(ADDRESS(ROW(), Sheet3!$B$3+16))*  (1+Sheet3!$Q$4)   +B438*Sheet3!$Q$4,       INDIRECT(ADDRESS(ROW(), Sheet3!$B$3+17))))))</f>
        <v>0</v>
      </c>
      <c r="E438" s="40">
        <f ca="1">IF(AND(Sheet1!L438&lt;0,  Sheet1!$C$21&gt;R438),    IF(OR(Sheet1!$C$21&lt;=R439,  Sheet1!L439=""),       IF(AND(MOD(NOW(),1)&lt;TIME(9,39,0),Sheet1!$C$22=TODAY()),    Sheet1!$C$21-R438,     Sheet1!$C$21-R438-1),               R439-R438-1),    0)</f>
        <v>0</v>
      </c>
      <c r="F438" s="30"/>
      <c r="G438" s="25" t="str">
        <f>IF(LEFT(Sheet1!K439,2)="0x",Sheet1!K438,IF(AND(Sheet1!L438="",Sheet1!L437=""),"",G437))</f>
        <v/>
      </c>
      <c r="H438" s="81"/>
      <c r="I438" s="43" t="str">
        <f t="shared" si="33"/>
        <v/>
      </c>
      <c r="J438" s="29" t="str">
        <f t="shared" si="32"/>
        <v/>
      </c>
      <c r="K438" s="24" t="str">
        <f>IF(Sheet1!L438="","",IF(Sheet1!L438&gt;0,ROW(),""))</f>
        <v/>
      </c>
      <c r="L438" s="24" t="str">
        <f t="shared" ca="1" si="30"/>
        <v/>
      </c>
      <c r="M438" s="47" t="str">
        <f t="shared" ca="1" si="31"/>
        <v/>
      </c>
      <c r="N438" s="48" t="str">
        <f>IF(LEFT(Sheet1!K438,2)="0x",Sheet1!K438,IF(AND(Sheet1!L438="",Sheet1!L437=""),"",N437))</f>
        <v/>
      </c>
      <c r="O438" s="46">
        <f>IF(Sheet1!L438="",0,IF(Sheet1!O438&lt;TIME(7,39,0)+Sheet1!$E$3/24,1,0))</f>
        <v>0</v>
      </c>
      <c r="P438" s="46" t="str">
        <f ca="1">IF(AND(Sheet1!L438&lt;0, Sheet1!$C$21&gt;R438,OR(Sheet1!$C$21&lt;=R439,Sheet1!L439="")),   -1*Sheet1!L438,"")</f>
        <v/>
      </c>
    </row>
    <row r="439" spans="1:16" ht="15.75" x14ac:dyDescent="0.25">
      <c r="A439" s="456" t="str">
        <f>IF(AND(R439&lt;&gt;"",R438&lt;&gt;""),(-Sheet1!L439/Sheet1!L438)^(360/(R439-R438-1))-1,"")</f>
        <v/>
      </c>
      <c r="B439" s="41" t="str">
        <f ca="1">IF(AND(Sheet1!L439&lt;0, Sheet1!$C$21&gt;R439+1,OR(Sheet1!$C$21&lt;=R440,Sheet1!L440="")),   -1*Sheet1!L439,"")</f>
        <v/>
      </c>
      <c r="C439" s="42">
        <f ca="1">IF(Sheet3!$B$5="",0,    IF(E439&lt;1,0,  IF(B439="","",     IF(OR(Sheet3!$B$6=0,INDIRECT(ADDRESS(ROW(),Sheet3!$B$3+16))="" ),D439/E439,    IF(E439&lt;0,0,    IF(OR( INDIRECT(ADDRESS(8,Sheet3!$B$3+16))="",INDIRECT(ADDRESS(ROW(),Sheet3!$B$3+17))=""),        (INDIRECT(ADDRESS(ROW(),Sheet3!$B$3+16))+B439)*Sheet3!$Q$4,         INDIRECT(ADDRESS(ROW(),Sheet3!$B$3+17))-INDIRECT(ADDRESS(ROW(),Sheet3!$B$3+16))))))))</f>
        <v>0</v>
      </c>
      <c r="D439" s="39">
        <f ca="1">IF(Sheet3!$B$5="",0,IF(B439="","",IF(E439&lt;1,0,   IF(INDIRECT(ADDRESS(ROW(), Sheet3!$B$3+17))="",        INDIRECT(ADDRESS(ROW(), Sheet3!$B$3+16))*  (1+Sheet3!$Q$4)   +B439*Sheet3!$Q$4,       INDIRECT(ADDRESS(ROW(), Sheet3!$B$3+17))))))</f>
        <v>0</v>
      </c>
      <c r="E439" s="40">
        <f ca="1">IF(AND(Sheet1!L439&lt;0,  Sheet1!$C$21&gt;R439),    IF(OR(Sheet1!$C$21&lt;=R440,  Sheet1!L440=""),       IF(AND(MOD(NOW(),1)&lt;TIME(9,39,0),Sheet1!$C$22=TODAY()),    Sheet1!$C$21-R439,     Sheet1!$C$21-R439-1),               R440-R439-1),    0)</f>
        <v>0</v>
      </c>
      <c r="F439" s="30"/>
      <c r="G439" s="25" t="str">
        <f>IF(LEFT(Sheet1!K440,2)="0x",Sheet1!K439,IF(AND(Sheet1!L439="",Sheet1!L438=""),"",G438))</f>
        <v/>
      </c>
      <c r="H439" s="81"/>
      <c r="I439" s="43" t="str">
        <f t="shared" si="33"/>
        <v/>
      </c>
      <c r="J439" s="29" t="str">
        <f t="shared" si="32"/>
        <v/>
      </c>
      <c r="K439" s="24" t="str">
        <f>IF(Sheet1!L439="","",IF(Sheet1!L439&gt;0,ROW(),""))</f>
        <v/>
      </c>
      <c r="L439" s="24" t="str">
        <f t="shared" ca="1" si="30"/>
        <v/>
      </c>
      <c r="M439" s="47" t="str">
        <f t="shared" ca="1" si="31"/>
        <v/>
      </c>
      <c r="N439" s="48" t="str">
        <f>IF(LEFT(Sheet1!K439,2)="0x",Sheet1!K439,IF(AND(Sheet1!L439="",Sheet1!L438=""),"",N438))</f>
        <v/>
      </c>
      <c r="O439" s="46">
        <f>IF(Sheet1!L439="",0,IF(Sheet1!O439&lt;TIME(7,39,0)+Sheet1!$E$3/24,1,0))</f>
        <v>0</v>
      </c>
      <c r="P439" s="46" t="str">
        <f ca="1">IF(AND(Sheet1!L439&lt;0, Sheet1!$C$21&gt;R439,OR(Sheet1!$C$21&lt;=R440,Sheet1!L440="")),   -1*Sheet1!L439,"")</f>
        <v/>
      </c>
    </row>
    <row r="440" spans="1:16" ht="15.75" x14ac:dyDescent="0.25">
      <c r="A440" s="456" t="str">
        <f>IF(AND(R440&lt;&gt;"",R439&lt;&gt;""),(-Sheet1!L440/Sheet1!L439)^(360/(R440-R439-1))-1,"")</f>
        <v/>
      </c>
      <c r="B440" s="41" t="str">
        <f ca="1">IF(AND(Sheet1!L440&lt;0, Sheet1!$C$21&gt;R440+1,OR(Sheet1!$C$21&lt;=R441,Sheet1!L441="")),   -1*Sheet1!L440,"")</f>
        <v/>
      </c>
      <c r="C440" s="42">
        <f ca="1">IF(Sheet3!$B$5="",0,    IF(E440&lt;1,0,  IF(B440="","",     IF(OR(Sheet3!$B$6=0,INDIRECT(ADDRESS(ROW(),Sheet3!$B$3+16))="" ),D440/E440,    IF(E440&lt;0,0,    IF(OR( INDIRECT(ADDRESS(8,Sheet3!$B$3+16))="",INDIRECT(ADDRESS(ROW(),Sheet3!$B$3+17))=""),        (INDIRECT(ADDRESS(ROW(),Sheet3!$B$3+16))+B440)*Sheet3!$Q$4,         INDIRECT(ADDRESS(ROW(),Sheet3!$B$3+17))-INDIRECT(ADDRESS(ROW(),Sheet3!$B$3+16))))))))</f>
        <v>0</v>
      </c>
      <c r="D440" s="39">
        <f ca="1">IF(Sheet3!$B$5="",0,IF(B440="","",IF(E440&lt;1,0,   IF(INDIRECT(ADDRESS(ROW(), Sheet3!$B$3+17))="",        INDIRECT(ADDRESS(ROW(), Sheet3!$B$3+16))*  (1+Sheet3!$Q$4)   +B440*Sheet3!$Q$4,       INDIRECT(ADDRESS(ROW(), Sheet3!$B$3+17))))))</f>
        <v>0</v>
      </c>
      <c r="E440" s="40">
        <f ca="1">IF(AND(Sheet1!L440&lt;0,  Sheet1!$C$21&gt;R440),    IF(OR(Sheet1!$C$21&lt;=R441,  Sheet1!L441=""),       IF(AND(MOD(NOW(),1)&lt;TIME(9,39,0),Sheet1!$C$22=TODAY()),    Sheet1!$C$21-R440,     Sheet1!$C$21-R440-1),               R441-R440-1),    0)</f>
        <v>0</v>
      </c>
      <c r="F440" s="30"/>
      <c r="G440" s="25" t="str">
        <f>IF(LEFT(Sheet1!K441,2)="0x",Sheet1!K440,IF(AND(Sheet1!L440="",Sheet1!L439=""),"",G439))</f>
        <v/>
      </c>
      <c r="H440" s="81"/>
      <c r="I440" s="43" t="str">
        <f t="shared" si="33"/>
        <v/>
      </c>
      <c r="J440" s="29" t="str">
        <f t="shared" si="32"/>
        <v/>
      </c>
      <c r="K440" s="24" t="str">
        <f>IF(Sheet1!L440="","",IF(Sheet1!L440&gt;0,ROW(),""))</f>
        <v/>
      </c>
      <c r="L440" s="24" t="str">
        <f t="shared" ca="1" si="30"/>
        <v/>
      </c>
      <c r="M440" s="47" t="str">
        <f t="shared" ca="1" si="31"/>
        <v/>
      </c>
      <c r="N440" s="48" t="str">
        <f>IF(LEFT(Sheet1!K440,2)="0x",Sheet1!K440,IF(AND(Sheet1!L440="",Sheet1!L439=""),"",N439))</f>
        <v/>
      </c>
      <c r="O440" s="46">
        <f>IF(Sheet1!L440="",0,IF(Sheet1!O440&lt;TIME(7,39,0)+Sheet1!$E$3/24,1,0))</f>
        <v>0</v>
      </c>
      <c r="P440" s="46" t="str">
        <f ca="1">IF(AND(Sheet1!L440&lt;0, Sheet1!$C$21&gt;R440,OR(Sheet1!$C$21&lt;=R441,Sheet1!L441="")),   -1*Sheet1!L440,"")</f>
        <v/>
      </c>
    </row>
    <row r="441" spans="1:16" ht="15.75" x14ac:dyDescent="0.25">
      <c r="A441" s="456" t="str">
        <f>IF(AND(R441&lt;&gt;"",R440&lt;&gt;""),(-Sheet1!L441/Sheet1!L440)^(360/(R441-R440-1))-1,"")</f>
        <v/>
      </c>
      <c r="B441" s="41" t="str">
        <f ca="1">IF(AND(Sheet1!L441&lt;0, Sheet1!$C$21&gt;R441+1,OR(Sheet1!$C$21&lt;=R442,Sheet1!L442="")),   -1*Sheet1!L441,"")</f>
        <v/>
      </c>
      <c r="C441" s="42">
        <f ca="1">IF(Sheet3!$B$5="",0,    IF(E441&lt;1,0,  IF(B441="","",     IF(OR(Sheet3!$B$6=0,INDIRECT(ADDRESS(ROW(),Sheet3!$B$3+16))="" ),D441/E441,    IF(E441&lt;0,0,    IF(OR( INDIRECT(ADDRESS(8,Sheet3!$B$3+16))="",INDIRECT(ADDRESS(ROW(),Sheet3!$B$3+17))=""),        (INDIRECT(ADDRESS(ROW(),Sheet3!$B$3+16))+B441)*Sheet3!$Q$4,         INDIRECT(ADDRESS(ROW(),Sheet3!$B$3+17))-INDIRECT(ADDRESS(ROW(),Sheet3!$B$3+16))))))))</f>
        <v>0</v>
      </c>
      <c r="D441" s="39">
        <f ca="1">IF(Sheet3!$B$5="",0,IF(B441="","",IF(E441&lt;1,0,   IF(INDIRECT(ADDRESS(ROW(), Sheet3!$B$3+17))="",        INDIRECT(ADDRESS(ROW(), Sheet3!$B$3+16))*  (1+Sheet3!$Q$4)   +B441*Sheet3!$Q$4,       INDIRECT(ADDRESS(ROW(), Sheet3!$B$3+17))))))</f>
        <v>0</v>
      </c>
      <c r="E441" s="40">
        <f ca="1">IF(AND(Sheet1!L441&lt;0,  Sheet1!$C$21&gt;R441),    IF(OR(Sheet1!$C$21&lt;=R442,  Sheet1!L442=""),       IF(AND(MOD(NOW(),1)&lt;TIME(9,39,0),Sheet1!$C$22=TODAY()),    Sheet1!$C$21-R441,     Sheet1!$C$21-R441-1),               R442-R441-1),    0)</f>
        <v>0</v>
      </c>
      <c r="F441" s="30"/>
      <c r="G441" s="25" t="str">
        <f>IF(LEFT(Sheet1!K442,2)="0x",Sheet1!K441,IF(AND(Sheet1!L441="",Sheet1!L440=""),"",G440))</f>
        <v/>
      </c>
      <c r="H441" s="81"/>
      <c r="I441" s="43" t="str">
        <f t="shared" si="33"/>
        <v/>
      </c>
      <c r="J441" s="29" t="str">
        <f t="shared" si="32"/>
        <v/>
      </c>
      <c r="K441" s="24" t="str">
        <f>IF(Sheet1!L441="","",IF(Sheet1!L441&gt;0,ROW(),""))</f>
        <v/>
      </c>
      <c r="L441" s="24" t="str">
        <f t="shared" ca="1" si="30"/>
        <v/>
      </c>
      <c r="M441" s="47" t="str">
        <f t="shared" ca="1" si="31"/>
        <v/>
      </c>
      <c r="N441" s="48" t="str">
        <f>IF(LEFT(Sheet1!K441,2)="0x",Sheet1!K441,IF(AND(Sheet1!L441="",Sheet1!L440=""),"",N440))</f>
        <v/>
      </c>
      <c r="O441" s="46">
        <f>IF(Sheet1!L441="",0,IF(Sheet1!O441&lt;TIME(7,39,0)+Sheet1!$E$3/24,1,0))</f>
        <v>0</v>
      </c>
      <c r="P441" s="46" t="str">
        <f ca="1">IF(AND(Sheet1!L441&lt;0, Sheet1!$C$21&gt;R441,OR(Sheet1!$C$21&lt;=R442,Sheet1!L442="")),   -1*Sheet1!L441,"")</f>
        <v/>
      </c>
    </row>
    <row r="442" spans="1:16" ht="15.75" x14ac:dyDescent="0.25">
      <c r="A442" s="456" t="str">
        <f>IF(AND(R442&lt;&gt;"",R441&lt;&gt;""),(-Sheet1!L442/Sheet1!L441)^(360/(R442-R441-1))-1,"")</f>
        <v/>
      </c>
      <c r="B442" s="41" t="str">
        <f ca="1">IF(AND(Sheet1!L442&lt;0, Sheet1!$C$21&gt;R442+1,OR(Sheet1!$C$21&lt;=R443,Sheet1!L443="")),   -1*Sheet1!L442,"")</f>
        <v/>
      </c>
      <c r="C442" s="42">
        <f ca="1">IF(Sheet3!$B$5="",0,    IF(E442&lt;1,0,  IF(B442="","",     IF(OR(Sheet3!$B$6=0,INDIRECT(ADDRESS(ROW(),Sheet3!$B$3+16))="" ),D442/E442,    IF(E442&lt;0,0,    IF(OR( INDIRECT(ADDRESS(8,Sheet3!$B$3+16))="",INDIRECT(ADDRESS(ROW(),Sheet3!$B$3+17))=""),        (INDIRECT(ADDRESS(ROW(),Sheet3!$B$3+16))+B442)*Sheet3!$Q$4,         INDIRECT(ADDRESS(ROW(),Sheet3!$B$3+17))-INDIRECT(ADDRESS(ROW(),Sheet3!$B$3+16))))))))</f>
        <v>0</v>
      </c>
      <c r="D442" s="39">
        <f ca="1">IF(Sheet3!$B$5="",0,IF(B442="","",IF(E442&lt;1,0,   IF(INDIRECT(ADDRESS(ROW(), Sheet3!$B$3+17))="",        INDIRECT(ADDRESS(ROW(), Sheet3!$B$3+16))*  (1+Sheet3!$Q$4)   +B442*Sheet3!$Q$4,       INDIRECT(ADDRESS(ROW(), Sheet3!$B$3+17))))))</f>
        <v>0</v>
      </c>
      <c r="E442" s="40">
        <f ca="1">IF(AND(Sheet1!L442&lt;0,  Sheet1!$C$21&gt;R442),    IF(OR(Sheet1!$C$21&lt;=R443,  Sheet1!L443=""),       IF(AND(MOD(NOW(),1)&lt;TIME(9,39,0),Sheet1!$C$22=TODAY()),    Sheet1!$C$21-R442,     Sheet1!$C$21-R442-1),               R443-R442-1),    0)</f>
        <v>0</v>
      </c>
      <c r="F442" s="30"/>
      <c r="G442" s="25" t="str">
        <f>IF(LEFT(Sheet1!K443,2)="0x",Sheet1!K442,IF(AND(Sheet1!L442="",Sheet1!L441=""),"",G441))</f>
        <v/>
      </c>
      <c r="H442" s="81"/>
      <c r="I442" s="43" t="str">
        <f t="shared" si="33"/>
        <v/>
      </c>
      <c r="J442" s="29" t="str">
        <f t="shared" si="32"/>
        <v/>
      </c>
      <c r="K442" s="24" t="str">
        <f>IF(Sheet1!L442="","",IF(Sheet1!L442&gt;0,ROW(),""))</f>
        <v/>
      </c>
      <c r="L442" s="24" t="str">
        <f t="shared" ca="1" si="30"/>
        <v/>
      </c>
      <c r="M442" s="47" t="str">
        <f t="shared" ca="1" si="31"/>
        <v/>
      </c>
      <c r="N442" s="48" t="str">
        <f>IF(LEFT(Sheet1!K442,2)="0x",Sheet1!K442,IF(AND(Sheet1!L442="",Sheet1!L441=""),"",N441))</f>
        <v/>
      </c>
      <c r="O442" s="46">
        <f>IF(Sheet1!L442="",0,IF(Sheet1!O442&lt;TIME(7,39,0)+Sheet1!$E$3/24,1,0))</f>
        <v>0</v>
      </c>
      <c r="P442" s="46" t="str">
        <f ca="1">IF(AND(Sheet1!L442&lt;0, Sheet1!$C$21&gt;R442,OR(Sheet1!$C$21&lt;=R443,Sheet1!L443="")),   -1*Sheet1!L442,"")</f>
        <v/>
      </c>
    </row>
    <row r="443" spans="1:16" ht="15.75" x14ac:dyDescent="0.25">
      <c r="A443" s="456" t="str">
        <f>IF(AND(R443&lt;&gt;"",R442&lt;&gt;""),(-Sheet1!L443/Sheet1!L442)^(360/(R443-R442-1))-1,"")</f>
        <v/>
      </c>
      <c r="B443" s="41" t="str">
        <f ca="1">IF(AND(Sheet1!L443&lt;0, Sheet1!$C$21&gt;R443+1,OR(Sheet1!$C$21&lt;=R444,Sheet1!L444="")),   -1*Sheet1!L443,"")</f>
        <v/>
      </c>
      <c r="C443" s="42">
        <f ca="1">IF(Sheet3!$B$5="",0,    IF(E443&lt;1,0,  IF(B443="","",     IF(OR(Sheet3!$B$6=0,INDIRECT(ADDRESS(ROW(),Sheet3!$B$3+16))="" ),D443/E443,    IF(E443&lt;0,0,    IF(OR( INDIRECT(ADDRESS(8,Sheet3!$B$3+16))="",INDIRECT(ADDRESS(ROW(),Sheet3!$B$3+17))=""),        (INDIRECT(ADDRESS(ROW(),Sheet3!$B$3+16))+B443)*Sheet3!$Q$4,         INDIRECT(ADDRESS(ROW(),Sheet3!$B$3+17))-INDIRECT(ADDRESS(ROW(),Sheet3!$B$3+16))))))))</f>
        <v>0</v>
      </c>
      <c r="D443" s="39">
        <f ca="1">IF(Sheet3!$B$5="",0,IF(B443="","",IF(E443&lt;1,0,   IF(INDIRECT(ADDRESS(ROW(), Sheet3!$B$3+17))="",        INDIRECT(ADDRESS(ROW(), Sheet3!$B$3+16))*  (1+Sheet3!$Q$4)   +B443*Sheet3!$Q$4,       INDIRECT(ADDRESS(ROW(), Sheet3!$B$3+17))))))</f>
        <v>0</v>
      </c>
      <c r="E443" s="40">
        <f ca="1">IF(AND(Sheet1!L443&lt;0,  Sheet1!$C$21&gt;R443),    IF(OR(Sheet1!$C$21&lt;=R444,  Sheet1!L444=""),       IF(AND(MOD(NOW(),1)&lt;TIME(9,39,0),Sheet1!$C$22=TODAY()),    Sheet1!$C$21-R443,     Sheet1!$C$21-R443-1),               R444-R443-1),    0)</f>
        <v>0</v>
      </c>
      <c r="F443" s="30"/>
      <c r="G443" s="25" t="str">
        <f>IF(LEFT(Sheet1!K444,2)="0x",Sheet1!K443,IF(AND(Sheet1!L443="",Sheet1!L442=""),"",G442))</f>
        <v/>
      </c>
      <c r="H443" s="81"/>
      <c r="I443" s="43" t="str">
        <f t="shared" si="33"/>
        <v/>
      </c>
      <c r="J443" s="29" t="str">
        <f t="shared" si="32"/>
        <v/>
      </c>
      <c r="K443" s="24" t="str">
        <f>IF(Sheet1!L443="","",IF(Sheet1!L443&gt;0,ROW(),""))</f>
        <v/>
      </c>
      <c r="L443" s="24" t="str">
        <f t="shared" ca="1" si="30"/>
        <v/>
      </c>
      <c r="M443" s="47" t="str">
        <f t="shared" ca="1" si="31"/>
        <v/>
      </c>
      <c r="N443" s="48" t="str">
        <f>IF(LEFT(Sheet1!K443,2)="0x",Sheet1!K443,IF(AND(Sheet1!L443="",Sheet1!L442=""),"",N442))</f>
        <v/>
      </c>
      <c r="O443" s="46">
        <f>IF(Sheet1!L443="",0,IF(Sheet1!O443&lt;TIME(7,39,0)+Sheet1!$E$3/24,1,0))</f>
        <v>0</v>
      </c>
      <c r="P443" s="46" t="str">
        <f ca="1">IF(AND(Sheet1!L443&lt;0, Sheet1!$C$21&gt;R443,OR(Sheet1!$C$21&lt;=R444,Sheet1!L444="")),   -1*Sheet1!L443,"")</f>
        <v/>
      </c>
    </row>
    <row r="444" spans="1:16" ht="15.75" x14ac:dyDescent="0.25">
      <c r="A444" s="456" t="str">
        <f>IF(AND(R444&lt;&gt;"",R443&lt;&gt;""),(-Sheet1!L444/Sheet1!L443)^(360/(R444-R443-1))-1,"")</f>
        <v/>
      </c>
      <c r="B444" s="41" t="str">
        <f ca="1">IF(AND(Sheet1!L444&lt;0, Sheet1!$C$21&gt;R444+1,OR(Sheet1!$C$21&lt;=R445,Sheet1!L445="")),   -1*Sheet1!L444,"")</f>
        <v/>
      </c>
      <c r="C444" s="42">
        <f ca="1">IF(Sheet3!$B$5="",0,    IF(E444&lt;1,0,  IF(B444="","",     IF(OR(Sheet3!$B$6=0,INDIRECT(ADDRESS(ROW(),Sheet3!$B$3+16))="" ),D444/E444,    IF(E444&lt;0,0,    IF(OR( INDIRECT(ADDRESS(8,Sheet3!$B$3+16))="",INDIRECT(ADDRESS(ROW(),Sheet3!$B$3+17))=""),        (INDIRECT(ADDRESS(ROW(),Sheet3!$B$3+16))+B444)*Sheet3!$Q$4,         INDIRECT(ADDRESS(ROW(),Sheet3!$B$3+17))-INDIRECT(ADDRESS(ROW(),Sheet3!$B$3+16))))))))</f>
        <v>0</v>
      </c>
      <c r="D444" s="39">
        <f ca="1">IF(Sheet3!$B$5="",0,IF(B444="","",IF(E444&lt;1,0,   IF(INDIRECT(ADDRESS(ROW(), Sheet3!$B$3+17))="",        INDIRECT(ADDRESS(ROW(), Sheet3!$B$3+16))*  (1+Sheet3!$Q$4)   +B444*Sheet3!$Q$4,       INDIRECT(ADDRESS(ROW(), Sheet3!$B$3+17))))))</f>
        <v>0</v>
      </c>
      <c r="E444" s="40">
        <f ca="1">IF(AND(Sheet1!L444&lt;0,  Sheet1!$C$21&gt;R444),    IF(OR(Sheet1!$C$21&lt;=R445,  Sheet1!L445=""),       IF(AND(MOD(NOW(),1)&lt;TIME(9,39,0),Sheet1!$C$22=TODAY()),    Sheet1!$C$21-R444,     Sheet1!$C$21-R444-1),               R445-R444-1),    0)</f>
        <v>0</v>
      </c>
      <c r="F444" s="30"/>
      <c r="G444" s="25" t="str">
        <f>IF(LEFT(Sheet1!K445,2)="0x",Sheet1!K444,IF(AND(Sheet1!L444="",Sheet1!L443=""),"",G443))</f>
        <v/>
      </c>
      <c r="H444" s="81"/>
      <c r="I444" s="43" t="str">
        <f t="shared" si="33"/>
        <v/>
      </c>
      <c r="J444" s="29" t="str">
        <f t="shared" si="32"/>
        <v/>
      </c>
      <c r="K444" s="24" t="str">
        <f>IF(Sheet1!L444="","",IF(Sheet1!L444&gt;0,ROW(),""))</f>
        <v/>
      </c>
      <c r="L444" s="24" t="str">
        <f t="shared" ca="1" si="30"/>
        <v/>
      </c>
      <c r="M444" s="47" t="str">
        <f t="shared" ca="1" si="31"/>
        <v/>
      </c>
      <c r="N444" s="48" t="str">
        <f>IF(LEFT(Sheet1!K444,2)="0x",Sheet1!K444,IF(AND(Sheet1!L444="",Sheet1!L443=""),"",N443))</f>
        <v/>
      </c>
      <c r="O444" s="46">
        <f>IF(Sheet1!L444="",0,IF(Sheet1!O444&lt;TIME(7,39,0)+Sheet1!$E$3/24,1,0))</f>
        <v>0</v>
      </c>
      <c r="P444" s="46" t="str">
        <f ca="1">IF(AND(Sheet1!L444&lt;0, Sheet1!$C$21&gt;R444,OR(Sheet1!$C$21&lt;=R445,Sheet1!L445="")),   -1*Sheet1!L444,"")</f>
        <v/>
      </c>
    </row>
    <row r="445" spans="1:16" ht="15.75" x14ac:dyDescent="0.25">
      <c r="A445" s="456" t="str">
        <f>IF(AND(R445&lt;&gt;"",R444&lt;&gt;""),(-Sheet1!L445/Sheet1!L444)^(360/(R445-R444-1))-1,"")</f>
        <v/>
      </c>
      <c r="B445" s="41" t="str">
        <f ca="1">IF(AND(Sheet1!L445&lt;0, Sheet1!$C$21&gt;R445+1,OR(Sheet1!$C$21&lt;=R446,Sheet1!L446="")),   -1*Sheet1!L445,"")</f>
        <v/>
      </c>
      <c r="C445" s="42">
        <f ca="1">IF(Sheet3!$B$5="",0,    IF(E445&lt;1,0,  IF(B445="","",     IF(OR(Sheet3!$B$6=0,INDIRECT(ADDRESS(ROW(),Sheet3!$B$3+16))="" ),D445/E445,    IF(E445&lt;0,0,    IF(OR( INDIRECT(ADDRESS(8,Sheet3!$B$3+16))="",INDIRECT(ADDRESS(ROW(),Sheet3!$B$3+17))=""),        (INDIRECT(ADDRESS(ROW(),Sheet3!$B$3+16))+B445)*Sheet3!$Q$4,         INDIRECT(ADDRESS(ROW(),Sheet3!$B$3+17))-INDIRECT(ADDRESS(ROW(),Sheet3!$B$3+16))))))))</f>
        <v>0</v>
      </c>
      <c r="D445" s="39">
        <f ca="1">IF(Sheet3!$B$5="",0,IF(B445="","",IF(E445&lt;1,0,   IF(INDIRECT(ADDRESS(ROW(), Sheet3!$B$3+17))="",        INDIRECT(ADDRESS(ROW(), Sheet3!$B$3+16))*  (1+Sheet3!$Q$4)   +B445*Sheet3!$Q$4,       INDIRECT(ADDRESS(ROW(), Sheet3!$B$3+17))))))</f>
        <v>0</v>
      </c>
      <c r="E445" s="40">
        <f ca="1">IF(AND(Sheet1!L445&lt;0,  Sheet1!$C$21&gt;R445),    IF(OR(Sheet1!$C$21&lt;=R446,  Sheet1!L446=""),       IF(AND(MOD(NOW(),1)&lt;TIME(9,39,0),Sheet1!$C$22=TODAY()),    Sheet1!$C$21-R445,     Sheet1!$C$21-R445-1),               R446-R445-1),    0)</f>
        <v>0</v>
      </c>
      <c r="F445" s="30"/>
      <c r="G445" s="25" t="str">
        <f>IF(LEFT(Sheet1!K446,2)="0x",Sheet1!K445,IF(AND(Sheet1!L445="",Sheet1!L444=""),"",G444))</f>
        <v/>
      </c>
      <c r="H445" s="81"/>
      <c r="I445" s="43" t="str">
        <f t="shared" si="33"/>
        <v/>
      </c>
      <c r="J445" s="29" t="str">
        <f t="shared" si="32"/>
        <v/>
      </c>
      <c r="K445" s="24" t="str">
        <f>IF(Sheet1!L445="","",IF(Sheet1!L445&gt;0,ROW(),""))</f>
        <v/>
      </c>
      <c r="L445" s="24" t="str">
        <f t="shared" ca="1" si="30"/>
        <v/>
      </c>
      <c r="M445" s="47" t="str">
        <f t="shared" ca="1" si="31"/>
        <v/>
      </c>
      <c r="N445" s="48" t="str">
        <f>IF(LEFT(Sheet1!K445,2)="0x",Sheet1!K445,IF(AND(Sheet1!L445="",Sheet1!L444=""),"",N444))</f>
        <v/>
      </c>
      <c r="O445" s="46">
        <f>IF(Sheet1!L445="",0,IF(Sheet1!O445&lt;TIME(7,39,0)+Sheet1!$E$3/24,1,0))</f>
        <v>0</v>
      </c>
      <c r="P445" s="46" t="str">
        <f ca="1">IF(AND(Sheet1!L445&lt;0, Sheet1!$C$21&gt;R445,OR(Sheet1!$C$21&lt;=R446,Sheet1!L446="")),   -1*Sheet1!L445,"")</f>
        <v/>
      </c>
    </row>
    <row r="446" spans="1:16" ht="15.75" x14ac:dyDescent="0.25">
      <c r="A446" s="456" t="str">
        <f>IF(AND(R446&lt;&gt;"",R445&lt;&gt;""),(-Sheet1!L446/Sheet1!L445)^(360/(R446-R445-1))-1,"")</f>
        <v/>
      </c>
      <c r="B446" s="41" t="str">
        <f ca="1">IF(AND(Sheet1!L446&lt;0, Sheet1!$C$21&gt;R446+1,OR(Sheet1!$C$21&lt;=R447,Sheet1!L447="")),   -1*Sheet1!L446,"")</f>
        <v/>
      </c>
      <c r="C446" s="42">
        <f ca="1">IF(Sheet3!$B$5="",0,    IF(E446&lt;1,0,  IF(B446="","",     IF(OR(Sheet3!$B$6=0,INDIRECT(ADDRESS(ROW(),Sheet3!$B$3+16))="" ),D446/E446,    IF(E446&lt;0,0,    IF(OR( INDIRECT(ADDRESS(8,Sheet3!$B$3+16))="",INDIRECT(ADDRESS(ROW(),Sheet3!$B$3+17))=""),        (INDIRECT(ADDRESS(ROW(),Sheet3!$B$3+16))+B446)*Sheet3!$Q$4,         INDIRECT(ADDRESS(ROW(),Sheet3!$B$3+17))-INDIRECT(ADDRESS(ROW(),Sheet3!$B$3+16))))))))</f>
        <v>0</v>
      </c>
      <c r="D446" s="39">
        <f ca="1">IF(Sheet3!$B$5="",0,IF(B446="","",IF(E446&lt;1,0,   IF(INDIRECT(ADDRESS(ROW(), Sheet3!$B$3+17))="",        INDIRECT(ADDRESS(ROW(), Sheet3!$B$3+16))*  (1+Sheet3!$Q$4)   +B446*Sheet3!$Q$4,       INDIRECT(ADDRESS(ROW(), Sheet3!$B$3+17))))))</f>
        <v>0</v>
      </c>
      <c r="E446" s="40">
        <f ca="1">IF(AND(Sheet1!L446&lt;0,  Sheet1!$C$21&gt;R446),    IF(OR(Sheet1!$C$21&lt;=R447,  Sheet1!L447=""),       IF(AND(MOD(NOW(),1)&lt;TIME(9,39,0),Sheet1!$C$22=TODAY()),    Sheet1!$C$21-R446,     Sheet1!$C$21-R446-1),               R447-R446-1),    0)</f>
        <v>0</v>
      </c>
      <c r="F446" s="30"/>
      <c r="G446" s="25" t="str">
        <f>IF(LEFT(Sheet1!K447,2)="0x",Sheet1!K446,IF(AND(Sheet1!L446="",Sheet1!L445=""),"",G445))</f>
        <v/>
      </c>
      <c r="H446" s="81"/>
      <c r="I446" s="43" t="str">
        <f t="shared" si="33"/>
        <v/>
      </c>
      <c r="J446" s="29" t="str">
        <f t="shared" si="32"/>
        <v/>
      </c>
      <c r="K446" s="24" t="str">
        <f>IF(Sheet1!L446="","",IF(Sheet1!L446&gt;0,ROW(),""))</f>
        <v/>
      </c>
      <c r="L446" s="24" t="str">
        <f t="shared" ca="1" si="30"/>
        <v/>
      </c>
      <c r="M446" s="47" t="str">
        <f t="shared" ca="1" si="31"/>
        <v/>
      </c>
      <c r="N446" s="48" t="str">
        <f>IF(LEFT(Sheet1!K446,2)="0x",Sheet1!K446,IF(AND(Sheet1!L446="",Sheet1!L445=""),"",N445))</f>
        <v/>
      </c>
      <c r="O446" s="46">
        <f>IF(Sheet1!L446="",0,IF(Sheet1!O446&lt;TIME(7,39,0)+Sheet1!$E$3/24,1,0))</f>
        <v>0</v>
      </c>
      <c r="P446" s="46" t="str">
        <f ca="1">IF(AND(Sheet1!L446&lt;0, Sheet1!$C$21&gt;R446,OR(Sheet1!$C$21&lt;=R447,Sheet1!L447="")),   -1*Sheet1!L446,"")</f>
        <v/>
      </c>
    </row>
    <row r="447" spans="1:16" ht="15.75" x14ac:dyDescent="0.25">
      <c r="A447" s="456" t="str">
        <f>IF(AND(R447&lt;&gt;"",R446&lt;&gt;""),(-Sheet1!L447/Sheet1!L446)^(360/(R447-R446-1))-1,"")</f>
        <v/>
      </c>
      <c r="B447" s="41" t="str">
        <f ca="1">IF(AND(Sheet1!L447&lt;0, Sheet1!$C$21&gt;R447+1,OR(Sheet1!$C$21&lt;=R448,Sheet1!L448="")),   -1*Sheet1!L447,"")</f>
        <v/>
      </c>
      <c r="C447" s="42">
        <f ca="1">IF(Sheet3!$B$5="",0,    IF(E447&lt;1,0,  IF(B447="","",     IF(OR(Sheet3!$B$6=0,INDIRECT(ADDRESS(ROW(),Sheet3!$B$3+16))="" ),D447/E447,    IF(E447&lt;0,0,    IF(OR( INDIRECT(ADDRESS(8,Sheet3!$B$3+16))="",INDIRECT(ADDRESS(ROW(),Sheet3!$B$3+17))=""),        (INDIRECT(ADDRESS(ROW(),Sheet3!$B$3+16))+B447)*Sheet3!$Q$4,         INDIRECT(ADDRESS(ROW(),Sheet3!$B$3+17))-INDIRECT(ADDRESS(ROW(),Sheet3!$B$3+16))))))))</f>
        <v>0</v>
      </c>
      <c r="D447" s="39">
        <f ca="1">IF(Sheet3!$B$5="",0,IF(B447="","",IF(E447&lt;1,0,   IF(INDIRECT(ADDRESS(ROW(), Sheet3!$B$3+17))="",        INDIRECT(ADDRESS(ROW(), Sheet3!$B$3+16))*  (1+Sheet3!$Q$4)   +B447*Sheet3!$Q$4,       INDIRECT(ADDRESS(ROW(), Sheet3!$B$3+17))))))</f>
        <v>0</v>
      </c>
      <c r="E447" s="40">
        <f ca="1">IF(AND(Sheet1!L447&lt;0,  Sheet1!$C$21&gt;R447),    IF(OR(Sheet1!$C$21&lt;=R448,  Sheet1!L448=""),       IF(AND(MOD(NOW(),1)&lt;TIME(9,39,0),Sheet1!$C$22=TODAY()),    Sheet1!$C$21-R447,     Sheet1!$C$21-R447-1),               R448-R447-1),    0)</f>
        <v>0</v>
      </c>
      <c r="F447" s="30"/>
      <c r="G447" s="25" t="str">
        <f>IF(LEFT(Sheet1!K448,2)="0x",Sheet1!K447,IF(AND(Sheet1!L447="",Sheet1!L446=""),"",G446))</f>
        <v/>
      </c>
      <c r="H447" s="81"/>
      <c r="I447" s="43" t="str">
        <f t="shared" si="33"/>
        <v/>
      </c>
      <c r="J447" s="29" t="str">
        <f t="shared" si="32"/>
        <v/>
      </c>
      <c r="K447" s="24" t="str">
        <f>IF(Sheet1!L447="","",IF(Sheet1!L447&gt;0,ROW(),""))</f>
        <v/>
      </c>
      <c r="L447" s="24" t="str">
        <f t="shared" ca="1" si="30"/>
        <v/>
      </c>
      <c r="M447" s="47" t="str">
        <f t="shared" ca="1" si="31"/>
        <v/>
      </c>
      <c r="N447" s="48" t="str">
        <f>IF(LEFT(Sheet1!K447,2)="0x",Sheet1!K447,IF(AND(Sheet1!L447="",Sheet1!L446=""),"",N446))</f>
        <v/>
      </c>
      <c r="O447" s="46">
        <f>IF(Sheet1!L447="",0,IF(Sheet1!O447&lt;TIME(7,39,0)+Sheet1!$E$3/24,1,0))</f>
        <v>0</v>
      </c>
      <c r="P447" s="46" t="str">
        <f ca="1">IF(AND(Sheet1!L447&lt;0, Sheet1!$C$21&gt;R447,OR(Sheet1!$C$21&lt;=R448,Sheet1!L448="")),   -1*Sheet1!L447,"")</f>
        <v/>
      </c>
    </row>
    <row r="448" spans="1:16" ht="15.75" x14ac:dyDescent="0.25">
      <c r="A448" s="456" t="str">
        <f>IF(AND(R448&lt;&gt;"",R447&lt;&gt;""),(-Sheet1!L448/Sheet1!L447)^(360/(R448-R447-1))-1,"")</f>
        <v/>
      </c>
      <c r="B448" s="41" t="str">
        <f ca="1">IF(AND(Sheet1!L448&lt;0, Sheet1!$C$21&gt;R448+1,OR(Sheet1!$C$21&lt;=R449,Sheet1!L449="")),   -1*Sheet1!L448,"")</f>
        <v/>
      </c>
      <c r="C448" s="42">
        <f ca="1">IF(Sheet3!$B$5="",0,    IF(E448&lt;1,0,  IF(B448="","",     IF(OR(Sheet3!$B$6=0,INDIRECT(ADDRESS(ROW(),Sheet3!$B$3+16))="" ),D448/E448,    IF(E448&lt;0,0,    IF(OR( INDIRECT(ADDRESS(8,Sheet3!$B$3+16))="",INDIRECT(ADDRESS(ROW(),Sheet3!$B$3+17))=""),        (INDIRECT(ADDRESS(ROW(),Sheet3!$B$3+16))+B448)*Sheet3!$Q$4,         INDIRECT(ADDRESS(ROW(),Sheet3!$B$3+17))-INDIRECT(ADDRESS(ROW(),Sheet3!$B$3+16))))))))</f>
        <v>0</v>
      </c>
      <c r="D448" s="39">
        <f ca="1">IF(Sheet3!$B$5="",0,IF(B448="","",IF(E448&lt;1,0,   IF(INDIRECT(ADDRESS(ROW(), Sheet3!$B$3+17))="",        INDIRECT(ADDRESS(ROW(), Sheet3!$B$3+16))*  (1+Sheet3!$Q$4)   +B448*Sheet3!$Q$4,       INDIRECT(ADDRESS(ROW(), Sheet3!$B$3+17))))))</f>
        <v>0</v>
      </c>
      <c r="E448" s="40">
        <f ca="1">IF(AND(Sheet1!L448&lt;0,  Sheet1!$C$21&gt;R448),    IF(OR(Sheet1!$C$21&lt;=R449,  Sheet1!L449=""),       IF(AND(MOD(NOW(),1)&lt;TIME(9,39,0),Sheet1!$C$22=TODAY()),    Sheet1!$C$21-R448,     Sheet1!$C$21-R448-1),               R449-R448-1),    0)</f>
        <v>0</v>
      </c>
      <c r="F448" s="30"/>
      <c r="G448" s="25" t="str">
        <f>IF(LEFT(Sheet1!K449,2)="0x",Sheet1!K448,IF(AND(Sheet1!L448="",Sheet1!L447=""),"",G447))</f>
        <v/>
      </c>
      <c r="H448" s="81"/>
      <c r="I448" s="43" t="str">
        <f t="shared" si="33"/>
        <v/>
      </c>
      <c r="J448" s="29" t="str">
        <f t="shared" si="32"/>
        <v/>
      </c>
      <c r="K448" s="24" t="str">
        <f>IF(Sheet1!L448="","",IF(Sheet1!L448&gt;0,ROW(),""))</f>
        <v/>
      </c>
      <c r="L448" s="24" t="str">
        <f t="shared" ca="1" si="30"/>
        <v/>
      </c>
      <c r="M448" s="47" t="str">
        <f t="shared" ca="1" si="31"/>
        <v/>
      </c>
      <c r="N448" s="48" t="str">
        <f>IF(LEFT(Sheet1!K448,2)="0x",Sheet1!K448,IF(AND(Sheet1!L448="",Sheet1!L447=""),"",N447))</f>
        <v/>
      </c>
      <c r="O448" s="46">
        <f>IF(Sheet1!L448="",0,IF(Sheet1!O448&lt;TIME(7,39,0)+Sheet1!$E$3/24,1,0))</f>
        <v>0</v>
      </c>
      <c r="P448" s="46" t="str">
        <f ca="1">IF(AND(Sheet1!L448&lt;0, Sheet1!$C$21&gt;R448,OR(Sheet1!$C$21&lt;=R449,Sheet1!L449="")),   -1*Sheet1!L448,"")</f>
        <v/>
      </c>
    </row>
    <row r="449" spans="1:16" ht="15.75" x14ac:dyDescent="0.25">
      <c r="A449" s="456" t="str">
        <f>IF(AND(R449&lt;&gt;"",R448&lt;&gt;""),(-Sheet1!L449/Sheet1!L448)^(360/(R449-R448-1))-1,"")</f>
        <v/>
      </c>
      <c r="B449" s="41" t="str">
        <f ca="1">IF(AND(Sheet1!L449&lt;0, Sheet1!$C$21&gt;R449+1,OR(Sheet1!$C$21&lt;=R450,Sheet1!L450="")),   -1*Sheet1!L449,"")</f>
        <v/>
      </c>
      <c r="C449" s="42">
        <f ca="1">IF(Sheet3!$B$5="",0,    IF(E449&lt;1,0,  IF(B449="","",     IF(OR(Sheet3!$B$6=0,INDIRECT(ADDRESS(ROW(),Sheet3!$B$3+16))="" ),D449/E449,    IF(E449&lt;0,0,    IF(OR( INDIRECT(ADDRESS(8,Sheet3!$B$3+16))="",INDIRECT(ADDRESS(ROW(),Sheet3!$B$3+17))=""),        (INDIRECT(ADDRESS(ROW(),Sheet3!$B$3+16))+B449)*Sheet3!$Q$4,         INDIRECT(ADDRESS(ROW(),Sheet3!$B$3+17))-INDIRECT(ADDRESS(ROW(),Sheet3!$B$3+16))))))))</f>
        <v>0</v>
      </c>
      <c r="D449" s="39">
        <f ca="1">IF(Sheet3!$B$5="",0,IF(B449="","",IF(E449&lt;1,0,   IF(INDIRECT(ADDRESS(ROW(), Sheet3!$B$3+17))="",        INDIRECT(ADDRESS(ROW(), Sheet3!$B$3+16))*  (1+Sheet3!$Q$4)   +B449*Sheet3!$Q$4,       INDIRECT(ADDRESS(ROW(), Sheet3!$B$3+17))))))</f>
        <v>0</v>
      </c>
      <c r="E449" s="40">
        <f ca="1">IF(AND(Sheet1!L449&lt;0,  Sheet1!$C$21&gt;R449),    IF(OR(Sheet1!$C$21&lt;=R450,  Sheet1!L450=""),       IF(AND(MOD(NOW(),1)&lt;TIME(9,39,0),Sheet1!$C$22=TODAY()),    Sheet1!$C$21-R449,     Sheet1!$C$21-R449-1),               R450-R449-1),    0)</f>
        <v>0</v>
      </c>
      <c r="F449" s="30"/>
      <c r="G449" s="25" t="str">
        <f>IF(LEFT(Sheet1!K450,2)="0x",Sheet1!K449,IF(AND(Sheet1!L449="",Sheet1!L448=""),"",G448))</f>
        <v/>
      </c>
      <c r="H449" s="81"/>
      <c r="I449" s="43" t="str">
        <f t="shared" si="33"/>
        <v/>
      </c>
      <c r="J449" s="29" t="str">
        <f t="shared" si="32"/>
        <v/>
      </c>
      <c r="K449" s="24" t="str">
        <f>IF(Sheet1!L449="","",IF(Sheet1!L449&gt;0,ROW(),""))</f>
        <v/>
      </c>
      <c r="L449" s="24" t="str">
        <f t="shared" ca="1" si="30"/>
        <v/>
      </c>
      <c r="M449" s="47" t="str">
        <f t="shared" ca="1" si="31"/>
        <v/>
      </c>
      <c r="N449" s="48" t="str">
        <f>IF(LEFT(Sheet1!K449,2)="0x",Sheet1!K449,IF(AND(Sheet1!L449="",Sheet1!L448=""),"",N448))</f>
        <v/>
      </c>
      <c r="O449" s="46">
        <f>IF(Sheet1!L449="",0,IF(Sheet1!O449&lt;TIME(7,39,0)+Sheet1!$E$3/24,1,0))</f>
        <v>0</v>
      </c>
      <c r="P449" s="46" t="str">
        <f ca="1">IF(AND(Sheet1!L449&lt;0, Sheet1!$C$21&gt;R449,OR(Sheet1!$C$21&lt;=R450,Sheet1!L450="")),   -1*Sheet1!L449,"")</f>
        <v/>
      </c>
    </row>
    <row r="450" spans="1:16" ht="15.75" x14ac:dyDescent="0.25">
      <c r="A450" s="456" t="str">
        <f>IF(AND(R450&lt;&gt;"",R449&lt;&gt;""),(-Sheet1!L450/Sheet1!L449)^(360/(R450-R449-1))-1,"")</f>
        <v/>
      </c>
      <c r="B450" s="41" t="str">
        <f ca="1">IF(AND(Sheet1!L450&lt;0, Sheet1!$C$21&gt;R450+1,OR(Sheet1!$C$21&lt;=R451,Sheet1!L451="")),   -1*Sheet1!L450,"")</f>
        <v/>
      </c>
      <c r="C450" s="42">
        <f ca="1">IF(Sheet3!$B$5="",0,    IF(E450&lt;1,0,  IF(B450="","",     IF(OR(Sheet3!$B$6=0,INDIRECT(ADDRESS(ROW(),Sheet3!$B$3+16))="" ),D450/E450,    IF(E450&lt;0,0,    IF(OR( INDIRECT(ADDRESS(8,Sheet3!$B$3+16))="",INDIRECT(ADDRESS(ROW(),Sheet3!$B$3+17))=""),        (INDIRECT(ADDRESS(ROW(),Sheet3!$B$3+16))+B450)*Sheet3!$Q$4,         INDIRECT(ADDRESS(ROW(),Sheet3!$B$3+17))-INDIRECT(ADDRESS(ROW(),Sheet3!$B$3+16))))))))</f>
        <v>0</v>
      </c>
      <c r="D450" s="39">
        <f ca="1">IF(Sheet3!$B$5="",0,IF(B450="","",IF(E450&lt;1,0,   IF(INDIRECT(ADDRESS(ROW(), Sheet3!$B$3+17))="",        INDIRECT(ADDRESS(ROW(), Sheet3!$B$3+16))*  (1+Sheet3!$Q$4)   +B450*Sheet3!$Q$4,       INDIRECT(ADDRESS(ROW(), Sheet3!$B$3+17))))))</f>
        <v>0</v>
      </c>
      <c r="E450" s="40">
        <f ca="1">IF(AND(Sheet1!L450&lt;0,  Sheet1!$C$21&gt;R450),    IF(OR(Sheet1!$C$21&lt;=R451,  Sheet1!L451=""),       IF(AND(MOD(NOW(),1)&lt;TIME(9,39,0),Sheet1!$C$22=TODAY()),    Sheet1!$C$21-R450,     Sheet1!$C$21-R450-1),               R451-R450-1),    0)</f>
        <v>0</v>
      </c>
      <c r="F450" s="30"/>
      <c r="G450" s="25" t="str">
        <f>IF(LEFT(Sheet1!K451,2)="0x",Sheet1!K450,IF(AND(Sheet1!L450="",Sheet1!L449=""),"",G449))</f>
        <v/>
      </c>
      <c r="H450" s="81"/>
      <c r="I450" s="43" t="str">
        <f t="shared" si="33"/>
        <v/>
      </c>
      <c r="J450" s="29" t="str">
        <f t="shared" si="32"/>
        <v/>
      </c>
      <c r="K450" s="24" t="str">
        <f>IF(Sheet1!L450="","",IF(Sheet1!L450&gt;0,ROW(),""))</f>
        <v/>
      </c>
      <c r="L450" s="24" t="str">
        <f t="shared" ca="1" si="30"/>
        <v/>
      </c>
      <c r="M450" s="47" t="str">
        <f t="shared" ca="1" si="31"/>
        <v/>
      </c>
      <c r="N450" s="48" t="str">
        <f>IF(LEFT(Sheet1!K450,2)="0x",Sheet1!K450,IF(AND(Sheet1!L450="",Sheet1!L449=""),"",N449))</f>
        <v/>
      </c>
      <c r="O450" s="46">
        <f>IF(Sheet1!L450="",0,IF(Sheet1!O450&lt;TIME(7,39,0)+Sheet1!$E$3/24,1,0))</f>
        <v>0</v>
      </c>
      <c r="P450" s="46" t="str">
        <f ca="1">IF(AND(Sheet1!L450&lt;0, Sheet1!$C$21&gt;R450,OR(Sheet1!$C$21&lt;=R451,Sheet1!L451="")),   -1*Sheet1!L450,"")</f>
        <v/>
      </c>
    </row>
    <row r="451" spans="1:16" ht="15.75" x14ac:dyDescent="0.25">
      <c r="A451" s="456" t="str">
        <f>IF(AND(R451&lt;&gt;"",R450&lt;&gt;""),(-Sheet1!L451/Sheet1!L450)^(360/(R451-R450-1))-1,"")</f>
        <v/>
      </c>
      <c r="B451" s="41" t="str">
        <f ca="1">IF(AND(Sheet1!L451&lt;0, Sheet1!$C$21&gt;R451+1,OR(Sheet1!$C$21&lt;=R452,Sheet1!L452="")),   -1*Sheet1!L451,"")</f>
        <v/>
      </c>
      <c r="C451" s="42">
        <f ca="1">IF(Sheet3!$B$5="",0,    IF(E451&lt;1,0,  IF(B451="","",     IF(OR(Sheet3!$B$6=0,INDIRECT(ADDRESS(ROW(),Sheet3!$B$3+16))="" ),D451/E451,    IF(E451&lt;0,0,    IF(OR( INDIRECT(ADDRESS(8,Sheet3!$B$3+16))="",INDIRECT(ADDRESS(ROW(),Sheet3!$B$3+17))=""),        (INDIRECT(ADDRESS(ROW(),Sheet3!$B$3+16))+B451)*Sheet3!$Q$4,         INDIRECT(ADDRESS(ROW(),Sheet3!$B$3+17))-INDIRECT(ADDRESS(ROW(),Sheet3!$B$3+16))))))))</f>
        <v>0</v>
      </c>
      <c r="D451" s="39">
        <f ca="1">IF(Sheet3!$B$5="",0,IF(B451="","",IF(E451&lt;1,0,   IF(INDIRECT(ADDRESS(ROW(), Sheet3!$B$3+17))="",        INDIRECT(ADDRESS(ROW(), Sheet3!$B$3+16))*  (1+Sheet3!$Q$4)   +B451*Sheet3!$Q$4,       INDIRECT(ADDRESS(ROW(), Sheet3!$B$3+17))))))</f>
        <v>0</v>
      </c>
      <c r="E451" s="40">
        <f ca="1">IF(AND(Sheet1!L451&lt;0,  Sheet1!$C$21&gt;R451),    IF(OR(Sheet1!$C$21&lt;=R452,  Sheet1!L452=""),       IF(AND(MOD(NOW(),1)&lt;TIME(9,39,0),Sheet1!$C$22=TODAY()),    Sheet1!$C$21-R451,     Sheet1!$C$21-R451-1),               R452-R451-1),    0)</f>
        <v>0</v>
      </c>
      <c r="F451" s="30"/>
      <c r="G451" s="25" t="str">
        <f>IF(LEFT(Sheet1!K452,2)="0x",Sheet1!K451,IF(AND(Sheet1!L451="",Sheet1!L450=""),"",G450))</f>
        <v/>
      </c>
      <c r="H451" s="81"/>
      <c r="I451" s="43" t="str">
        <f t="shared" si="33"/>
        <v/>
      </c>
      <c r="J451" s="29" t="str">
        <f t="shared" si="32"/>
        <v/>
      </c>
      <c r="K451" s="24" t="str">
        <f>IF(Sheet1!L451="","",IF(Sheet1!L451&gt;0,ROW(),""))</f>
        <v/>
      </c>
      <c r="L451" s="24" t="str">
        <f t="shared" ca="1" si="30"/>
        <v/>
      </c>
      <c r="M451" s="47" t="str">
        <f t="shared" ca="1" si="31"/>
        <v/>
      </c>
      <c r="N451" s="48" t="str">
        <f>IF(LEFT(Sheet1!K451,2)="0x",Sheet1!K451,IF(AND(Sheet1!L451="",Sheet1!L450=""),"",N450))</f>
        <v/>
      </c>
      <c r="O451" s="46">
        <f>IF(Sheet1!L451="",0,IF(Sheet1!O451&lt;TIME(7,39,0)+Sheet1!$E$3/24,1,0))</f>
        <v>0</v>
      </c>
      <c r="P451" s="46" t="str">
        <f ca="1">IF(AND(Sheet1!L451&lt;0, Sheet1!$C$21&gt;R451,OR(Sheet1!$C$21&lt;=R452,Sheet1!L452="")),   -1*Sheet1!L451,"")</f>
        <v/>
      </c>
    </row>
    <row r="452" spans="1:16" ht="15.75" x14ac:dyDescent="0.25">
      <c r="A452" s="456" t="str">
        <f>IF(AND(R452&lt;&gt;"",R451&lt;&gt;""),(-Sheet1!L452/Sheet1!L451)^(360/(R452-R451-1))-1,"")</f>
        <v/>
      </c>
      <c r="B452" s="41" t="str">
        <f ca="1">IF(AND(Sheet1!L452&lt;0, Sheet1!$C$21&gt;R452+1,OR(Sheet1!$C$21&lt;=R453,Sheet1!L453="")),   -1*Sheet1!L452,"")</f>
        <v/>
      </c>
      <c r="C452" s="42">
        <f ca="1">IF(Sheet3!$B$5="",0,    IF(E452&lt;1,0,  IF(B452="","",     IF(OR(Sheet3!$B$6=0,INDIRECT(ADDRESS(ROW(),Sheet3!$B$3+16))="" ),D452/E452,    IF(E452&lt;0,0,    IF(OR( INDIRECT(ADDRESS(8,Sheet3!$B$3+16))="",INDIRECT(ADDRESS(ROW(),Sheet3!$B$3+17))=""),        (INDIRECT(ADDRESS(ROW(),Sheet3!$B$3+16))+B452)*Sheet3!$Q$4,         INDIRECT(ADDRESS(ROW(),Sheet3!$B$3+17))-INDIRECT(ADDRESS(ROW(),Sheet3!$B$3+16))))))))</f>
        <v>0</v>
      </c>
      <c r="D452" s="39">
        <f ca="1">IF(Sheet3!$B$5="",0,IF(B452="","",IF(E452&lt;1,0,   IF(INDIRECT(ADDRESS(ROW(), Sheet3!$B$3+17))="",        INDIRECT(ADDRESS(ROW(), Sheet3!$B$3+16))*  (1+Sheet3!$Q$4)   +B452*Sheet3!$Q$4,       INDIRECT(ADDRESS(ROW(), Sheet3!$B$3+17))))))</f>
        <v>0</v>
      </c>
      <c r="E452" s="40">
        <f ca="1">IF(AND(Sheet1!L452&lt;0,  Sheet1!$C$21&gt;R452),    IF(OR(Sheet1!$C$21&lt;=R453,  Sheet1!L453=""),       IF(AND(MOD(NOW(),1)&lt;TIME(9,39,0),Sheet1!$C$22=TODAY()),    Sheet1!$C$21-R452,     Sheet1!$C$21-R452-1),               R453-R452-1),    0)</f>
        <v>0</v>
      </c>
      <c r="F452" s="30"/>
      <c r="G452" s="25" t="str">
        <f>IF(LEFT(Sheet1!K453,2)="0x",Sheet1!K452,IF(AND(Sheet1!L452="",Sheet1!L451=""),"",G451))</f>
        <v/>
      </c>
      <c r="H452" s="81"/>
      <c r="I452" s="43" t="str">
        <f t="shared" si="33"/>
        <v/>
      </c>
      <c r="J452" s="29" t="str">
        <f t="shared" si="32"/>
        <v/>
      </c>
      <c r="K452" s="24" t="str">
        <f>IF(Sheet1!L452="","",IF(Sheet1!L452&gt;0,ROW(),""))</f>
        <v/>
      </c>
      <c r="L452" s="24" t="str">
        <f t="shared" ca="1" si="30"/>
        <v/>
      </c>
      <c r="M452" s="47" t="str">
        <f t="shared" ca="1" si="31"/>
        <v/>
      </c>
      <c r="N452" s="48" t="str">
        <f>IF(LEFT(Sheet1!K452,2)="0x",Sheet1!K452,IF(AND(Sheet1!L452="",Sheet1!L451=""),"",N451))</f>
        <v/>
      </c>
      <c r="O452" s="46">
        <f>IF(Sheet1!L452="",0,IF(Sheet1!O452&lt;TIME(7,39,0)+Sheet1!$E$3/24,1,0))</f>
        <v>0</v>
      </c>
      <c r="P452" s="46" t="str">
        <f ca="1">IF(AND(Sheet1!L452&lt;0, Sheet1!$C$21&gt;R452,OR(Sheet1!$C$21&lt;=R453,Sheet1!L453="")),   -1*Sheet1!L452,"")</f>
        <v/>
      </c>
    </row>
    <row r="453" spans="1:16" ht="15.75" x14ac:dyDescent="0.25">
      <c r="A453" s="456" t="str">
        <f>IF(AND(R453&lt;&gt;"",R452&lt;&gt;""),(-Sheet1!L453/Sheet1!L452)^(360/(R453-R452-1))-1,"")</f>
        <v/>
      </c>
      <c r="B453" s="41" t="str">
        <f ca="1">IF(AND(Sheet1!L453&lt;0, Sheet1!$C$21&gt;R453+1,OR(Sheet1!$C$21&lt;=R454,Sheet1!L454="")),   -1*Sheet1!L453,"")</f>
        <v/>
      </c>
      <c r="C453" s="42">
        <f ca="1">IF(Sheet3!$B$5="",0,    IF(E453&lt;1,0,  IF(B453="","",     IF(OR(Sheet3!$B$6=0,INDIRECT(ADDRESS(ROW(),Sheet3!$B$3+16))="" ),D453/E453,    IF(E453&lt;0,0,    IF(OR( INDIRECT(ADDRESS(8,Sheet3!$B$3+16))="",INDIRECT(ADDRESS(ROW(),Sheet3!$B$3+17))=""),        (INDIRECT(ADDRESS(ROW(),Sheet3!$B$3+16))+B453)*Sheet3!$Q$4,         INDIRECT(ADDRESS(ROW(),Sheet3!$B$3+17))-INDIRECT(ADDRESS(ROW(),Sheet3!$B$3+16))))))))</f>
        <v>0</v>
      </c>
      <c r="D453" s="39">
        <f ca="1">IF(Sheet3!$B$5="",0,IF(B453="","",IF(E453&lt;1,0,   IF(INDIRECT(ADDRESS(ROW(), Sheet3!$B$3+17))="",        INDIRECT(ADDRESS(ROW(), Sheet3!$B$3+16))*  (1+Sheet3!$Q$4)   +B453*Sheet3!$Q$4,       INDIRECT(ADDRESS(ROW(), Sheet3!$B$3+17))))))</f>
        <v>0</v>
      </c>
      <c r="E453" s="40">
        <f ca="1">IF(AND(Sheet1!L453&lt;0,  Sheet1!$C$21&gt;R453),    IF(OR(Sheet1!$C$21&lt;=R454,  Sheet1!L454=""),       IF(AND(MOD(NOW(),1)&lt;TIME(9,39,0),Sheet1!$C$22=TODAY()),    Sheet1!$C$21-R453,     Sheet1!$C$21-R453-1),               R454-R453-1),    0)</f>
        <v>0</v>
      </c>
      <c r="F453" s="30"/>
      <c r="G453" s="25" t="str">
        <f>IF(LEFT(Sheet1!K454,2)="0x",Sheet1!K453,IF(AND(Sheet1!L453="",Sheet1!L452=""),"",G452))</f>
        <v/>
      </c>
      <c r="H453" s="81"/>
      <c r="I453" s="43" t="str">
        <f t="shared" si="33"/>
        <v/>
      </c>
      <c r="J453" s="29" t="str">
        <f t="shared" si="32"/>
        <v/>
      </c>
      <c r="K453" s="24" t="str">
        <f>IF(Sheet1!L453="","",IF(Sheet1!L453&gt;0,ROW(),""))</f>
        <v/>
      </c>
      <c r="L453" s="24" t="str">
        <f t="shared" ca="1" si="30"/>
        <v/>
      </c>
      <c r="M453" s="47" t="str">
        <f t="shared" ca="1" si="31"/>
        <v/>
      </c>
      <c r="N453" s="48" t="str">
        <f>IF(LEFT(Sheet1!K453,2)="0x",Sheet1!K453,IF(AND(Sheet1!L453="",Sheet1!L452=""),"",N452))</f>
        <v/>
      </c>
      <c r="O453" s="46">
        <f>IF(Sheet1!L453="",0,IF(Sheet1!O453&lt;TIME(7,39,0)+Sheet1!$E$3/24,1,0))</f>
        <v>0</v>
      </c>
      <c r="P453" s="46" t="str">
        <f ca="1">IF(AND(Sheet1!L453&lt;0, Sheet1!$C$21&gt;R453,OR(Sheet1!$C$21&lt;=R454,Sheet1!L454="")),   -1*Sheet1!L453,"")</f>
        <v/>
      </c>
    </row>
    <row r="454" spans="1:16" ht="15.75" x14ac:dyDescent="0.25">
      <c r="A454" s="456" t="str">
        <f>IF(AND(R454&lt;&gt;"",R453&lt;&gt;""),(-Sheet1!L454/Sheet1!L453)^(360/(R454-R453-1))-1,"")</f>
        <v/>
      </c>
      <c r="B454" s="41" t="str">
        <f ca="1">IF(AND(Sheet1!L454&lt;0, Sheet1!$C$21&gt;R454+1,OR(Sheet1!$C$21&lt;=R455,Sheet1!L455="")),   -1*Sheet1!L454,"")</f>
        <v/>
      </c>
      <c r="C454" s="42">
        <f ca="1">IF(Sheet3!$B$5="",0,    IF(E454&lt;1,0,  IF(B454="","",     IF(OR(Sheet3!$B$6=0,INDIRECT(ADDRESS(ROW(),Sheet3!$B$3+16))="" ),D454/E454,    IF(E454&lt;0,0,    IF(OR( INDIRECT(ADDRESS(8,Sheet3!$B$3+16))="",INDIRECT(ADDRESS(ROW(),Sheet3!$B$3+17))=""),        (INDIRECT(ADDRESS(ROW(),Sheet3!$B$3+16))+B454)*Sheet3!$Q$4,         INDIRECT(ADDRESS(ROW(),Sheet3!$B$3+17))-INDIRECT(ADDRESS(ROW(),Sheet3!$B$3+16))))))))</f>
        <v>0</v>
      </c>
      <c r="D454" s="39">
        <f ca="1">IF(Sheet3!$B$5="",0,IF(B454="","",IF(E454&lt;1,0,   IF(INDIRECT(ADDRESS(ROW(), Sheet3!$B$3+17))="",        INDIRECT(ADDRESS(ROW(), Sheet3!$B$3+16))*  (1+Sheet3!$Q$4)   +B454*Sheet3!$Q$4,       INDIRECT(ADDRESS(ROW(), Sheet3!$B$3+17))))))</f>
        <v>0</v>
      </c>
      <c r="E454" s="40">
        <f ca="1">IF(AND(Sheet1!L454&lt;0,  Sheet1!$C$21&gt;R454),    IF(OR(Sheet1!$C$21&lt;=R455,  Sheet1!L455=""),       IF(AND(MOD(NOW(),1)&lt;TIME(9,39,0),Sheet1!$C$22=TODAY()),    Sheet1!$C$21-R454,     Sheet1!$C$21-R454-1),               R455-R454-1),    0)</f>
        <v>0</v>
      </c>
      <c r="F454" s="30"/>
      <c r="G454" s="25" t="str">
        <f>IF(LEFT(Sheet1!K455,2)="0x",Sheet1!K454,IF(AND(Sheet1!L454="",Sheet1!L453=""),"",G453))</f>
        <v/>
      </c>
      <c r="H454" s="81"/>
      <c r="I454" s="43" t="str">
        <f t="shared" si="33"/>
        <v/>
      </c>
      <c r="J454" s="29" t="str">
        <f t="shared" si="32"/>
        <v/>
      </c>
      <c r="K454" s="24" t="str">
        <f>IF(Sheet1!L454="","",IF(Sheet1!L454&gt;0,ROW(),""))</f>
        <v/>
      </c>
      <c r="L454" s="24" t="str">
        <f t="shared" ca="1" si="30"/>
        <v/>
      </c>
      <c r="M454" s="47" t="str">
        <f t="shared" ca="1" si="31"/>
        <v/>
      </c>
      <c r="N454" s="48" t="str">
        <f>IF(LEFT(Sheet1!K454,2)="0x",Sheet1!K454,IF(AND(Sheet1!L454="",Sheet1!L453=""),"",N453))</f>
        <v/>
      </c>
      <c r="O454" s="46">
        <f>IF(Sheet1!L454="",0,IF(Sheet1!O454&lt;TIME(7,39,0)+Sheet1!$E$3/24,1,0))</f>
        <v>0</v>
      </c>
      <c r="P454" s="46" t="str">
        <f ca="1">IF(AND(Sheet1!L454&lt;0, Sheet1!$C$21&gt;R454,OR(Sheet1!$C$21&lt;=R455,Sheet1!L455="")),   -1*Sheet1!L454,"")</f>
        <v/>
      </c>
    </row>
    <row r="455" spans="1:16" ht="15.75" x14ac:dyDescent="0.25">
      <c r="A455" s="456" t="str">
        <f>IF(AND(R455&lt;&gt;"",R454&lt;&gt;""),(-Sheet1!L455/Sheet1!L454)^(360/(R455-R454-1))-1,"")</f>
        <v/>
      </c>
      <c r="B455" s="41" t="str">
        <f ca="1">IF(AND(Sheet1!L455&lt;0, Sheet1!$C$21&gt;R455+1,OR(Sheet1!$C$21&lt;=R456,Sheet1!L456="")),   -1*Sheet1!L455,"")</f>
        <v/>
      </c>
      <c r="C455" s="42">
        <f ca="1">IF(Sheet3!$B$5="",0,    IF(E455&lt;1,0,  IF(B455="","",     IF(OR(Sheet3!$B$6=0,INDIRECT(ADDRESS(ROW(),Sheet3!$B$3+16))="" ),D455/E455,    IF(E455&lt;0,0,    IF(OR( INDIRECT(ADDRESS(8,Sheet3!$B$3+16))="",INDIRECT(ADDRESS(ROW(),Sheet3!$B$3+17))=""),        (INDIRECT(ADDRESS(ROW(),Sheet3!$B$3+16))+B455)*Sheet3!$Q$4,         INDIRECT(ADDRESS(ROW(),Sheet3!$B$3+17))-INDIRECT(ADDRESS(ROW(),Sheet3!$B$3+16))))))))</f>
        <v>0</v>
      </c>
      <c r="D455" s="39">
        <f ca="1">IF(Sheet3!$B$5="",0,IF(B455="","",IF(E455&lt;1,0,   IF(INDIRECT(ADDRESS(ROW(), Sheet3!$B$3+17))="",        INDIRECT(ADDRESS(ROW(), Sheet3!$B$3+16))*  (1+Sheet3!$Q$4)   +B455*Sheet3!$Q$4,       INDIRECT(ADDRESS(ROW(), Sheet3!$B$3+17))))))</f>
        <v>0</v>
      </c>
      <c r="E455" s="40">
        <f ca="1">IF(AND(Sheet1!L455&lt;0,  Sheet1!$C$21&gt;R455),    IF(OR(Sheet1!$C$21&lt;=R456,  Sheet1!L456=""),       IF(AND(MOD(NOW(),1)&lt;TIME(9,39,0),Sheet1!$C$22=TODAY()),    Sheet1!$C$21-R455,     Sheet1!$C$21-R455-1),               R456-R455-1),    0)</f>
        <v>0</v>
      </c>
      <c r="F455" s="30"/>
      <c r="G455" s="25" t="str">
        <f>IF(LEFT(Sheet1!K456,2)="0x",Sheet1!K455,IF(AND(Sheet1!L455="",Sheet1!L454=""),"",G454))</f>
        <v/>
      </c>
      <c r="H455" s="81"/>
      <c r="I455" s="43" t="str">
        <f t="shared" si="33"/>
        <v/>
      </c>
      <c r="J455" s="29" t="str">
        <f t="shared" si="32"/>
        <v/>
      </c>
      <c r="K455" s="24" t="str">
        <f>IF(Sheet1!L455="","",IF(Sheet1!L455&gt;0,ROW(),""))</f>
        <v/>
      </c>
      <c r="L455" s="24" t="str">
        <f t="shared" ca="1" si="30"/>
        <v/>
      </c>
      <c r="M455" s="47" t="str">
        <f t="shared" ca="1" si="31"/>
        <v/>
      </c>
      <c r="N455" s="48" t="str">
        <f>IF(LEFT(Sheet1!K455,2)="0x",Sheet1!K455,IF(AND(Sheet1!L455="",Sheet1!L454=""),"",N454))</f>
        <v/>
      </c>
      <c r="O455" s="46">
        <f>IF(Sheet1!L455="",0,IF(Sheet1!O455&lt;TIME(7,39,0)+Sheet1!$E$3/24,1,0))</f>
        <v>0</v>
      </c>
      <c r="P455" s="46" t="str">
        <f ca="1">IF(AND(Sheet1!L455&lt;0, Sheet1!$C$21&gt;R455,OR(Sheet1!$C$21&lt;=R456,Sheet1!L456="")),   -1*Sheet1!L455,"")</f>
        <v/>
      </c>
    </row>
    <row r="456" spans="1:16" ht="15.75" x14ac:dyDescent="0.25">
      <c r="A456" s="456" t="str">
        <f>IF(AND(R456&lt;&gt;"",R455&lt;&gt;""),(-Sheet1!L456/Sheet1!L455)^(360/(R456-R455-1))-1,"")</f>
        <v/>
      </c>
      <c r="B456" s="41" t="str">
        <f ca="1">IF(AND(Sheet1!L456&lt;0, Sheet1!$C$21&gt;R456+1,OR(Sheet1!$C$21&lt;=R457,Sheet1!L457="")),   -1*Sheet1!L456,"")</f>
        <v/>
      </c>
      <c r="C456" s="42">
        <f ca="1">IF(Sheet3!$B$5="",0,    IF(E456&lt;1,0,  IF(B456="","",     IF(OR(Sheet3!$B$6=0,INDIRECT(ADDRESS(ROW(),Sheet3!$B$3+16))="" ),D456/E456,    IF(E456&lt;0,0,    IF(OR( INDIRECT(ADDRESS(8,Sheet3!$B$3+16))="",INDIRECT(ADDRESS(ROW(),Sheet3!$B$3+17))=""),        (INDIRECT(ADDRESS(ROW(),Sheet3!$B$3+16))+B456)*Sheet3!$Q$4,         INDIRECT(ADDRESS(ROW(),Sheet3!$B$3+17))-INDIRECT(ADDRESS(ROW(),Sheet3!$B$3+16))))))))</f>
        <v>0</v>
      </c>
      <c r="D456" s="39">
        <f ca="1">IF(Sheet3!$B$5="",0,IF(B456="","",IF(E456&lt;1,0,   IF(INDIRECT(ADDRESS(ROW(), Sheet3!$B$3+17))="",        INDIRECT(ADDRESS(ROW(), Sheet3!$B$3+16))*  (1+Sheet3!$Q$4)   +B456*Sheet3!$Q$4,       INDIRECT(ADDRESS(ROW(), Sheet3!$B$3+17))))))</f>
        <v>0</v>
      </c>
      <c r="E456" s="40">
        <f ca="1">IF(AND(Sheet1!L456&lt;0,  Sheet1!$C$21&gt;R456),    IF(OR(Sheet1!$C$21&lt;=R457,  Sheet1!L457=""),       IF(AND(MOD(NOW(),1)&lt;TIME(9,39,0),Sheet1!$C$22=TODAY()),    Sheet1!$C$21-R456,     Sheet1!$C$21-R456-1),               R457-R456-1),    0)</f>
        <v>0</v>
      </c>
      <c r="F456" s="30"/>
      <c r="G456" s="25" t="str">
        <f>IF(LEFT(Sheet1!K457,2)="0x",Sheet1!K456,IF(AND(Sheet1!L456="",Sheet1!L455=""),"",G455))</f>
        <v/>
      </c>
      <c r="H456" s="81"/>
      <c r="I456" s="43" t="str">
        <f t="shared" si="33"/>
        <v/>
      </c>
      <c r="J456" s="29" t="str">
        <f t="shared" si="32"/>
        <v/>
      </c>
      <c r="K456" s="24" t="str">
        <f>IF(Sheet1!L456="","",IF(Sheet1!L456&gt;0,ROW(),""))</f>
        <v/>
      </c>
      <c r="L456" s="24" t="str">
        <f t="shared" ca="1" si="30"/>
        <v/>
      </c>
      <c r="M456" s="47" t="str">
        <f t="shared" ca="1" si="31"/>
        <v/>
      </c>
      <c r="N456" s="48" t="str">
        <f>IF(LEFT(Sheet1!K456,2)="0x",Sheet1!K456,IF(AND(Sheet1!L456="",Sheet1!L455=""),"",N455))</f>
        <v/>
      </c>
      <c r="O456" s="46">
        <f>IF(Sheet1!L456="",0,IF(Sheet1!O456&lt;TIME(7,39,0)+Sheet1!$E$3/24,1,0))</f>
        <v>0</v>
      </c>
      <c r="P456" s="46" t="str">
        <f ca="1">IF(AND(Sheet1!L456&lt;0, Sheet1!$C$21&gt;R456,OR(Sheet1!$C$21&lt;=R457,Sheet1!L457="")),   -1*Sheet1!L456,"")</f>
        <v/>
      </c>
    </row>
    <row r="457" spans="1:16" ht="15.75" x14ac:dyDescent="0.25">
      <c r="A457" s="456" t="str">
        <f>IF(AND(R457&lt;&gt;"",R456&lt;&gt;""),(-Sheet1!L457/Sheet1!L456)^(360/(R457-R456-1))-1,"")</f>
        <v/>
      </c>
      <c r="B457" s="41" t="str">
        <f ca="1">IF(AND(Sheet1!L457&lt;0, Sheet1!$C$21&gt;R457+1,OR(Sheet1!$C$21&lt;=R458,Sheet1!L458="")),   -1*Sheet1!L457,"")</f>
        <v/>
      </c>
      <c r="C457" s="42">
        <f ca="1">IF(Sheet3!$B$5="",0,    IF(E457&lt;1,0,  IF(B457="","",     IF(OR(Sheet3!$B$6=0,INDIRECT(ADDRESS(ROW(),Sheet3!$B$3+16))="" ),D457/E457,    IF(E457&lt;0,0,    IF(OR( INDIRECT(ADDRESS(8,Sheet3!$B$3+16))="",INDIRECT(ADDRESS(ROW(),Sheet3!$B$3+17))=""),        (INDIRECT(ADDRESS(ROW(),Sheet3!$B$3+16))+B457)*Sheet3!$Q$4,         INDIRECT(ADDRESS(ROW(),Sheet3!$B$3+17))-INDIRECT(ADDRESS(ROW(),Sheet3!$B$3+16))))))))</f>
        <v>0</v>
      </c>
      <c r="D457" s="39">
        <f ca="1">IF(Sheet3!$B$5="",0,IF(B457="","",IF(E457&lt;1,0,   IF(INDIRECT(ADDRESS(ROW(), Sheet3!$B$3+17))="",        INDIRECT(ADDRESS(ROW(), Sheet3!$B$3+16))*  (1+Sheet3!$Q$4)   +B457*Sheet3!$Q$4,       INDIRECT(ADDRESS(ROW(), Sheet3!$B$3+17))))))</f>
        <v>0</v>
      </c>
      <c r="E457" s="40">
        <f ca="1">IF(AND(Sheet1!L457&lt;0,  Sheet1!$C$21&gt;R457),    IF(OR(Sheet1!$C$21&lt;=R458,  Sheet1!L458=""),       IF(AND(MOD(NOW(),1)&lt;TIME(9,39,0),Sheet1!$C$22=TODAY()),    Sheet1!$C$21-R457,     Sheet1!$C$21-R457-1),               R458-R457-1),    0)</f>
        <v>0</v>
      </c>
      <c r="F457" s="30"/>
      <c r="G457" s="25" t="str">
        <f>IF(LEFT(Sheet1!K458,2)="0x",Sheet1!K457,IF(AND(Sheet1!L457="",Sheet1!L456=""),"",G456))</f>
        <v/>
      </c>
      <c r="H457" s="81"/>
      <c r="I457" s="43" t="str">
        <f t="shared" si="33"/>
        <v/>
      </c>
      <c r="J457" s="29" t="str">
        <f t="shared" si="32"/>
        <v/>
      </c>
      <c r="K457" s="24" t="str">
        <f>IF(Sheet1!L457="","",IF(Sheet1!L457&gt;0,ROW(),""))</f>
        <v/>
      </c>
      <c r="L457" s="24" t="str">
        <f t="shared" ca="1" si="30"/>
        <v/>
      </c>
      <c r="M457" s="47" t="str">
        <f t="shared" ca="1" si="31"/>
        <v/>
      </c>
      <c r="N457" s="48" t="str">
        <f>IF(LEFT(Sheet1!K457,2)="0x",Sheet1!K457,IF(AND(Sheet1!L457="",Sheet1!L456=""),"",N456))</f>
        <v/>
      </c>
      <c r="O457" s="46">
        <f>IF(Sheet1!L457="",0,IF(Sheet1!O457&lt;TIME(7,39,0)+Sheet1!$E$3/24,1,0))</f>
        <v>0</v>
      </c>
      <c r="P457" s="46" t="str">
        <f ca="1">IF(AND(Sheet1!L457&lt;0, Sheet1!$C$21&gt;R457,OR(Sheet1!$C$21&lt;=R458,Sheet1!L458="")),   -1*Sheet1!L457,"")</f>
        <v/>
      </c>
    </row>
    <row r="458" spans="1:16" ht="15.75" x14ac:dyDescent="0.25">
      <c r="A458" s="456" t="str">
        <f>IF(AND(R458&lt;&gt;"",R457&lt;&gt;""),(-Sheet1!L458/Sheet1!L457)^(360/(R458-R457-1))-1,"")</f>
        <v/>
      </c>
      <c r="B458" s="41" t="str">
        <f ca="1">IF(AND(Sheet1!L458&lt;0, Sheet1!$C$21&gt;R458+1,OR(Sheet1!$C$21&lt;=R459,Sheet1!L459="")),   -1*Sheet1!L458,"")</f>
        <v/>
      </c>
      <c r="C458" s="42">
        <f ca="1">IF(Sheet3!$B$5="",0,    IF(E458&lt;1,0,  IF(B458="","",     IF(OR(Sheet3!$B$6=0,INDIRECT(ADDRESS(ROW(),Sheet3!$B$3+16))="" ),D458/E458,    IF(E458&lt;0,0,    IF(OR( INDIRECT(ADDRESS(8,Sheet3!$B$3+16))="",INDIRECT(ADDRESS(ROW(),Sheet3!$B$3+17))=""),        (INDIRECT(ADDRESS(ROW(),Sheet3!$B$3+16))+B458)*Sheet3!$Q$4,         INDIRECT(ADDRESS(ROW(),Sheet3!$B$3+17))-INDIRECT(ADDRESS(ROW(),Sheet3!$B$3+16))))))))</f>
        <v>0</v>
      </c>
      <c r="D458" s="39">
        <f ca="1">IF(Sheet3!$B$5="",0,IF(B458="","",IF(E458&lt;1,0,   IF(INDIRECT(ADDRESS(ROW(), Sheet3!$B$3+17))="",        INDIRECT(ADDRESS(ROW(), Sheet3!$B$3+16))*  (1+Sheet3!$Q$4)   +B458*Sheet3!$Q$4,       INDIRECT(ADDRESS(ROW(), Sheet3!$B$3+17))))))</f>
        <v>0</v>
      </c>
      <c r="E458" s="40">
        <f ca="1">IF(AND(Sheet1!L458&lt;0,  Sheet1!$C$21&gt;R458),    IF(OR(Sheet1!$C$21&lt;=R459,  Sheet1!L459=""),       IF(AND(MOD(NOW(),1)&lt;TIME(9,39,0),Sheet1!$C$22=TODAY()),    Sheet1!$C$21-R458,     Sheet1!$C$21-R458-1),               R459-R458-1),    0)</f>
        <v>0</v>
      </c>
      <c r="F458" s="30"/>
      <c r="G458" s="25" t="str">
        <f>IF(LEFT(Sheet1!K459,2)="0x",Sheet1!K458,IF(AND(Sheet1!L458="",Sheet1!L457=""),"",G457))</f>
        <v/>
      </c>
      <c r="H458" s="81"/>
      <c r="I458" s="43" t="str">
        <f t="shared" si="33"/>
        <v/>
      </c>
      <c r="J458" s="29" t="str">
        <f t="shared" si="32"/>
        <v/>
      </c>
      <c r="K458" s="24" t="str">
        <f>IF(Sheet1!L458="","",IF(Sheet1!L458&gt;0,ROW(),""))</f>
        <v/>
      </c>
      <c r="L458" s="24" t="str">
        <f t="shared" ca="1" si="30"/>
        <v/>
      </c>
      <c r="M458" s="47" t="str">
        <f t="shared" ca="1" si="31"/>
        <v/>
      </c>
      <c r="N458" s="48" t="str">
        <f>IF(LEFT(Sheet1!K458,2)="0x",Sheet1!K458,IF(AND(Sheet1!L458="",Sheet1!L457=""),"",N457))</f>
        <v/>
      </c>
      <c r="O458" s="46">
        <f>IF(Sheet1!L458="",0,IF(Sheet1!O458&lt;TIME(7,39,0)+Sheet1!$E$3/24,1,0))</f>
        <v>0</v>
      </c>
      <c r="P458" s="46" t="str">
        <f ca="1">IF(AND(Sheet1!L458&lt;0, Sheet1!$C$21&gt;R458,OR(Sheet1!$C$21&lt;=R459,Sheet1!L459="")),   -1*Sheet1!L458,"")</f>
        <v/>
      </c>
    </row>
    <row r="459" spans="1:16" ht="15.75" x14ac:dyDescent="0.25">
      <c r="A459" s="456" t="str">
        <f>IF(AND(R459&lt;&gt;"",R458&lt;&gt;""),(-Sheet1!L459/Sheet1!L458)^(360/(R459-R458-1))-1,"")</f>
        <v/>
      </c>
      <c r="B459" s="41" t="str">
        <f ca="1">IF(AND(Sheet1!L459&lt;0, Sheet1!$C$21&gt;R459+1,OR(Sheet1!$C$21&lt;=R460,Sheet1!L460="")),   -1*Sheet1!L459,"")</f>
        <v/>
      </c>
      <c r="C459" s="42">
        <f ca="1">IF(Sheet3!$B$5="",0,    IF(E459&lt;1,0,  IF(B459="","",     IF(OR(Sheet3!$B$6=0,INDIRECT(ADDRESS(ROW(),Sheet3!$B$3+16))="" ),D459/E459,    IF(E459&lt;0,0,    IF(OR( INDIRECT(ADDRESS(8,Sheet3!$B$3+16))="",INDIRECT(ADDRESS(ROW(),Sheet3!$B$3+17))=""),        (INDIRECT(ADDRESS(ROW(),Sheet3!$B$3+16))+B459)*Sheet3!$Q$4,         INDIRECT(ADDRESS(ROW(),Sheet3!$B$3+17))-INDIRECT(ADDRESS(ROW(),Sheet3!$B$3+16))))))))</f>
        <v>0</v>
      </c>
      <c r="D459" s="39">
        <f ca="1">IF(Sheet3!$B$5="",0,IF(B459="","",IF(E459&lt;1,0,   IF(INDIRECT(ADDRESS(ROW(), Sheet3!$B$3+17))="",        INDIRECT(ADDRESS(ROW(), Sheet3!$B$3+16))*  (1+Sheet3!$Q$4)   +B459*Sheet3!$Q$4,       INDIRECT(ADDRESS(ROW(), Sheet3!$B$3+17))))))</f>
        <v>0</v>
      </c>
      <c r="E459" s="40">
        <f ca="1">IF(AND(Sheet1!L459&lt;0,  Sheet1!$C$21&gt;R459),    IF(OR(Sheet1!$C$21&lt;=R460,  Sheet1!L460=""),       IF(AND(MOD(NOW(),1)&lt;TIME(9,39,0),Sheet1!$C$22=TODAY()),    Sheet1!$C$21-R459,     Sheet1!$C$21-R459-1),               R460-R459-1),    0)</f>
        <v>0</v>
      </c>
      <c r="F459" s="30"/>
      <c r="G459" s="25" t="str">
        <f>IF(LEFT(Sheet1!K460,2)="0x",Sheet1!K459,IF(AND(Sheet1!L459="",Sheet1!L458=""),"",G458))</f>
        <v/>
      </c>
      <c r="H459" s="81"/>
      <c r="I459" s="43" t="str">
        <f t="shared" si="33"/>
        <v/>
      </c>
      <c r="J459" s="29" t="str">
        <f t="shared" si="32"/>
        <v/>
      </c>
      <c r="K459" s="24" t="str">
        <f>IF(Sheet1!L459="","",IF(Sheet1!L459&gt;0,ROW(),""))</f>
        <v/>
      </c>
      <c r="L459" s="24" t="str">
        <f t="shared" ca="1" si="30"/>
        <v/>
      </c>
      <c r="M459" s="47" t="str">
        <f t="shared" ca="1" si="31"/>
        <v/>
      </c>
      <c r="N459" s="48" t="str">
        <f>IF(LEFT(Sheet1!K459,2)="0x",Sheet1!K459,IF(AND(Sheet1!L459="",Sheet1!L458=""),"",N458))</f>
        <v/>
      </c>
      <c r="O459" s="46">
        <f>IF(Sheet1!L459="",0,IF(Sheet1!O459&lt;TIME(7,39,0)+Sheet1!$E$3/24,1,0))</f>
        <v>0</v>
      </c>
      <c r="P459" s="46" t="str">
        <f ca="1">IF(AND(Sheet1!L459&lt;0, Sheet1!$C$21&gt;R459,OR(Sheet1!$C$21&lt;=R460,Sheet1!L460="")),   -1*Sheet1!L459,"")</f>
        <v/>
      </c>
    </row>
    <row r="460" spans="1:16" ht="15.75" x14ac:dyDescent="0.25">
      <c r="A460" s="456" t="str">
        <f>IF(AND(R460&lt;&gt;"",R459&lt;&gt;""),(-Sheet1!L460/Sheet1!L459)^(360/(R460-R459-1))-1,"")</f>
        <v/>
      </c>
      <c r="B460" s="41" t="str">
        <f ca="1">IF(AND(Sheet1!L460&lt;0, Sheet1!$C$21&gt;R460+1,OR(Sheet1!$C$21&lt;=R461,Sheet1!L461="")),   -1*Sheet1!L460,"")</f>
        <v/>
      </c>
      <c r="C460" s="42">
        <f ca="1">IF(Sheet3!$B$5="",0,    IF(E460&lt;1,0,  IF(B460="","",     IF(OR(Sheet3!$B$6=0,INDIRECT(ADDRESS(ROW(),Sheet3!$B$3+16))="" ),D460/E460,    IF(E460&lt;0,0,    IF(OR( INDIRECT(ADDRESS(8,Sheet3!$B$3+16))="",INDIRECT(ADDRESS(ROW(),Sheet3!$B$3+17))=""),        (INDIRECT(ADDRESS(ROW(),Sheet3!$B$3+16))+B460)*Sheet3!$Q$4,         INDIRECT(ADDRESS(ROW(),Sheet3!$B$3+17))-INDIRECT(ADDRESS(ROW(),Sheet3!$B$3+16))))))))</f>
        <v>0</v>
      </c>
      <c r="D460" s="39">
        <f ca="1">IF(Sheet3!$B$5="",0,IF(B460="","",IF(E460&lt;1,0,   IF(INDIRECT(ADDRESS(ROW(), Sheet3!$B$3+17))="",        INDIRECT(ADDRESS(ROW(), Sheet3!$B$3+16))*  (1+Sheet3!$Q$4)   +B460*Sheet3!$Q$4,       INDIRECT(ADDRESS(ROW(), Sheet3!$B$3+17))))))</f>
        <v>0</v>
      </c>
      <c r="E460" s="40">
        <f ca="1">IF(AND(Sheet1!L460&lt;0,  Sheet1!$C$21&gt;R460),    IF(OR(Sheet1!$C$21&lt;=R461,  Sheet1!L461=""),       IF(AND(MOD(NOW(),1)&lt;TIME(9,39,0),Sheet1!$C$22=TODAY()),    Sheet1!$C$21-R460,     Sheet1!$C$21-R460-1),               R461-R460-1),    0)</f>
        <v>0</v>
      </c>
      <c r="F460" s="30"/>
      <c r="G460" s="25" t="str">
        <f>IF(LEFT(Sheet1!K461,2)="0x",Sheet1!K460,IF(AND(Sheet1!L460="",Sheet1!L459=""),"",G459))</f>
        <v/>
      </c>
      <c r="H460" s="81"/>
      <c r="I460" s="43" t="str">
        <f t="shared" si="33"/>
        <v/>
      </c>
      <c r="J460" s="29" t="str">
        <f t="shared" si="32"/>
        <v/>
      </c>
      <c r="K460" s="24" t="str">
        <f>IF(Sheet1!L460="","",IF(Sheet1!L460&gt;0,ROW(),""))</f>
        <v/>
      </c>
      <c r="L460" s="24" t="str">
        <f t="shared" ca="1" si="30"/>
        <v/>
      </c>
      <c r="M460" s="47" t="str">
        <f t="shared" ca="1" si="31"/>
        <v/>
      </c>
      <c r="N460" s="48" t="str">
        <f>IF(LEFT(Sheet1!K460,2)="0x",Sheet1!K460,IF(AND(Sheet1!L460="",Sheet1!L459=""),"",N459))</f>
        <v/>
      </c>
      <c r="O460" s="46">
        <f>IF(Sheet1!L460="",0,IF(Sheet1!O460&lt;TIME(7,39,0)+Sheet1!$E$3/24,1,0))</f>
        <v>0</v>
      </c>
      <c r="P460" s="46" t="str">
        <f ca="1">IF(AND(Sheet1!L460&lt;0, Sheet1!$C$21&gt;R460,OR(Sheet1!$C$21&lt;=R461,Sheet1!L461="")),   -1*Sheet1!L460,"")</f>
        <v/>
      </c>
    </row>
    <row r="461" spans="1:16" ht="15.75" x14ac:dyDescent="0.25">
      <c r="A461" s="456" t="str">
        <f>IF(AND(R461&lt;&gt;"",R460&lt;&gt;""),(-Sheet1!L461/Sheet1!L460)^(360/(R461-R460-1))-1,"")</f>
        <v/>
      </c>
      <c r="B461" s="41" t="str">
        <f ca="1">IF(AND(Sheet1!L461&lt;0, Sheet1!$C$21&gt;R461+1,OR(Sheet1!$C$21&lt;=R462,Sheet1!L462="")),   -1*Sheet1!L461,"")</f>
        <v/>
      </c>
      <c r="C461" s="42">
        <f ca="1">IF(Sheet3!$B$5="",0,    IF(E461&lt;1,0,  IF(B461="","",     IF(OR(Sheet3!$B$6=0,INDIRECT(ADDRESS(ROW(),Sheet3!$B$3+16))="" ),D461/E461,    IF(E461&lt;0,0,    IF(OR( INDIRECT(ADDRESS(8,Sheet3!$B$3+16))="",INDIRECT(ADDRESS(ROW(),Sheet3!$B$3+17))=""),        (INDIRECT(ADDRESS(ROW(),Sheet3!$B$3+16))+B461)*Sheet3!$Q$4,         INDIRECT(ADDRESS(ROW(),Sheet3!$B$3+17))-INDIRECT(ADDRESS(ROW(),Sheet3!$B$3+16))))))))</f>
        <v>0</v>
      </c>
      <c r="D461" s="39">
        <f ca="1">IF(Sheet3!$B$5="",0,IF(B461="","",IF(E461&lt;1,0,   IF(INDIRECT(ADDRESS(ROW(), Sheet3!$B$3+17))="",        INDIRECT(ADDRESS(ROW(), Sheet3!$B$3+16))*  (1+Sheet3!$Q$4)   +B461*Sheet3!$Q$4,       INDIRECT(ADDRESS(ROW(), Sheet3!$B$3+17))))))</f>
        <v>0</v>
      </c>
      <c r="E461" s="40">
        <f ca="1">IF(AND(Sheet1!L461&lt;0,  Sheet1!$C$21&gt;R461),    IF(OR(Sheet1!$C$21&lt;=R462,  Sheet1!L462=""),       IF(AND(MOD(NOW(),1)&lt;TIME(9,39,0),Sheet1!$C$22=TODAY()),    Sheet1!$C$21-R461,     Sheet1!$C$21-R461-1),               R462-R461-1),    0)</f>
        <v>0</v>
      </c>
      <c r="F461" s="30"/>
      <c r="G461" s="25" t="str">
        <f>IF(LEFT(Sheet1!K462,2)="0x",Sheet1!K461,IF(AND(Sheet1!L461="",Sheet1!L460=""),"",G460))</f>
        <v/>
      </c>
      <c r="H461" s="81"/>
      <c r="I461" s="43" t="str">
        <f t="shared" si="33"/>
        <v/>
      </c>
      <c r="J461" s="29" t="str">
        <f t="shared" si="32"/>
        <v/>
      </c>
      <c r="K461" s="24" t="str">
        <f>IF(Sheet1!L461="","",IF(Sheet1!L461&gt;0,ROW(),""))</f>
        <v/>
      </c>
      <c r="L461" s="24" t="str">
        <f t="shared" ca="1" si="30"/>
        <v/>
      </c>
      <c r="M461" s="47" t="str">
        <f t="shared" ca="1" si="31"/>
        <v/>
      </c>
      <c r="N461" s="48" t="str">
        <f>IF(LEFT(Sheet1!K461,2)="0x",Sheet1!K461,IF(AND(Sheet1!L461="",Sheet1!L460=""),"",N460))</f>
        <v/>
      </c>
      <c r="O461" s="46">
        <f>IF(Sheet1!L461="",0,IF(Sheet1!O461&lt;TIME(7,39,0)+Sheet1!$E$3/24,1,0))</f>
        <v>0</v>
      </c>
      <c r="P461" s="46" t="str">
        <f ca="1">IF(AND(Sheet1!L461&lt;0, Sheet1!$C$21&gt;R461,OR(Sheet1!$C$21&lt;=R462,Sheet1!L462="")),   -1*Sheet1!L461,"")</f>
        <v/>
      </c>
    </row>
    <row r="462" spans="1:16" ht="15.75" x14ac:dyDescent="0.25">
      <c r="A462" s="456" t="str">
        <f>IF(AND(R462&lt;&gt;"",R461&lt;&gt;""),(-Sheet1!L462/Sheet1!L461)^(360/(R462-R461-1))-1,"")</f>
        <v/>
      </c>
      <c r="B462" s="41" t="str">
        <f ca="1">IF(AND(Sheet1!L462&lt;0, Sheet1!$C$21&gt;R462+1,OR(Sheet1!$C$21&lt;=R463,Sheet1!L463="")),   -1*Sheet1!L462,"")</f>
        <v/>
      </c>
      <c r="C462" s="42">
        <f ca="1">IF(Sheet3!$B$5="",0,    IF(E462&lt;1,0,  IF(B462="","",     IF(OR(Sheet3!$B$6=0,INDIRECT(ADDRESS(ROW(),Sheet3!$B$3+16))="" ),D462/E462,    IF(E462&lt;0,0,    IF(OR( INDIRECT(ADDRESS(8,Sheet3!$B$3+16))="",INDIRECT(ADDRESS(ROW(),Sheet3!$B$3+17))=""),        (INDIRECT(ADDRESS(ROW(),Sheet3!$B$3+16))+B462)*Sheet3!$Q$4,         INDIRECT(ADDRESS(ROW(),Sheet3!$B$3+17))-INDIRECT(ADDRESS(ROW(),Sheet3!$B$3+16))))))))</f>
        <v>0</v>
      </c>
      <c r="D462" s="39">
        <f ca="1">IF(Sheet3!$B$5="",0,IF(B462="","",IF(E462&lt;1,0,   IF(INDIRECT(ADDRESS(ROW(), Sheet3!$B$3+17))="",        INDIRECT(ADDRESS(ROW(), Sheet3!$B$3+16))*  (1+Sheet3!$Q$4)   +B462*Sheet3!$Q$4,       INDIRECT(ADDRESS(ROW(), Sheet3!$B$3+17))))))</f>
        <v>0</v>
      </c>
      <c r="E462" s="40">
        <f ca="1">IF(AND(Sheet1!L462&lt;0,  Sheet1!$C$21&gt;R462),    IF(OR(Sheet1!$C$21&lt;=R463,  Sheet1!L463=""),       IF(AND(MOD(NOW(),1)&lt;TIME(9,39,0),Sheet1!$C$22=TODAY()),    Sheet1!$C$21-R462,     Sheet1!$C$21-R462-1),               R463-R462-1),    0)</f>
        <v>0</v>
      </c>
      <c r="F462" s="30"/>
      <c r="G462" s="25" t="str">
        <f>IF(LEFT(Sheet1!K463,2)="0x",Sheet1!K462,IF(AND(Sheet1!L462="",Sheet1!L461=""),"",G461))</f>
        <v/>
      </c>
      <c r="H462" s="81"/>
      <c r="I462" s="43" t="str">
        <f t="shared" si="33"/>
        <v/>
      </c>
      <c r="J462" s="29" t="str">
        <f t="shared" si="32"/>
        <v/>
      </c>
      <c r="K462" s="24" t="str">
        <f>IF(Sheet1!L462="","",IF(Sheet1!L462&gt;0,ROW(),""))</f>
        <v/>
      </c>
      <c r="L462" s="24" t="str">
        <f t="shared" ref="L462:L500" ca="1" si="34">IF(B462&lt;&gt;"",ROW(),"")</f>
        <v/>
      </c>
      <c r="M462" s="47" t="str">
        <f t="shared" ref="M462:M500" ca="1" si="35">IF(P462&lt;&gt;"",ROW(),"")</f>
        <v/>
      </c>
      <c r="N462" s="48" t="str">
        <f>IF(LEFT(Sheet1!K462,2)="0x",Sheet1!K462,IF(AND(Sheet1!L462="",Sheet1!L461=""),"",N461))</f>
        <v/>
      </c>
      <c r="O462" s="46">
        <f>IF(Sheet1!L462="",0,IF(Sheet1!O462&lt;TIME(7,39,0)+Sheet1!$E$3/24,1,0))</f>
        <v>0</v>
      </c>
      <c r="P462" s="46" t="str">
        <f ca="1">IF(AND(Sheet1!L462&lt;0, Sheet1!$C$21&gt;R462,OR(Sheet1!$C$21&lt;=R463,Sheet1!L463="")),   -1*Sheet1!L462,"")</f>
        <v/>
      </c>
    </row>
    <row r="463" spans="1:16" ht="15.75" x14ac:dyDescent="0.25">
      <c r="A463" s="456" t="str">
        <f>IF(AND(R463&lt;&gt;"",R462&lt;&gt;""),(-Sheet1!L463/Sheet1!L462)^(360/(R463-R462-1))-1,"")</f>
        <v/>
      </c>
      <c r="B463" s="41" t="str">
        <f ca="1">IF(AND(Sheet1!L463&lt;0, Sheet1!$C$21&gt;R463+1,OR(Sheet1!$C$21&lt;=R464,Sheet1!L464="")),   -1*Sheet1!L463,"")</f>
        <v/>
      </c>
      <c r="C463" s="42">
        <f ca="1">IF(Sheet3!$B$5="",0,    IF(E463&lt;1,0,  IF(B463="","",     IF(OR(Sheet3!$B$6=0,INDIRECT(ADDRESS(ROW(),Sheet3!$B$3+16))="" ),D463/E463,    IF(E463&lt;0,0,    IF(OR( INDIRECT(ADDRESS(8,Sheet3!$B$3+16))="",INDIRECT(ADDRESS(ROW(),Sheet3!$B$3+17))=""),        (INDIRECT(ADDRESS(ROW(),Sheet3!$B$3+16))+B463)*Sheet3!$Q$4,         INDIRECT(ADDRESS(ROW(),Sheet3!$B$3+17))-INDIRECT(ADDRESS(ROW(),Sheet3!$B$3+16))))))))</f>
        <v>0</v>
      </c>
      <c r="D463" s="39">
        <f ca="1">IF(Sheet3!$B$5="",0,IF(B463="","",IF(E463&lt;1,0,   IF(INDIRECT(ADDRESS(ROW(), Sheet3!$B$3+17))="",        INDIRECT(ADDRESS(ROW(), Sheet3!$B$3+16))*  (1+Sheet3!$Q$4)   +B463*Sheet3!$Q$4,       INDIRECT(ADDRESS(ROW(), Sheet3!$B$3+17))))))</f>
        <v>0</v>
      </c>
      <c r="E463" s="40">
        <f ca="1">IF(AND(Sheet1!L463&lt;0,  Sheet1!$C$21&gt;R463),    IF(OR(Sheet1!$C$21&lt;=R464,  Sheet1!L464=""),       IF(AND(MOD(NOW(),1)&lt;TIME(9,39,0),Sheet1!$C$22=TODAY()),    Sheet1!$C$21-R463,     Sheet1!$C$21-R463-1),               R464-R463-1),    0)</f>
        <v>0</v>
      </c>
      <c r="F463" s="30"/>
      <c r="G463" s="25" t="str">
        <f>IF(LEFT(Sheet1!K464,2)="0x",Sheet1!K463,IF(AND(Sheet1!L463="",Sheet1!L462=""),"",G462))</f>
        <v/>
      </c>
      <c r="H463" s="81"/>
      <c r="I463" s="43" t="str">
        <f t="shared" si="33"/>
        <v/>
      </c>
      <c r="J463" s="29" t="str">
        <f t="shared" si="32"/>
        <v/>
      </c>
      <c r="K463" s="24" t="str">
        <f>IF(Sheet1!L463="","",IF(Sheet1!L463&gt;0,ROW(),""))</f>
        <v/>
      </c>
      <c r="L463" s="24" t="str">
        <f t="shared" ca="1" si="34"/>
        <v/>
      </c>
      <c r="M463" s="47" t="str">
        <f t="shared" ca="1" si="35"/>
        <v/>
      </c>
      <c r="N463" s="48" t="str">
        <f>IF(LEFT(Sheet1!K463,2)="0x",Sheet1!K463,IF(AND(Sheet1!L463="",Sheet1!L462=""),"",N462))</f>
        <v/>
      </c>
      <c r="O463" s="46">
        <f>IF(Sheet1!L463="",0,IF(Sheet1!O463&lt;TIME(7,39,0)+Sheet1!$E$3/24,1,0))</f>
        <v>0</v>
      </c>
      <c r="P463" s="46" t="str">
        <f ca="1">IF(AND(Sheet1!L463&lt;0, Sheet1!$C$21&gt;R463,OR(Sheet1!$C$21&lt;=R464,Sheet1!L464="")),   -1*Sheet1!L463,"")</f>
        <v/>
      </c>
    </row>
    <row r="464" spans="1:16" ht="15.75" x14ac:dyDescent="0.25">
      <c r="A464" s="456" t="str">
        <f>IF(AND(R464&lt;&gt;"",R463&lt;&gt;""),(-Sheet1!L464/Sheet1!L463)^(360/(R464-R463-1))-1,"")</f>
        <v/>
      </c>
      <c r="B464" s="41" t="str">
        <f ca="1">IF(AND(Sheet1!L464&lt;0, Sheet1!$C$21&gt;R464+1,OR(Sheet1!$C$21&lt;=R465,Sheet1!L465="")),   -1*Sheet1!L464,"")</f>
        <v/>
      </c>
      <c r="C464" s="42">
        <f ca="1">IF(Sheet3!$B$5="",0,    IF(E464&lt;1,0,  IF(B464="","",     IF(OR(Sheet3!$B$6=0,INDIRECT(ADDRESS(ROW(),Sheet3!$B$3+16))="" ),D464/E464,    IF(E464&lt;0,0,    IF(OR( INDIRECT(ADDRESS(8,Sheet3!$B$3+16))="",INDIRECT(ADDRESS(ROW(),Sheet3!$B$3+17))=""),        (INDIRECT(ADDRESS(ROW(),Sheet3!$B$3+16))+B464)*Sheet3!$Q$4,         INDIRECT(ADDRESS(ROW(),Sheet3!$B$3+17))-INDIRECT(ADDRESS(ROW(),Sheet3!$B$3+16))))))))</f>
        <v>0</v>
      </c>
      <c r="D464" s="39">
        <f ca="1">IF(Sheet3!$B$5="",0,IF(B464="","",IF(E464&lt;1,0,   IF(INDIRECT(ADDRESS(ROW(), Sheet3!$B$3+17))="",        INDIRECT(ADDRESS(ROW(), Sheet3!$B$3+16))*  (1+Sheet3!$Q$4)   +B464*Sheet3!$Q$4,       INDIRECT(ADDRESS(ROW(), Sheet3!$B$3+17))))))</f>
        <v>0</v>
      </c>
      <c r="E464" s="40">
        <f ca="1">IF(AND(Sheet1!L464&lt;0,  Sheet1!$C$21&gt;R464),    IF(OR(Sheet1!$C$21&lt;=R465,  Sheet1!L465=""),       IF(AND(MOD(NOW(),1)&lt;TIME(9,39,0),Sheet1!$C$22=TODAY()),    Sheet1!$C$21-R464,     Sheet1!$C$21-R464-1),               R465-R464-1),    0)</f>
        <v>0</v>
      </c>
      <c r="F464" s="30"/>
      <c r="G464" s="25" t="str">
        <f>IF(LEFT(Sheet1!K465,2)="0x",Sheet1!K464,IF(AND(Sheet1!L464="",Sheet1!L463=""),"",G463))</f>
        <v/>
      </c>
      <c r="H464" s="81"/>
      <c r="I464" s="43" t="str">
        <f t="shared" si="33"/>
        <v/>
      </c>
      <c r="J464" s="29" t="str">
        <f t="shared" si="32"/>
        <v/>
      </c>
      <c r="K464" s="24" t="str">
        <f>IF(Sheet1!L464="","",IF(Sheet1!L464&gt;0,ROW(),""))</f>
        <v/>
      </c>
      <c r="L464" s="24" t="str">
        <f t="shared" ca="1" si="34"/>
        <v/>
      </c>
      <c r="M464" s="47" t="str">
        <f t="shared" ca="1" si="35"/>
        <v/>
      </c>
      <c r="N464" s="48" t="str">
        <f>IF(LEFT(Sheet1!K464,2)="0x",Sheet1!K464,IF(AND(Sheet1!L464="",Sheet1!L463=""),"",N463))</f>
        <v/>
      </c>
      <c r="O464" s="46">
        <f>IF(Sheet1!L464="",0,IF(Sheet1!O464&lt;TIME(7,39,0)+Sheet1!$E$3/24,1,0))</f>
        <v>0</v>
      </c>
      <c r="P464" s="46" t="str">
        <f ca="1">IF(AND(Sheet1!L464&lt;0, Sheet1!$C$21&gt;R464,OR(Sheet1!$C$21&lt;=R465,Sheet1!L465="")),   -1*Sheet1!L464,"")</f>
        <v/>
      </c>
    </row>
    <row r="465" spans="1:16" ht="15.75" x14ac:dyDescent="0.25">
      <c r="A465" s="456" t="str">
        <f>IF(AND(R465&lt;&gt;"",R464&lt;&gt;""),(-Sheet1!L465/Sheet1!L464)^(360/(R465-R464-1))-1,"")</f>
        <v/>
      </c>
      <c r="B465" s="41" t="str">
        <f ca="1">IF(AND(Sheet1!L465&lt;0, Sheet1!$C$21&gt;R465+1,OR(Sheet1!$C$21&lt;=R466,Sheet1!L466="")),   -1*Sheet1!L465,"")</f>
        <v/>
      </c>
      <c r="C465" s="42">
        <f ca="1">IF(Sheet3!$B$5="",0,    IF(E465&lt;1,0,  IF(B465="","",     IF(OR(Sheet3!$B$6=0,INDIRECT(ADDRESS(ROW(),Sheet3!$B$3+16))="" ),D465/E465,    IF(E465&lt;0,0,    IF(OR( INDIRECT(ADDRESS(8,Sheet3!$B$3+16))="",INDIRECT(ADDRESS(ROW(),Sheet3!$B$3+17))=""),        (INDIRECT(ADDRESS(ROW(),Sheet3!$B$3+16))+B465)*Sheet3!$Q$4,         INDIRECT(ADDRESS(ROW(),Sheet3!$B$3+17))-INDIRECT(ADDRESS(ROW(),Sheet3!$B$3+16))))))))</f>
        <v>0</v>
      </c>
      <c r="D465" s="39">
        <f ca="1">IF(Sheet3!$B$5="",0,IF(B465="","",IF(E465&lt;1,0,   IF(INDIRECT(ADDRESS(ROW(), Sheet3!$B$3+17))="",        INDIRECT(ADDRESS(ROW(), Sheet3!$B$3+16))*  (1+Sheet3!$Q$4)   +B465*Sheet3!$Q$4,       INDIRECT(ADDRESS(ROW(), Sheet3!$B$3+17))))))</f>
        <v>0</v>
      </c>
      <c r="E465" s="40">
        <f ca="1">IF(AND(Sheet1!L465&lt;0,  Sheet1!$C$21&gt;R465),    IF(OR(Sheet1!$C$21&lt;=R466,  Sheet1!L466=""),       IF(AND(MOD(NOW(),1)&lt;TIME(9,39,0),Sheet1!$C$22=TODAY()),    Sheet1!$C$21-R465,     Sheet1!$C$21-R465-1),               R466-R465-1),    0)</f>
        <v>0</v>
      </c>
      <c r="F465" s="30"/>
      <c r="G465" s="25" t="str">
        <f>IF(LEFT(Sheet1!K466,2)="0x",Sheet1!K465,IF(AND(Sheet1!L465="",Sheet1!L464=""),"",G464))</f>
        <v/>
      </c>
      <c r="H465" s="81"/>
      <c r="I465" s="43" t="str">
        <f t="shared" si="33"/>
        <v/>
      </c>
      <c r="J465" s="29" t="str">
        <f t="shared" si="32"/>
        <v/>
      </c>
      <c r="K465" s="24" t="str">
        <f>IF(Sheet1!L465="","",IF(Sheet1!L465&gt;0,ROW(),""))</f>
        <v/>
      </c>
      <c r="L465" s="24" t="str">
        <f t="shared" ca="1" si="34"/>
        <v/>
      </c>
      <c r="M465" s="47" t="str">
        <f t="shared" ca="1" si="35"/>
        <v/>
      </c>
      <c r="N465" s="48" t="str">
        <f>IF(LEFT(Sheet1!K465,2)="0x",Sheet1!K465,IF(AND(Sheet1!L465="",Sheet1!L464=""),"",N464))</f>
        <v/>
      </c>
      <c r="O465" s="46">
        <f>IF(Sheet1!L465="",0,IF(Sheet1!O465&lt;TIME(7,39,0)+Sheet1!$E$3/24,1,0))</f>
        <v>0</v>
      </c>
      <c r="P465" s="46" t="str">
        <f ca="1">IF(AND(Sheet1!L465&lt;0, Sheet1!$C$21&gt;R465,OR(Sheet1!$C$21&lt;=R466,Sheet1!L466="")),   -1*Sheet1!L465,"")</f>
        <v/>
      </c>
    </row>
    <row r="466" spans="1:16" ht="15.75" x14ac:dyDescent="0.25">
      <c r="A466" s="456" t="str">
        <f>IF(AND(R466&lt;&gt;"",R465&lt;&gt;""),(-Sheet1!L466/Sheet1!L465)^(360/(R466-R465-1))-1,"")</f>
        <v/>
      </c>
      <c r="B466" s="41" t="str">
        <f ca="1">IF(AND(Sheet1!L466&lt;0, Sheet1!$C$21&gt;R466+1,OR(Sheet1!$C$21&lt;=R467,Sheet1!L467="")),   -1*Sheet1!L466,"")</f>
        <v/>
      </c>
      <c r="C466" s="42">
        <f ca="1">IF(Sheet3!$B$5="",0,    IF(E466&lt;1,0,  IF(B466="","",     IF(OR(Sheet3!$B$6=0,INDIRECT(ADDRESS(ROW(),Sheet3!$B$3+16))="" ),D466/E466,    IF(E466&lt;0,0,    IF(OR( INDIRECT(ADDRESS(8,Sheet3!$B$3+16))="",INDIRECT(ADDRESS(ROW(),Sheet3!$B$3+17))=""),        (INDIRECT(ADDRESS(ROW(),Sheet3!$B$3+16))+B466)*Sheet3!$Q$4,         INDIRECT(ADDRESS(ROW(),Sheet3!$B$3+17))-INDIRECT(ADDRESS(ROW(),Sheet3!$B$3+16))))))))</f>
        <v>0</v>
      </c>
      <c r="D466" s="39">
        <f ca="1">IF(Sheet3!$B$5="",0,IF(B466="","",IF(E466&lt;1,0,   IF(INDIRECT(ADDRESS(ROW(), Sheet3!$B$3+17))="",        INDIRECT(ADDRESS(ROW(), Sheet3!$B$3+16))*  (1+Sheet3!$Q$4)   +B466*Sheet3!$Q$4,       INDIRECT(ADDRESS(ROW(), Sheet3!$B$3+17))))))</f>
        <v>0</v>
      </c>
      <c r="E466" s="40">
        <f ca="1">IF(AND(Sheet1!L466&lt;0,  Sheet1!$C$21&gt;R466),    IF(OR(Sheet1!$C$21&lt;=R467,  Sheet1!L467=""),       IF(AND(MOD(NOW(),1)&lt;TIME(9,39,0),Sheet1!$C$22=TODAY()),    Sheet1!$C$21-R466,     Sheet1!$C$21-R466-1),               R467-R466-1),    0)</f>
        <v>0</v>
      </c>
      <c r="F466" s="30"/>
      <c r="G466" s="25" t="str">
        <f>IF(LEFT(Sheet1!K467,2)="0x",Sheet1!K466,IF(AND(Sheet1!L466="",Sheet1!L465=""),"",G465))</f>
        <v/>
      </c>
      <c r="H466" s="81"/>
      <c r="I466" s="43" t="str">
        <f t="shared" si="33"/>
        <v/>
      </c>
      <c r="J466" s="29" t="str">
        <f t="shared" si="32"/>
        <v/>
      </c>
      <c r="K466" s="24" t="str">
        <f>IF(Sheet1!L466="","",IF(Sheet1!L466&gt;0,ROW(),""))</f>
        <v/>
      </c>
      <c r="L466" s="24" t="str">
        <f t="shared" ca="1" si="34"/>
        <v/>
      </c>
      <c r="M466" s="47" t="str">
        <f t="shared" ca="1" si="35"/>
        <v/>
      </c>
      <c r="N466" s="48" t="str">
        <f>IF(LEFT(Sheet1!K466,2)="0x",Sheet1!K466,IF(AND(Sheet1!L466="",Sheet1!L465=""),"",N465))</f>
        <v/>
      </c>
      <c r="O466" s="46">
        <f>IF(Sheet1!L466="",0,IF(Sheet1!O466&lt;TIME(7,39,0)+Sheet1!$E$3/24,1,0))</f>
        <v>0</v>
      </c>
      <c r="P466" s="46" t="str">
        <f ca="1">IF(AND(Sheet1!L466&lt;0, Sheet1!$C$21&gt;R466,OR(Sheet1!$C$21&lt;=R467,Sheet1!L467="")),   -1*Sheet1!L466,"")</f>
        <v/>
      </c>
    </row>
    <row r="467" spans="1:16" ht="15.75" x14ac:dyDescent="0.25">
      <c r="A467" s="456" t="str">
        <f>IF(AND(R467&lt;&gt;"",R466&lt;&gt;""),(-Sheet1!L467/Sheet1!L466)^(360/(R467-R466-1))-1,"")</f>
        <v/>
      </c>
      <c r="B467" s="41" t="str">
        <f ca="1">IF(AND(Sheet1!L467&lt;0, Sheet1!$C$21&gt;R467+1,OR(Sheet1!$C$21&lt;=R468,Sheet1!L468="")),   -1*Sheet1!L467,"")</f>
        <v/>
      </c>
      <c r="C467" s="42">
        <f ca="1">IF(Sheet3!$B$5="",0,    IF(E467&lt;1,0,  IF(B467="","",     IF(OR(Sheet3!$B$6=0,INDIRECT(ADDRESS(ROW(),Sheet3!$B$3+16))="" ),D467/E467,    IF(E467&lt;0,0,    IF(OR( INDIRECT(ADDRESS(8,Sheet3!$B$3+16))="",INDIRECT(ADDRESS(ROW(),Sheet3!$B$3+17))=""),        (INDIRECT(ADDRESS(ROW(),Sheet3!$B$3+16))+B467)*Sheet3!$Q$4,         INDIRECT(ADDRESS(ROW(),Sheet3!$B$3+17))-INDIRECT(ADDRESS(ROW(),Sheet3!$B$3+16))))))))</f>
        <v>0</v>
      </c>
      <c r="D467" s="39">
        <f ca="1">IF(Sheet3!$B$5="",0,IF(B467="","",IF(E467&lt;1,0,   IF(INDIRECT(ADDRESS(ROW(), Sheet3!$B$3+17))="",        INDIRECT(ADDRESS(ROW(), Sheet3!$B$3+16))*  (1+Sheet3!$Q$4)   +B467*Sheet3!$Q$4,       INDIRECT(ADDRESS(ROW(), Sheet3!$B$3+17))))))</f>
        <v>0</v>
      </c>
      <c r="E467" s="40">
        <f ca="1">IF(AND(Sheet1!L467&lt;0,  Sheet1!$C$21&gt;R467),    IF(OR(Sheet1!$C$21&lt;=R468,  Sheet1!L468=""),       IF(AND(MOD(NOW(),1)&lt;TIME(9,39,0),Sheet1!$C$22=TODAY()),    Sheet1!$C$21-R467,     Sheet1!$C$21-R467-1),               R468-R467-1),    0)</f>
        <v>0</v>
      </c>
      <c r="F467" s="30"/>
      <c r="G467" s="25" t="str">
        <f>IF(LEFT(Sheet1!K468,2)="0x",Sheet1!K467,IF(AND(Sheet1!L467="",Sheet1!L466=""),"",G466))</f>
        <v/>
      </c>
      <c r="H467" s="81"/>
      <c r="I467" s="43" t="str">
        <f t="shared" si="33"/>
        <v/>
      </c>
      <c r="J467" s="29" t="str">
        <f t="shared" si="32"/>
        <v/>
      </c>
      <c r="K467" s="24" t="str">
        <f>IF(Sheet1!L467="","",IF(Sheet1!L467&gt;0,ROW(),""))</f>
        <v/>
      </c>
      <c r="L467" s="24" t="str">
        <f t="shared" ca="1" si="34"/>
        <v/>
      </c>
      <c r="M467" s="47" t="str">
        <f t="shared" ca="1" si="35"/>
        <v/>
      </c>
      <c r="N467" s="48" t="str">
        <f>IF(LEFT(Sheet1!K467,2)="0x",Sheet1!K467,IF(AND(Sheet1!L467="",Sheet1!L466=""),"",N466))</f>
        <v/>
      </c>
      <c r="O467" s="46">
        <f>IF(Sheet1!L467="",0,IF(Sheet1!O467&lt;TIME(7,39,0)+Sheet1!$E$3/24,1,0))</f>
        <v>0</v>
      </c>
      <c r="P467" s="46" t="str">
        <f ca="1">IF(AND(Sheet1!L467&lt;0, Sheet1!$C$21&gt;R467,OR(Sheet1!$C$21&lt;=R468,Sheet1!L468="")),   -1*Sheet1!L467,"")</f>
        <v/>
      </c>
    </row>
    <row r="468" spans="1:16" ht="15.75" x14ac:dyDescent="0.25">
      <c r="A468" s="456" t="str">
        <f>IF(AND(R468&lt;&gt;"",R467&lt;&gt;""),(-Sheet1!L468/Sheet1!L467)^(360/(R468-R467-1))-1,"")</f>
        <v/>
      </c>
      <c r="B468" s="41" t="str">
        <f ca="1">IF(AND(Sheet1!L468&lt;0, Sheet1!$C$21&gt;R468+1,OR(Sheet1!$C$21&lt;=R469,Sheet1!L469="")),   -1*Sheet1!L468,"")</f>
        <v/>
      </c>
      <c r="C468" s="42">
        <f ca="1">IF(Sheet3!$B$5="",0,    IF(E468&lt;1,0,  IF(B468="","",     IF(OR(Sheet3!$B$6=0,INDIRECT(ADDRESS(ROW(),Sheet3!$B$3+16))="" ),D468/E468,    IF(E468&lt;0,0,    IF(OR( INDIRECT(ADDRESS(8,Sheet3!$B$3+16))="",INDIRECT(ADDRESS(ROW(),Sheet3!$B$3+17))=""),        (INDIRECT(ADDRESS(ROW(),Sheet3!$B$3+16))+B468)*Sheet3!$Q$4,         INDIRECT(ADDRESS(ROW(),Sheet3!$B$3+17))-INDIRECT(ADDRESS(ROW(),Sheet3!$B$3+16))))))))</f>
        <v>0</v>
      </c>
      <c r="D468" s="39">
        <f ca="1">IF(Sheet3!$B$5="",0,IF(B468="","",IF(E468&lt;1,0,   IF(INDIRECT(ADDRESS(ROW(), Sheet3!$B$3+17))="",        INDIRECT(ADDRESS(ROW(), Sheet3!$B$3+16))*  (1+Sheet3!$Q$4)   +B468*Sheet3!$Q$4,       INDIRECT(ADDRESS(ROW(), Sheet3!$B$3+17))))))</f>
        <v>0</v>
      </c>
      <c r="E468" s="40">
        <f ca="1">IF(AND(Sheet1!L468&lt;0,  Sheet1!$C$21&gt;R468),    IF(OR(Sheet1!$C$21&lt;=R469,  Sheet1!L469=""),       IF(AND(MOD(NOW(),1)&lt;TIME(9,39,0),Sheet1!$C$22=TODAY()),    Sheet1!$C$21-R468,     Sheet1!$C$21-R468-1),               R469-R468-1),    0)</f>
        <v>0</v>
      </c>
      <c r="F468" s="30"/>
      <c r="G468" s="25" t="str">
        <f>IF(LEFT(Sheet1!K469,2)="0x",Sheet1!K468,IF(AND(Sheet1!L468="",Sheet1!L467=""),"",G467))</f>
        <v/>
      </c>
      <c r="H468" s="81"/>
      <c r="I468" s="43" t="str">
        <f t="shared" si="33"/>
        <v/>
      </c>
      <c r="J468" s="29" t="str">
        <f t="shared" si="32"/>
        <v/>
      </c>
      <c r="K468" s="24" t="str">
        <f>IF(Sheet1!L468="","",IF(Sheet1!L468&gt;0,ROW(),""))</f>
        <v/>
      </c>
      <c r="L468" s="24" t="str">
        <f t="shared" ca="1" si="34"/>
        <v/>
      </c>
      <c r="M468" s="47" t="str">
        <f t="shared" ca="1" si="35"/>
        <v/>
      </c>
      <c r="N468" s="48" t="str">
        <f>IF(LEFT(Sheet1!K468,2)="0x",Sheet1!K468,IF(AND(Sheet1!L468="",Sheet1!L467=""),"",N467))</f>
        <v/>
      </c>
      <c r="O468" s="46">
        <f>IF(Sheet1!L468="",0,IF(Sheet1!O468&lt;TIME(7,39,0)+Sheet1!$E$3/24,1,0))</f>
        <v>0</v>
      </c>
      <c r="P468" s="46" t="str">
        <f ca="1">IF(AND(Sheet1!L468&lt;0, Sheet1!$C$21&gt;R468,OR(Sheet1!$C$21&lt;=R469,Sheet1!L469="")),   -1*Sheet1!L468,"")</f>
        <v/>
      </c>
    </row>
    <row r="469" spans="1:16" ht="15.75" x14ac:dyDescent="0.25">
      <c r="A469" s="456" t="str">
        <f>IF(AND(R469&lt;&gt;"",R468&lt;&gt;""),(-Sheet1!L469/Sheet1!L468)^(360/(R469-R468-1))-1,"")</f>
        <v/>
      </c>
      <c r="B469" s="41" t="str">
        <f ca="1">IF(AND(Sheet1!L469&lt;0, Sheet1!$C$21&gt;R469+1,OR(Sheet1!$C$21&lt;=R470,Sheet1!L470="")),   -1*Sheet1!L469,"")</f>
        <v/>
      </c>
      <c r="C469" s="42">
        <f ca="1">IF(Sheet3!$B$5="",0,    IF(E469&lt;1,0,  IF(B469="","",     IF(OR(Sheet3!$B$6=0,INDIRECT(ADDRESS(ROW(),Sheet3!$B$3+16))="" ),D469/E469,    IF(E469&lt;0,0,    IF(OR( INDIRECT(ADDRESS(8,Sheet3!$B$3+16))="",INDIRECT(ADDRESS(ROW(),Sheet3!$B$3+17))=""),        (INDIRECT(ADDRESS(ROW(),Sheet3!$B$3+16))+B469)*Sheet3!$Q$4,         INDIRECT(ADDRESS(ROW(),Sheet3!$B$3+17))-INDIRECT(ADDRESS(ROW(),Sheet3!$B$3+16))))))))</f>
        <v>0</v>
      </c>
      <c r="D469" s="39">
        <f ca="1">IF(Sheet3!$B$5="",0,IF(B469="","",IF(E469&lt;1,0,   IF(INDIRECT(ADDRESS(ROW(), Sheet3!$B$3+17))="",        INDIRECT(ADDRESS(ROW(), Sheet3!$B$3+16))*  (1+Sheet3!$Q$4)   +B469*Sheet3!$Q$4,       INDIRECT(ADDRESS(ROW(), Sheet3!$B$3+17))))))</f>
        <v>0</v>
      </c>
      <c r="E469" s="40">
        <f ca="1">IF(AND(Sheet1!L469&lt;0,  Sheet1!$C$21&gt;R469),    IF(OR(Sheet1!$C$21&lt;=R470,  Sheet1!L470=""),       IF(AND(MOD(NOW(),1)&lt;TIME(9,39,0),Sheet1!$C$22=TODAY()),    Sheet1!$C$21-R469,     Sheet1!$C$21-R469-1),               R470-R469-1),    0)</f>
        <v>0</v>
      </c>
      <c r="F469" s="30"/>
      <c r="G469" s="25" t="str">
        <f>IF(LEFT(Sheet1!K470,2)="0x",Sheet1!K469,IF(AND(Sheet1!L469="",Sheet1!L468=""),"",G468))</f>
        <v/>
      </c>
      <c r="H469" s="81"/>
      <c r="I469" s="43" t="str">
        <f t="shared" si="33"/>
        <v/>
      </c>
      <c r="J469" s="29" t="str">
        <f t="shared" si="32"/>
        <v/>
      </c>
      <c r="K469" s="24" t="str">
        <f>IF(Sheet1!L469="","",IF(Sheet1!L469&gt;0,ROW(),""))</f>
        <v/>
      </c>
      <c r="L469" s="24" t="str">
        <f t="shared" ca="1" si="34"/>
        <v/>
      </c>
      <c r="M469" s="47" t="str">
        <f t="shared" ca="1" si="35"/>
        <v/>
      </c>
      <c r="N469" s="48" t="str">
        <f>IF(LEFT(Sheet1!K469,2)="0x",Sheet1!K469,IF(AND(Sheet1!L469="",Sheet1!L468=""),"",N468))</f>
        <v/>
      </c>
      <c r="O469" s="46">
        <f>IF(Sheet1!L469="",0,IF(Sheet1!O469&lt;TIME(7,39,0)+Sheet1!$E$3/24,1,0))</f>
        <v>0</v>
      </c>
      <c r="P469" s="46" t="str">
        <f ca="1">IF(AND(Sheet1!L469&lt;0, Sheet1!$C$21&gt;R469,OR(Sheet1!$C$21&lt;=R470,Sheet1!L470="")),   -1*Sheet1!L469,"")</f>
        <v/>
      </c>
    </row>
    <row r="470" spans="1:16" ht="15.75" x14ac:dyDescent="0.25">
      <c r="A470" s="456" t="str">
        <f>IF(AND(R470&lt;&gt;"",R469&lt;&gt;""),(-Sheet1!L470/Sheet1!L469)^(360/(R470-R469-1))-1,"")</f>
        <v/>
      </c>
      <c r="B470" s="41" t="str">
        <f ca="1">IF(AND(Sheet1!L470&lt;0, Sheet1!$C$21&gt;R470+1,OR(Sheet1!$C$21&lt;=R471,Sheet1!L471="")),   -1*Sheet1!L470,"")</f>
        <v/>
      </c>
      <c r="C470" s="42">
        <f ca="1">IF(Sheet3!$B$5="",0,    IF(E470&lt;1,0,  IF(B470="","",     IF(OR(Sheet3!$B$6=0,INDIRECT(ADDRESS(ROW(),Sheet3!$B$3+16))="" ),D470/E470,    IF(E470&lt;0,0,    IF(OR( INDIRECT(ADDRESS(8,Sheet3!$B$3+16))="",INDIRECT(ADDRESS(ROW(),Sheet3!$B$3+17))=""),        (INDIRECT(ADDRESS(ROW(),Sheet3!$B$3+16))+B470)*Sheet3!$Q$4,         INDIRECT(ADDRESS(ROW(),Sheet3!$B$3+17))-INDIRECT(ADDRESS(ROW(),Sheet3!$B$3+16))))))))</f>
        <v>0</v>
      </c>
      <c r="D470" s="39">
        <f ca="1">IF(Sheet3!$B$5="",0,IF(B470="","",IF(E470&lt;1,0,   IF(INDIRECT(ADDRESS(ROW(), Sheet3!$B$3+17))="",        INDIRECT(ADDRESS(ROW(), Sheet3!$B$3+16))*  (1+Sheet3!$Q$4)   +B470*Sheet3!$Q$4,       INDIRECT(ADDRESS(ROW(), Sheet3!$B$3+17))))))</f>
        <v>0</v>
      </c>
      <c r="E470" s="40">
        <f ca="1">IF(AND(Sheet1!L470&lt;0,  Sheet1!$C$21&gt;R470),    IF(OR(Sheet1!$C$21&lt;=R471,  Sheet1!L471=""),       IF(AND(MOD(NOW(),1)&lt;TIME(9,39,0),Sheet1!$C$22=TODAY()),    Sheet1!$C$21-R470,     Sheet1!$C$21-R470-1),               R471-R470-1),    0)</f>
        <v>0</v>
      </c>
      <c r="F470" s="30"/>
      <c r="G470" s="25" t="str">
        <f>IF(LEFT(Sheet1!K471,2)="0x",Sheet1!K470,IF(AND(Sheet1!L470="",Sheet1!L469=""),"",G469))</f>
        <v/>
      </c>
      <c r="H470" s="81"/>
      <c r="I470" s="43" t="str">
        <f t="shared" si="33"/>
        <v/>
      </c>
      <c r="J470" s="29" t="str">
        <f t="shared" si="32"/>
        <v/>
      </c>
      <c r="K470" s="24" t="str">
        <f>IF(Sheet1!L470="","",IF(Sheet1!L470&gt;0,ROW(),""))</f>
        <v/>
      </c>
      <c r="L470" s="24" t="str">
        <f t="shared" ca="1" si="34"/>
        <v/>
      </c>
      <c r="M470" s="47" t="str">
        <f t="shared" ca="1" si="35"/>
        <v/>
      </c>
      <c r="N470" s="48" t="str">
        <f>IF(LEFT(Sheet1!K470,2)="0x",Sheet1!K470,IF(AND(Sheet1!L470="",Sheet1!L469=""),"",N469))</f>
        <v/>
      </c>
      <c r="O470" s="46">
        <f>IF(Sheet1!L470="",0,IF(Sheet1!O470&lt;TIME(7,39,0)+Sheet1!$E$3/24,1,0))</f>
        <v>0</v>
      </c>
      <c r="P470" s="46" t="str">
        <f ca="1">IF(AND(Sheet1!L470&lt;0, Sheet1!$C$21&gt;R470,OR(Sheet1!$C$21&lt;=R471,Sheet1!L471="")),   -1*Sheet1!L470,"")</f>
        <v/>
      </c>
    </row>
    <row r="471" spans="1:16" ht="15.75" x14ac:dyDescent="0.25">
      <c r="A471" s="456" t="str">
        <f>IF(AND(R471&lt;&gt;"",R470&lt;&gt;""),(-Sheet1!L471/Sheet1!L470)^(360/(R471-R470-1))-1,"")</f>
        <v/>
      </c>
      <c r="B471" s="41" t="str">
        <f ca="1">IF(AND(Sheet1!L471&lt;0, Sheet1!$C$21&gt;R471+1,OR(Sheet1!$C$21&lt;=R472,Sheet1!L472="")),   -1*Sheet1!L471,"")</f>
        <v/>
      </c>
      <c r="C471" s="42">
        <f ca="1">IF(Sheet3!$B$5="",0,    IF(E471&lt;1,0,  IF(B471="","",     IF(OR(Sheet3!$B$6=0,INDIRECT(ADDRESS(ROW(),Sheet3!$B$3+16))="" ),D471/E471,    IF(E471&lt;0,0,    IF(OR( INDIRECT(ADDRESS(8,Sheet3!$B$3+16))="",INDIRECT(ADDRESS(ROW(),Sheet3!$B$3+17))=""),        (INDIRECT(ADDRESS(ROW(),Sheet3!$B$3+16))+B471)*Sheet3!$Q$4,         INDIRECT(ADDRESS(ROW(),Sheet3!$B$3+17))-INDIRECT(ADDRESS(ROW(),Sheet3!$B$3+16))))))))</f>
        <v>0</v>
      </c>
      <c r="D471" s="39">
        <f ca="1">IF(Sheet3!$B$5="",0,IF(B471="","",IF(E471&lt;1,0,   IF(INDIRECT(ADDRESS(ROW(), Sheet3!$B$3+17))="",        INDIRECT(ADDRESS(ROW(), Sheet3!$B$3+16))*  (1+Sheet3!$Q$4)   +B471*Sheet3!$Q$4,       INDIRECT(ADDRESS(ROW(), Sheet3!$B$3+17))))))</f>
        <v>0</v>
      </c>
      <c r="E471" s="40">
        <f ca="1">IF(AND(Sheet1!L471&lt;0,  Sheet1!$C$21&gt;R471),    IF(OR(Sheet1!$C$21&lt;=R472,  Sheet1!L472=""),       IF(AND(MOD(NOW(),1)&lt;TIME(9,39,0),Sheet1!$C$22=TODAY()),    Sheet1!$C$21-R471,     Sheet1!$C$21-R471-1),               R472-R471-1),    0)</f>
        <v>0</v>
      </c>
      <c r="F471" s="30"/>
      <c r="G471" s="25" t="str">
        <f>IF(LEFT(Sheet1!K472,2)="0x",Sheet1!K471,IF(AND(Sheet1!L471="",Sheet1!L470=""),"",G470))</f>
        <v/>
      </c>
      <c r="H471" s="81"/>
      <c r="I471" s="43" t="str">
        <f t="shared" si="33"/>
        <v/>
      </c>
      <c r="J471" s="29" t="str">
        <f t="shared" si="32"/>
        <v/>
      </c>
      <c r="K471" s="24" t="str">
        <f>IF(Sheet1!L471="","",IF(Sheet1!L471&gt;0,ROW(),""))</f>
        <v/>
      </c>
      <c r="L471" s="24" t="str">
        <f t="shared" ca="1" si="34"/>
        <v/>
      </c>
      <c r="M471" s="47" t="str">
        <f t="shared" ca="1" si="35"/>
        <v/>
      </c>
      <c r="N471" s="48" t="str">
        <f>IF(LEFT(Sheet1!K471,2)="0x",Sheet1!K471,IF(AND(Sheet1!L471="",Sheet1!L470=""),"",N470))</f>
        <v/>
      </c>
      <c r="O471" s="46">
        <f>IF(Sheet1!L471="",0,IF(Sheet1!O471&lt;TIME(7,39,0)+Sheet1!$E$3/24,1,0))</f>
        <v>0</v>
      </c>
      <c r="P471" s="46" t="str">
        <f ca="1">IF(AND(Sheet1!L471&lt;0, Sheet1!$C$21&gt;R471,OR(Sheet1!$C$21&lt;=R472,Sheet1!L472="")),   -1*Sheet1!L471,"")</f>
        <v/>
      </c>
    </row>
    <row r="472" spans="1:16" ht="15.75" x14ac:dyDescent="0.25">
      <c r="A472" s="456" t="str">
        <f>IF(AND(R472&lt;&gt;"",R471&lt;&gt;""),(-Sheet1!L472/Sheet1!L471)^(360/(R472-R471-1))-1,"")</f>
        <v/>
      </c>
      <c r="B472" s="41" t="str">
        <f ca="1">IF(AND(Sheet1!L472&lt;0, Sheet1!$C$21&gt;R472+1,OR(Sheet1!$C$21&lt;=R473,Sheet1!L473="")),   -1*Sheet1!L472,"")</f>
        <v/>
      </c>
      <c r="C472" s="42">
        <f ca="1">IF(Sheet3!$B$5="",0,    IF(E472&lt;1,0,  IF(B472="","",     IF(OR(Sheet3!$B$6=0,INDIRECT(ADDRESS(ROW(),Sheet3!$B$3+16))="" ),D472/E472,    IF(E472&lt;0,0,    IF(OR( INDIRECT(ADDRESS(8,Sheet3!$B$3+16))="",INDIRECT(ADDRESS(ROW(),Sheet3!$B$3+17))=""),        (INDIRECT(ADDRESS(ROW(),Sheet3!$B$3+16))+B472)*Sheet3!$Q$4,         INDIRECT(ADDRESS(ROW(),Sheet3!$B$3+17))-INDIRECT(ADDRESS(ROW(),Sheet3!$B$3+16))))))))</f>
        <v>0</v>
      </c>
      <c r="D472" s="39">
        <f ca="1">IF(Sheet3!$B$5="",0,IF(B472="","",IF(E472&lt;1,0,   IF(INDIRECT(ADDRESS(ROW(), Sheet3!$B$3+17))="",        INDIRECT(ADDRESS(ROW(), Sheet3!$B$3+16))*  (1+Sheet3!$Q$4)   +B472*Sheet3!$Q$4,       INDIRECT(ADDRESS(ROW(), Sheet3!$B$3+17))))))</f>
        <v>0</v>
      </c>
      <c r="E472" s="40">
        <f ca="1">IF(AND(Sheet1!L472&lt;0,  Sheet1!$C$21&gt;R472),    IF(OR(Sheet1!$C$21&lt;=R473,  Sheet1!L473=""),       IF(AND(MOD(NOW(),1)&lt;TIME(9,39,0),Sheet1!$C$22=TODAY()),    Sheet1!$C$21-R472,     Sheet1!$C$21-R472-1),               R473-R472-1),    0)</f>
        <v>0</v>
      </c>
      <c r="F472" s="30"/>
      <c r="G472" s="25" t="str">
        <f>IF(LEFT(Sheet1!K473,2)="0x",Sheet1!K472,IF(AND(Sheet1!L472="",Sheet1!L471=""),"",G471))</f>
        <v/>
      </c>
      <c r="H472" s="81"/>
      <c r="I472" s="43" t="str">
        <f t="shared" si="33"/>
        <v/>
      </c>
      <c r="J472" s="29" t="str">
        <f t="shared" si="32"/>
        <v/>
      </c>
      <c r="K472" s="24" t="str">
        <f>IF(Sheet1!L472="","",IF(Sheet1!L472&gt;0,ROW(),""))</f>
        <v/>
      </c>
      <c r="L472" s="24" t="str">
        <f t="shared" ca="1" si="34"/>
        <v/>
      </c>
      <c r="M472" s="47" t="str">
        <f t="shared" ca="1" si="35"/>
        <v/>
      </c>
      <c r="N472" s="48" t="str">
        <f>IF(LEFT(Sheet1!K472,2)="0x",Sheet1!K472,IF(AND(Sheet1!L472="",Sheet1!L471=""),"",N471))</f>
        <v/>
      </c>
      <c r="O472" s="46">
        <f>IF(Sheet1!L472="",0,IF(Sheet1!O472&lt;TIME(7,39,0)+Sheet1!$E$3/24,1,0))</f>
        <v>0</v>
      </c>
      <c r="P472" s="46" t="str">
        <f ca="1">IF(AND(Sheet1!L472&lt;0, Sheet1!$C$21&gt;R472,OR(Sheet1!$C$21&lt;=R473,Sheet1!L473="")),   -1*Sheet1!L472,"")</f>
        <v/>
      </c>
    </row>
    <row r="473" spans="1:16" ht="15.75" x14ac:dyDescent="0.25">
      <c r="A473" s="456" t="str">
        <f>IF(AND(R473&lt;&gt;"",R472&lt;&gt;""),(-Sheet1!L473/Sheet1!L472)^(360/(R473-R472-1))-1,"")</f>
        <v/>
      </c>
      <c r="B473" s="41" t="str">
        <f ca="1">IF(AND(Sheet1!L473&lt;0, Sheet1!$C$21&gt;R473+1,OR(Sheet1!$C$21&lt;=R474,Sheet1!L474="")),   -1*Sheet1!L473,"")</f>
        <v/>
      </c>
      <c r="C473" s="42">
        <f ca="1">IF(Sheet3!$B$5="",0,    IF(E473&lt;1,0,  IF(B473="","",     IF(OR(Sheet3!$B$6=0,INDIRECT(ADDRESS(ROW(),Sheet3!$B$3+16))="" ),D473/E473,    IF(E473&lt;0,0,    IF(OR( INDIRECT(ADDRESS(8,Sheet3!$B$3+16))="",INDIRECT(ADDRESS(ROW(),Sheet3!$B$3+17))=""),        (INDIRECT(ADDRESS(ROW(),Sheet3!$B$3+16))+B473)*Sheet3!$Q$4,         INDIRECT(ADDRESS(ROW(),Sheet3!$B$3+17))-INDIRECT(ADDRESS(ROW(),Sheet3!$B$3+16))))))))</f>
        <v>0</v>
      </c>
      <c r="D473" s="39">
        <f ca="1">IF(Sheet3!$B$5="",0,IF(B473="","",IF(E473&lt;1,0,   IF(INDIRECT(ADDRESS(ROW(), Sheet3!$B$3+17))="",        INDIRECT(ADDRESS(ROW(), Sheet3!$B$3+16))*  (1+Sheet3!$Q$4)   +B473*Sheet3!$Q$4,       INDIRECT(ADDRESS(ROW(), Sheet3!$B$3+17))))))</f>
        <v>0</v>
      </c>
      <c r="E473" s="40">
        <f ca="1">IF(AND(Sheet1!L473&lt;0,  Sheet1!$C$21&gt;R473),    IF(OR(Sheet1!$C$21&lt;=R474,  Sheet1!L474=""),       IF(AND(MOD(NOW(),1)&lt;TIME(9,39,0),Sheet1!$C$22=TODAY()),    Sheet1!$C$21-R473,     Sheet1!$C$21-R473-1),               R474-R473-1),    0)</f>
        <v>0</v>
      </c>
      <c r="F473" s="30"/>
      <c r="G473" s="25" t="str">
        <f>IF(LEFT(Sheet1!K474,2)="0x",Sheet1!K473,IF(AND(Sheet1!L473="",Sheet1!L472=""),"",G472))</f>
        <v/>
      </c>
      <c r="H473" s="81"/>
      <c r="I473" s="43" t="str">
        <f t="shared" si="33"/>
        <v/>
      </c>
      <c r="J473" s="29" t="str">
        <f t="shared" ref="J473:J500" si="36">IF(I473="","",INDEX(G:G,I473))</f>
        <v/>
      </c>
      <c r="K473" s="24" t="str">
        <f>IF(Sheet1!L473="","",IF(Sheet1!L473&gt;0,ROW(),""))</f>
        <v/>
      </c>
      <c r="L473" s="24" t="str">
        <f t="shared" ca="1" si="34"/>
        <v/>
      </c>
      <c r="M473" s="47" t="str">
        <f t="shared" ca="1" si="35"/>
        <v/>
      </c>
      <c r="N473" s="48" t="str">
        <f>IF(LEFT(Sheet1!K473,2)="0x",Sheet1!K473,IF(AND(Sheet1!L473="",Sheet1!L472=""),"",N472))</f>
        <v/>
      </c>
      <c r="O473" s="46">
        <f>IF(Sheet1!L473="",0,IF(Sheet1!O473&lt;TIME(7,39,0)+Sheet1!$E$3/24,1,0))</f>
        <v>0</v>
      </c>
      <c r="P473" s="46" t="str">
        <f ca="1">IF(AND(Sheet1!L473&lt;0, Sheet1!$C$21&gt;R473,OR(Sheet1!$C$21&lt;=R474,Sheet1!L474="")),   -1*Sheet1!L473,"")</f>
        <v/>
      </c>
    </row>
    <row r="474" spans="1:16" ht="15.75" x14ac:dyDescent="0.25">
      <c r="A474" s="456" t="str">
        <f>IF(AND(R474&lt;&gt;"",R473&lt;&gt;""),(-Sheet1!L474/Sheet1!L473)^(360/(R474-R473-1))-1,"")</f>
        <v/>
      </c>
      <c r="B474" s="41" t="str">
        <f ca="1">IF(AND(Sheet1!L474&lt;0, Sheet1!$C$21&gt;R474+1,OR(Sheet1!$C$21&lt;=R475,Sheet1!L475="")),   -1*Sheet1!L474,"")</f>
        <v/>
      </c>
      <c r="C474" s="42">
        <f ca="1">IF(Sheet3!$B$5="",0,    IF(E474&lt;1,0,  IF(B474="","",     IF(OR(Sheet3!$B$6=0,INDIRECT(ADDRESS(ROW(),Sheet3!$B$3+16))="" ),D474/E474,    IF(E474&lt;0,0,    IF(OR( INDIRECT(ADDRESS(8,Sheet3!$B$3+16))="",INDIRECT(ADDRESS(ROW(),Sheet3!$B$3+17))=""),        (INDIRECT(ADDRESS(ROW(),Sheet3!$B$3+16))+B474)*Sheet3!$Q$4,         INDIRECT(ADDRESS(ROW(),Sheet3!$B$3+17))-INDIRECT(ADDRESS(ROW(),Sheet3!$B$3+16))))))))</f>
        <v>0</v>
      </c>
      <c r="D474" s="39">
        <f ca="1">IF(Sheet3!$B$5="",0,IF(B474="","",IF(E474&lt;1,0,   IF(INDIRECT(ADDRESS(ROW(), Sheet3!$B$3+17))="",        INDIRECT(ADDRESS(ROW(), Sheet3!$B$3+16))*  (1+Sheet3!$Q$4)   +B474*Sheet3!$Q$4,       INDIRECT(ADDRESS(ROW(), Sheet3!$B$3+17))))))</f>
        <v>0</v>
      </c>
      <c r="E474" s="40">
        <f ca="1">IF(AND(Sheet1!L474&lt;0,  Sheet1!$C$21&gt;R474),    IF(OR(Sheet1!$C$21&lt;=R475,  Sheet1!L475=""),       IF(AND(MOD(NOW(),1)&lt;TIME(9,39,0),Sheet1!$C$22=TODAY()),    Sheet1!$C$21-R474,     Sheet1!$C$21-R474-1),               R475-R474-1),    0)</f>
        <v>0</v>
      </c>
      <c r="F474" s="30"/>
      <c r="G474" s="25" t="str">
        <f>IF(LEFT(Sheet1!K475,2)="0x",Sheet1!K474,IF(AND(Sheet1!L474="",Sheet1!L473=""),"",G473))</f>
        <v/>
      </c>
      <c r="H474" s="81"/>
      <c r="I474" s="43" t="str">
        <f t="shared" si="33"/>
        <v/>
      </c>
      <c r="J474" s="29" t="str">
        <f t="shared" si="36"/>
        <v/>
      </c>
      <c r="K474" s="24" t="str">
        <f>IF(Sheet1!L474="","",IF(Sheet1!L474&gt;0,ROW(),""))</f>
        <v/>
      </c>
      <c r="L474" s="24" t="str">
        <f t="shared" ca="1" si="34"/>
        <v/>
      </c>
      <c r="M474" s="47" t="str">
        <f t="shared" ca="1" si="35"/>
        <v/>
      </c>
      <c r="N474" s="48" t="str">
        <f>IF(LEFT(Sheet1!K474,2)="0x",Sheet1!K474,IF(AND(Sheet1!L474="",Sheet1!L473=""),"",N473))</f>
        <v/>
      </c>
      <c r="O474" s="46">
        <f>IF(Sheet1!L474="",0,IF(Sheet1!O474&lt;TIME(7,39,0)+Sheet1!$E$3/24,1,0))</f>
        <v>0</v>
      </c>
      <c r="P474" s="46" t="str">
        <f ca="1">IF(AND(Sheet1!L474&lt;0, Sheet1!$C$21&gt;R474,OR(Sheet1!$C$21&lt;=R475,Sheet1!L475="")),   -1*Sheet1!L474,"")</f>
        <v/>
      </c>
    </row>
    <row r="475" spans="1:16" ht="15.75" x14ac:dyDescent="0.25">
      <c r="A475" s="456" t="str">
        <f>IF(AND(R475&lt;&gt;"",R474&lt;&gt;""),(-Sheet1!L475/Sheet1!L474)^(360/(R475-R474-1))-1,"")</f>
        <v/>
      </c>
      <c r="B475" s="41" t="str">
        <f ca="1">IF(AND(Sheet1!L475&lt;0, Sheet1!$C$21&gt;R475+1,OR(Sheet1!$C$21&lt;=R476,Sheet1!L476="")),   -1*Sheet1!L475,"")</f>
        <v/>
      </c>
      <c r="C475" s="42">
        <f ca="1">IF(Sheet3!$B$5="",0,    IF(E475&lt;1,0,  IF(B475="","",     IF(OR(Sheet3!$B$6=0,INDIRECT(ADDRESS(ROW(),Sheet3!$B$3+16))="" ),D475/E475,    IF(E475&lt;0,0,    IF(OR( INDIRECT(ADDRESS(8,Sheet3!$B$3+16))="",INDIRECT(ADDRESS(ROW(),Sheet3!$B$3+17))=""),        (INDIRECT(ADDRESS(ROW(),Sheet3!$B$3+16))+B475)*Sheet3!$Q$4,         INDIRECT(ADDRESS(ROW(),Sheet3!$B$3+17))-INDIRECT(ADDRESS(ROW(),Sheet3!$B$3+16))))))))</f>
        <v>0</v>
      </c>
      <c r="D475" s="39">
        <f ca="1">IF(Sheet3!$B$5="",0,IF(B475="","",IF(E475&lt;1,0,   IF(INDIRECT(ADDRESS(ROW(), Sheet3!$B$3+17))="",        INDIRECT(ADDRESS(ROW(), Sheet3!$B$3+16))*  (1+Sheet3!$Q$4)   +B475*Sheet3!$Q$4,       INDIRECT(ADDRESS(ROW(), Sheet3!$B$3+17))))))</f>
        <v>0</v>
      </c>
      <c r="E475" s="40">
        <f ca="1">IF(AND(Sheet1!L475&lt;0,  Sheet1!$C$21&gt;R475),    IF(OR(Sheet1!$C$21&lt;=R476,  Sheet1!L476=""),       IF(AND(MOD(NOW(),1)&lt;TIME(9,39,0),Sheet1!$C$22=TODAY()),    Sheet1!$C$21-R475,     Sheet1!$C$21-R475-1),               R476-R475-1),    0)</f>
        <v>0</v>
      </c>
      <c r="F475" s="30"/>
      <c r="G475" s="25" t="str">
        <f>IF(LEFT(Sheet1!K476,2)="0x",Sheet1!K475,IF(AND(Sheet1!L475="",Sheet1!L474=""),"",G474))</f>
        <v/>
      </c>
      <c r="H475" s="81"/>
      <c r="I475" s="43" t="str">
        <f t="shared" si="33"/>
        <v/>
      </c>
      <c r="J475" s="29" t="str">
        <f t="shared" si="36"/>
        <v/>
      </c>
      <c r="K475" s="24" t="str">
        <f>IF(Sheet1!L475="","",IF(Sheet1!L475&gt;0,ROW(),""))</f>
        <v/>
      </c>
      <c r="L475" s="24" t="str">
        <f t="shared" ca="1" si="34"/>
        <v/>
      </c>
      <c r="M475" s="47" t="str">
        <f t="shared" ca="1" si="35"/>
        <v/>
      </c>
      <c r="N475" s="48" t="str">
        <f>IF(LEFT(Sheet1!K475,2)="0x",Sheet1!K475,IF(AND(Sheet1!L475="",Sheet1!L474=""),"",N474))</f>
        <v/>
      </c>
      <c r="O475" s="46">
        <f>IF(Sheet1!L475="",0,IF(Sheet1!O475&lt;TIME(7,39,0)+Sheet1!$E$3/24,1,0))</f>
        <v>0</v>
      </c>
      <c r="P475" s="46" t="str">
        <f ca="1">IF(AND(Sheet1!L475&lt;0, Sheet1!$C$21&gt;R475,OR(Sheet1!$C$21&lt;=R476,Sheet1!L476="")),   -1*Sheet1!L475,"")</f>
        <v/>
      </c>
    </row>
    <row r="476" spans="1:16" ht="15.75" x14ac:dyDescent="0.25">
      <c r="A476" s="456" t="str">
        <f>IF(AND(R476&lt;&gt;"",R475&lt;&gt;""),(-Sheet1!L476/Sheet1!L475)^(360/(R476-R475-1))-1,"")</f>
        <v/>
      </c>
      <c r="B476" s="41" t="str">
        <f ca="1">IF(AND(Sheet1!L476&lt;0, Sheet1!$C$21&gt;R476+1,OR(Sheet1!$C$21&lt;=R477,Sheet1!L477="")),   -1*Sheet1!L476,"")</f>
        <v/>
      </c>
      <c r="C476" s="42">
        <f ca="1">IF(Sheet3!$B$5="",0,    IF(E476&lt;1,0,  IF(B476="","",     IF(OR(Sheet3!$B$6=0,INDIRECT(ADDRESS(ROW(),Sheet3!$B$3+16))="" ),D476/E476,    IF(E476&lt;0,0,    IF(OR( INDIRECT(ADDRESS(8,Sheet3!$B$3+16))="",INDIRECT(ADDRESS(ROW(),Sheet3!$B$3+17))=""),        (INDIRECT(ADDRESS(ROW(),Sheet3!$B$3+16))+B476)*Sheet3!$Q$4,         INDIRECT(ADDRESS(ROW(),Sheet3!$B$3+17))-INDIRECT(ADDRESS(ROW(),Sheet3!$B$3+16))))))))</f>
        <v>0</v>
      </c>
      <c r="D476" s="39">
        <f ca="1">IF(Sheet3!$B$5="",0,IF(B476="","",IF(E476&lt;1,0,   IF(INDIRECT(ADDRESS(ROW(), Sheet3!$B$3+17))="",        INDIRECT(ADDRESS(ROW(), Sheet3!$B$3+16))*  (1+Sheet3!$Q$4)   +B476*Sheet3!$Q$4,       INDIRECT(ADDRESS(ROW(), Sheet3!$B$3+17))))))</f>
        <v>0</v>
      </c>
      <c r="E476" s="40">
        <f ca="1">IF(AND(Sheet1!L476&lt;0,  Sheet1!$C$21&gt;R476),    IF(OR(Sheet1!$C$21&lt;=R477,  Sheet1!L477=""),       IF(AND(MOD(NOW(),1)&lt;TIME(9,39,0),Sheet1!$C$22=TODAY()),    Sheet1!$C$21-R476,     Sheet1!$C$21-R476-1),               R477-R476-1),    0)</f>
        <v>0</v>
      </c>
      <c r="F476" s="30"/>
      <c r="G476" s="25" t="str">
        <f>IF(LEFT(Sheet1!K477,2)="0x",Sheet1!K476,IF(AND(Sheet1!L476="",Sheet1!L475=""),"",G475))</f>
        <v/>
      </c>
      <c r="H476" s="81"/>
      <c r="I476" s="43" t="str">
        <f t="shared" si="33"/>
        <v/>
      </c>
      <c r="J476" s="29" t="str">
        <f t="shared" si="36"/>
        <v/>
      </c>
      <c r="K476" s="24" t="str">
        <f>IF(Sheet1!L476="","",IF(Sheet1!L476&gt;0,ROW(),""))</f>
        <v/>
      </c>
      <c r="L476" s="24" t="str">
        <f t="shared" ca="1" si="34"/>
        <v/>
      </c>
      <c r="M476" s="47" t="str">
        <f t="shared" ca="1" si="35"/>
        <v/>
      </c>
      <c r="N476" s="48" t="str">
        <f>IF(LEFT(Sheet1!K476,2)="0x",Sheet1!K476,IF(AND(Sheet1!L476="",Sheet1!L475=""),"",N475))</f>
        <v/>
      </c>
      <c r="O476" s="46">
        <f>IF(Sheet1!L476="",0,IF(Sheet1!O476&lt;TIME(7,39,0)+Sheet1!$E$3/24,1,0))</f>
        <v>0</v>
      </c>
      <c r="P476" s="46" t="str">
        <f ca="1">IF(AND(Sheet1!L476&lt;0, Sheet1!$C$21&gt;R476,OR(Sheet1!$C$21&lt;=R477,Sheet1!L477="")),   -1*Sheet1!L476,"")</f>
        <v/>
      </c>
    </row>
    <row r="477" spans="1:16" ht="15.75" x14ac:dyDescent="0.25">
      <c r="A477" s="456" t="str">
        <f>IF(AND(R477&lt;&gt;"",R476&lt;&gt;""),(-Sheet1!L477/Sheet1!L476)^(360/(R477-R476-1))-1,"")</f>
        <v/>
      </c>
      <c r="B477" s="41" t="str">
        <f ca="1">IF(AND(Sheet1!L477&lt;0, Sheet1!$C$21&gt;R477+1,OR(Sheet1!$C$21&lt;=R478,Sheet1!L478="")),   -1*Sheet1!L477,"")</f>
        <v/>
      </c>
      <c r="C477" s="42">
        <f ca="1">IF(Sheet3!$B$5="",0,    IF(E477&lt;1,0,  IF(B477="","",     IF(OR(Sheet3!$B$6=0,INDIRECT(ADDRESS(ROW(),Sheet3!$B$3+16))="" ),D477/E477,    IF(E477&lt;0,0,    IF(OR( INDIRECT(ADDRESS(8,Sheet3!$B$3+16))="",INDIRECT(ADDRESS(ROW(),Sheet3!$B$3+17))=""),        (INDIRECT(ADDRESS(ROW(),Sheet3!$B$3+16))+B477)*Sheet3!$Q$4,         INDIRECT(ADDRESS(ROW(),Sheet3!$B$3+17))-INDIRECT(ADDRESS(ROW(),Sheet3!$B$3+16))))))))</f>
        <v>0</v>
      </c>
      <c r="D477" s="39">
        <f ca="1">IF(Sheet3!$B$5="",0,IF(B477="","",IF(E477&lt;1,0,   IF(INDIRECT(ADDRESS(ROW(), Sheet3!$B$3+17))="",        INDIRECT(ADDRESS(ROW(), Sheet3!$B$3+16))*  (1+Sheet3!$Q$4)   +B477*Sheet3!$Q$4,       INDIRECT(ADDRESS(ROW(), Sheet3!$B$3+17))))))</f>
        <v>0</v>
      </c>
      <c r="E477" s="40">
        <f ca="1">IF(AND(Sheet1!L477&lt;0,  Sheet1!$C$21&gt;R477),    IF(OR(Sheet1!$C$21&lt;=R478,  Sheet1!L478=""),       IF(AND(MOD(NOW(),1)&lt;TIME(9,39,0),Sheet1!$C$22=TODAY()),    Sheet1!$C$21-R477,     Sheet1!$C$21-R477-1),               R478-R477-1),    0)</f>
        <v>0</v>
      </c>
      <c r="F477" s="30"/>
      <c r="G477" s="25" t="str">
        <f>IF(LEFT(Sheet1!K478,2)="0x",Sheet1!K477,IF(AND(Sheet1!L477="",Sheet1!L476=""),"",G476))</f>
        <v/>
      </c>
      <c r="H477" s="81"/>
      <c r="I477" s="43" t="str">
        <f t="shared" si="33"/>
        <v/>
      </c>
      <c r="J477" s="29" t="str">
        <f t="shared" si="36"/>
        <v/>
      </c>
      <c r="K477" s="24" t="str">
        <f>IF(Sheet1!L477="","",IF(Sheet1!L477&gt;0,ROW(),""))</f>
        <v/>
      </c>
      <c r="L477" s="24" t="str">
        <f t="shared" ca="1" si="34"/>
        <v/>
      </c>
      <c r="M477" s="47" t="str">
        <f t="shared" ca="1" si="35"/>
        <v/>
      </c>
      <c r="N477" s="48" t="str">
        <f>IF(LEFT(Sheet1!K477,2)="0x",Sheet1!K477,IF(AND(Sheet1!L477="",Sheet1!L476=""),"",N476))</f>
        <v/>
      </c>
      <c r="O477" s="46">
        <f>IF(Sheet1!L477="",0,IF(Sheet1!O477&lt;TIME(7,39,0)+Sheet1!$E$3/24,1,0))</f>
        <v>0</v>
      </c>
      <c r="P477" s="46" t="str">
        <f ca="1">IF(AND(Sheet1!L477&lt;0, Sheet1!$C$21&gt;R477,OR(Sheet1!$C$21&lt;=R478,Sheet1!L478="")),   -1*Sheet1!L477,"")</f>
        <v/>
      </c>
    </row>
    <row r="478" spans="1:16" ht="15.75" x14ac:dyDescent="0.25">
      <c r="A478" s="456" t="str">
        <f>IF(AND(R478&lt;&gt;"",R477&lt;&gt;""),(-Sheet1!L478/Sheet1!L477)^(360/(R478-R477-1))-1,"")</f>
        <v/>
      </c>
      <c r="B478" s="41" t="str">
        <f ca="1">IF(AND(Sheet1!L478&lt;0, Sheet1!$C$21&gt;R478+1,OR(Sheet1!$C$21&lt;=R479,Sheet1!L479="")),   -1*Sheet1!L478,"")</f>
        <v/>
      </c>
      <c r="C478" s="42">
        <f ca="1">IF(Sheet3!$B$5="",0,    IF(E478&lt;1,0,  IF(B478="","",     IF(OR(Sheet3!$B$6=0,INDIRECT(ADDRESS(ROW(),Sheet3!$B$3+16))="" ),D478/E478,    IF(E478&lt;0,0,    IF(OR( INDIRECT(ADDRESS(8,Sheet3!$B$3+16))="",INDIRECT(ADDRESS(ROW(),Sheet3!$B$3+17))=""),        (INDIRECT(ADDRESS(ROW(),Sheet3!$B$3+16))+B478)*Sheet3!$Q$4,         INDIRECT(ADDRESS(ROW(),Sheet3!$B$3+17))-INDIRECT(ADDRESS(ROW(),Sheet3!$B$3+16))))))))</f>
        <v>0</v>
      </c>
      <c r="D478" s="39">
        <f ca="1">IF(Sheet3!$B$5="",0,IF(B478="","",IF(E478&lt;1,0,   IF(INDIRECT(ADDRESS(ROW(), Sheet3!$B$3+17))="",        INDIRECT(ADDRESS(ROW(), Sheet3!$B$3+16))*  (1+Sheet3!$Q$4)   +B478*Sheet3!$Q$4,       INDIRECT(ADDRESS(ROW(), Sheet3!$B$3+17))))))</f>
        <v>0</v>
      </c>
      <c r="E478" s="40">
        <f ca="1">IF(AND(Sheet1!L478&lt;0,  Sheet1!$C$21&gt;R478),    IF(OR(Sheet1!$C$21&lt;=R479,  Sheet1!L479=""),       IF(AND(MOD(NOW(),1)&lt;TIME(9,39,0),Sheet1!$C$22=TODAY()),    Sheet1!$C$21-R478,     Sheet1!$C$21-R478-1),               R479-R478-1),    0)</f>
        <v>0</v>
      </c>
      <c r="F478" s="30"/>
      <c r="G478" s="25" t="str">
        <f>IF(LEFT(Sheet1!K479,2)="0x",Sheet1!K478,IF(AND(Sheet1!L478="",Sheet1!L477=""),"",G477))</f>
        <v/>
      </c>
      <c r="H478" s="81"/>
      <c r="I478" s="43" t="str">
        <f t="shared" si="33"/>
        <v/>
      </c>
      <c r="J478" s="29" t="str">
        <f t="shared" si="36"/>
        <v/>
      </c>
      <c r="K478" s="24" t="str">
        <f>IF(Sheet1!L478="","",IF(Sheet1!L478&gt;0,ROW(),""))</f>
        <v/>
      </c>
      <c r="L478" s="24" t="str">
        <f t="shared" ca="1" si="34"/>
        <v/>
      </c>
      <c r="M478" s="47" t="str">
        <f t="shared" ca="1" si="35"/>
        <v/>
      </c>
      <c r="N478" s="48" t="str">
        <f>IF(LEFT(Sheet1!K478,2)="0x",Sheet1!K478,IF(AND(Sheet1!L478="",Sheet1!L477=""),"",N477))</f>
        <v/>
      </c>
      <c r="O478" s="46">
        <f>IF(Sheet1!L478="",0,IF(Sheet1!O478&lt;TIME(7,39,0)+Sheet1!$E$3/24,1,0))</f>
        <v>0</v>
      </c>
      <c r="P478" s="46" t="str">
        <f ca="1">IF(AND(Sheet1!L478&lt;0, Sheet1!$C$21&gt;R478,OR(Sheet1!$C$21&lt;=R479,Sheet1!L479="")),   -1*Sheet1!L478,"")</f>
        <v/>
      </c>
    </row>
    <row r="479" spans="1:16" ht="15.75" x14ac:dyDescent="0.25">
      <c r="A479" s="456" t="str">
        <f>IF(AND(R479&lt;&gt;"",R478&lt;&gt;""),(-Sheet1!L479/Sheet1!L478)^(360/(R479-R478-1))-1,"")</f>
        <v/>
      </c>
      <c r="B479" s="41" t="str">
        <f ca="1">IF(AND(Sheet1!L479&lt;0, Sheet1!$C$21&gt;R479+1,OR(Sheet1!$C$21&lt;=R480,Sheet1!L480="")),   -1*Sheet1!L479,"")</f>
        <v/>
      </c>
      <c r="C479" s="42">
        <f ca="1">IF(Sheet3!$B$5="",0,    IF(E479&lt;1,0,  IF(B479="","",     IF(OR(Sheet3!$B$6=0,INDIRECT(ADDRESS(ROW(),Sheet3!$B$3+16))="" ),D479/E479,    IF(E479&lt;0,0,    IF(OR( INDIRECT(ADDRESS(8,Sheet3!$B$3+16))="",INDIRECT(ADDRESS(ROW(),Sheet3!$B$3+17))=""),        (INDIRECT(ADDRESS(ROW(),Sheet3!$B$3+16))+B479)*Sheet3!$Q$4,         INDIRECT(ADDRESS(ROW(),Sheet3!$B$3+17))-INDIRECT(ADDRESS(ROW(),Sheet3!$B$3+16))))))))</f>
        <v>0</v>
      </c>
      <c r="D479" s="39">
        <f ca="1">IF(Sheet3!$B$5="",0,IF(B479="","",IF(E479&lt;1,0,   IF(INDIRECT(ADDRESS(ROW(), Sheet3!$B$3+17))="",        INDIRECT(ADDRESS(ROW(), Sheet3!$B$3+16))*  (1+Sheet3!$Q$4)   +B479*Sheet3!$Q$4,       INDIRECT(ADDRESS(ROW(), Sheet3!$B$3+17))))))</f>
        <v>0</v>
      </c>
      <c r="E479" s="40">
        <f ca="1">IF(AND(Sheet1!L479&lt;0,  Sheet1!$C$21&gt;R479),    IF(OR(Sheet1!$C$21&lt;=R480,  Sheet1!L480=""),       IF(AND(MOD(NOW(),1)&lt;TIME(9,39,0),Sheet1!$C$22=TODAY()),    Sheet1!$C$21-R479,     Sheet1!$C$21-R479-1),               R480-R479-1),    0)</f>
        <v>0</v>
      </c>
      <c r="F479" s="30"/>
      <c r="G479" s="25" t="str">
        <f>IF(LEFT(Sheet1!K480,2)="0x",Sheet1!K479,IF(AND(Sheet1!L479="",Sheet1!L478=""),"",G478))</f>
        <v/>
      </c>
      <c r="H479" s="81"/>
      <c r="I479" s="43" t="str">
        <f t="shared" si="33"/>
        <v/>
      </c>
      <c r="J479" s="29" t="str">
        <f t="shared" si="36"/>
        <v/>
      </c>
      <c r="K479" s="24" t="str">
        <f>IF(Sheet1!L479="","",IF(Sheet1!L479&gt;0,ROW(),""))</f>
        <v/>
      </c>
      <c r="L479" s="24" t="str">
        <f t="shared" ca="1" si="34"/>
        <v/>
      </c>
      <c r="M479" s="47" t="str">
        <f t="shared" ca="1" si="35"/>
        <v/>
      </c>
      <c r="N479" s="48" t="str">
        <f>IF(LEFT(Sheet1!K479,2)="0x",Sheet1!K479,IF(AND(Sheet1!L479="",Sheet1!L478=""),"",N478))</f>
        <v/>
      </c>
      <c r="O479" s="46">
        <f>IF(Sheet1!L479="",0,IF(Sheet1!O479&lt;TIME(7,39,0)+Sheet1!$E$3/24,1,0))</f>
        <v>0</v>
      </c>
      <c r="P479" s="46" t="str">
        <f ca="1">IF(AND(Sheet1!L479&lt;0, Sheet1!$C$21&gt;R479,OR(Sheet1!$C$21&lt;=R480,Sheet1!L480="")),   -1*Sheet1!L479,"")</f>
        <v/>
      </c>
    </row>
    <row r="480" spans="1:16" ht="15.75" x14ac:dyDescent="0.25">
      <c r="A480" s="456" t="str">
        <f>IF(AND(R480&lt;&gt;"",R479&lt;&gt;""),(-Sheet1!L480/Sheet1!L479)^(360/(R480-R479-1))-1,"")</f>
        <v/>
      </c>
      <c r="B480" s="41" t="str">
        <f ca="1">IF(AND(Sheet1!L480&lt;0, Sheet1!$C$21&gt;R480+1,OR(Sheet1!$C$21&lt;=R481,Sheet1!L481="")),   -1*Sheet1!L480,"")</f>
        <v/>
      </c>
      <c r="C480" s="42">
        <f ca="1">IF(Sheet3!$B$5="",0,    IF(E480&lt;1,0,  IF(B480="","",     IF(OR(Sheet3!$B$6=0,INDIRECT(ADDRESS(ROW(),Sheet3!$B$3+16))="" ),D480/E480,    IF(E480&lt;0,0,    IF(OR( INDIRECT(ADDRESS(8,Sheet3!$B$3+16))="",INDIRECT(ADDRESS(ROW(),Sheet3!$B$3+17))=""),        (INDIRECT(ADDRESS(ROW(),Sheet3!$B$3+16))+B480)*Sheet3!$Q$4,         INDIRECT(ADDRESS(ROW(),Sheet3!$B$3+17))-INDIRECT(ADDRESS(ROW(),Sheet3!$B$3+16))))))))</f>
        <v>0</v>
      </c>
      <c r="D480" s="39">
        <f ca="1">IF(Sheet3!$B$5="",0,IF(B480="","",IF(E480&lt;1,0,   IF(INDIRECT(ADDRESS(ROW(), Sheet3!$B$3+17))="",        INDIRECT(ADDRESS(ROW(), Sheet3!$B$3+16))*  (1+Sheet3!$Q$4)   +B480*Sheet3!$Q$4,       INDIRECT(ADDRESS(ROW(), Sheet3!$B$3+17))))))</f>
        <v>0</v>
      </c>
      <c r="E480" s="40">
        <f ca="1">IF(AND(Sheet1!L480&lt;0,  Sheet1!$C$21&gt;R480),    IF(OR(Sheet1!$C$21&lt;=R481,  Sheet1!L481=""),       IF(AND(MOD(NOW(),1)&lt;TIME(9,39,0),Sheet1!$C$22=TODAY()),    Sheet1!$C$21-R480,     Sheet1!$C$21-R480-1),               R481-R480-1),    0)</f>
        <v>0</v>
      </c>
      <c r="F480" s="30"/>
      <c r="G480" s="25" t="str">
        <f>IF(LEFT(Sheet1!K481,2)="0x",Sheet1!K480,IF(AND(Sheet1!L480="",Sheet1!L479=""),"",G479))</f>
        <v/>
      </c>
      <c r="H480" s="81"/>
      <c r="I480" s="43" t="str">
        <f t="shared" si="33"/>
        <v/>
      </c>
      <c r="J480" s="29" t="str">
        <f t="shared" si="36"/>
        <v/>
      </c>
      <c r="K480" s="24" t="str">
        <f>IF(Sheet1!L480="","",IF(Sheet1!L480&gt;0,ROW(),""))</f>
        <v/>
      </c>
      <c r="L480" s="24" t="str">
        <f t="shared" ca="1" si="34"/>
        <v/>
      </c>
      <c r="M480" s="47" t="str">
        <f t="shared" ca="1" si="35"/>
        <v/>
      </c>
      <c r="N480" s="48" t="str">
        <f>IF(LEFT(Sheet1!K480,2)="0x",Sheet1!K480,IF(AND(Sheet1!L480="",Sheet1!L479=""),"",N479))</f>
        <v/>
      </c>
      <c r="O480" s="46">
        <f>IF(Sheet1!L480="",0,IF(Sheet1!O480&lt;TIME(7,39,0)+Sheet1!$E$3/24,1,0))</f>
        <v>0</v>
      </c>
      <c r="P480" s="46" t="str">
        <f ca="1">IF(AND(Sheet1!L480&lt;0, Sheet1!$C$21&gt;R480,OR(Sheet1!$C$21&lt;=R481,Sheet1!L481="")),   -1*Sheet1!L480,"")</f>
        <v/>
      </c>
    </row>
    <row r="481" spans="1:16" ht="15.75" x14ac:dyDescent="0.25">
      <c r="A481" s="456" t="str">
        <f>IF(AND(R481&lt;&gt;"",R480&lt;&gt;""),(-Sheet1!L481/Sheet1!L480)^(360/(R481-R480-1))-1,"")</f>
        <v/>
      </c>
      <c r="B481" s="41" t="str">
        <f ca="1">IF(AND(Sheet1!L481&lt;0, Sheet1!$C$21&gt;R481+1,OR(Sheet1!$C$21&lt;=R482,Sheet1!L482="")),   -1*Sheet1!L481,"")</f>
        <v/>
      </c>
      <c r="C481" s="42">
        <f ca="1">IF(Sheet3!$B$5="",0,    IF(E481&lt;1,0,  IF(B481="","",     IF(OR(Sheet3!$B$6=0,INDIRECT(ADDRESS(ROW(),Sheet3!$B$3+16))="" ),D481/E481,    IF(E481&lt;0,0,    IF(OR( INDIRECT(ADDRESS(8,Sheet3!$B$3+16))="",INDIRECT(ADDRESS(ROW(),Sheet3!$B$3+17))=""),        (INDIRECT(ADDRESS(ROW(),Sheet3!$B$3+16))+B481)*Sheet3!$Q$4,         INDIRECT(ADDRESS(ROW(),Sheet3!$B$3+17))-INDIRECT(ADDRESS(ROW(),Sheet3!$B$3+16))))))))</f>
        <v>0</v>
      </c>
      <c r="D481" s="39">
        <f ca="1">IF(Sheet3!$B$5="",0,IF(B481="","",IF(E481&lt;1,0,   IF(INDIRECT(ADDRESS(ROW(), Sheet3!$B$3+17))="",        INDIRECT(ADDRESS(ROW(), Sheet3!$B$3+16))*  (1+Sheet3!$Q$4)   +B481*Sheet3!$Q$4,       INDIRECT(ADDRESS(ROW(), Sheet3!$B$3+17))))))</f>
        <v>0</v>
      </c>
      <c r="E481" s="40">
        <f ca="1">IF(AND(Sheet1!L481&lt;0,  Sheet1!$C$21&gt;R481),    IF(OR(Sheet1!$C$21&lt;=R482,  Sheet1!L482=""),       IF(AND(MOD(NOW(),1)&lt;TIME(9,39,0),Sheet1!$C$22=TODAY()),    Sheet1!$C$21-R481,     Sheet1!$C$21-R481-1),               R482-R481-1),    0)</f>
        <v>0</v>
      </c>
      <c r="F481" s="30"/>
      <c r="G481" s="25" t="str">
        <f>IF(LEFT(Sheet1!K482,2)="0x",Sheet1!K481,IF(AND(Sheet1!L481="",Sheet1!L480=""),"",G480))</f>
        <v/>
      </c>
      <c r="H481" s="81"/>
      <c r="I481" s="43" t="str">
        <f t="shared" si="33"/>
        <v/>
      </c>
      <c r="J481" s="29" t="str">
        <f t="shared" si="36"/>
        <v/>
      </c>
      <c r="K481" s="24" t="str">
        <f>IF(Sheet1!L481="","",IF(Sheet1!L481&gt;0,ROW(),""))</f>
        <v/>
      </c>
      <c r="L481" s="24" t="str">
        <f t="shared" ca="1" si="34"/>
        <v/>
      </c>
      <c r="M481" s="47" t="str">
        <f t="shared" ca="1" si="35"/>
        <v/>
      </c>
      <c r="N481" s="48" t="str">
        <f>IF(LEFT(Sheet1!K481,2)="0x",Sheet1!K481,IF(AND(Sheet1!L481="",Sheet1!L480=""),"",N480))</f>
        <v/>
      </c>
      <c r="O481" s="46">
        <f>IF(Sheet1!L481="",0,IF(Sheet1!O481&lt;TIME(7,39,0)+Sheet1!$E$3/24,1,0))</f>
        <v>0</v>
      </c>
      <c r="P481" s="46" t="str">
        <f ca="1">IF(AND(Sheet1!L481&lt;0, Sheet1!$C$21&gt;R481,OR(Sheet1!$C$21&lt;=R482,Sheet1!L482="")),   -1*Sheet1!L481,"")</f>
        <v/>
      </c>
    </row>
    <row r="482" spans="1:16" ht="15.75" x14ac:dyDescent="0.25">
      <c r="A482" s="456" t="str">
        <f>IF(AND(R482&lt;&gt;"",R481&lt;&gt;""),(-Sheet1!L482/Sheet1!L481)^(360/(R482-R481-1))-1,"")</f>
        <v/>
      </c>
      <c r="B482" s="41" t="str">
        <f ca="1">IF(AND(Sheet1!L482&lt;0, Sheet1!$C$21&gt;R482+1,OR(Sheet1!$C$21&lt;=R483,Sheet1!L483="")),   -1*Sheet1!L482,"")</f>
        <v/>
      </c>
      <c r="C482" s="42">
        <f ca="1">IF(Sheet3!$B$5="",0,    IF(E482&lt;1,0,  IF(B482="","",     IF(OR(Sheet3!$B$6=0,INDIRECT(ADDRESS(ROW(),Sheet3!$B$3+16))="" ),D482/E482,    IF(E482&lt;0,0,    IF(OR( INDIRECT(ADDRESS(8,Sheet3!$B$3+16))="",INDIRECT(ADDRESS(ROW(),Sheet3!$B$3+17))=""),        (INDIRECT(ADDRESS(ROW(),Sheet3!$B$3+16))+B482)*Sheet3!$Q$4,         INDIRECT(ADDRESS(ROW(),Sheet3!$B$3+17))-INDIRECT(ADDRESS(ROW(),Sheet3!$B$3+16))))))))</f>
        <v>0</v>
      </c>
      <c r="D482" s="39">
        <f ca="1">IF(Sheet3!$B$5="",0,IF(B482="","",IF(E482&lt;1,0,   IF(INDIRECT(ADDRESS(ROW(), Sheet3!$B$3+17))="",        INDIRECT(ADDRESS(ROW(), Sheet3!$B$3+16))*  (1+Sheet3!$Q$4)   +B482*Sheet3!$Q$4,       INDIRECT(ADDRESS(ROW(), Sheet3!$B$3+17))))))</f>
        <v>0</v>
      </c>
      <c r="E482" s="40">
        <f ca="1">IF(AND(Sheet1!L482&lt;0,  Sheet1!$C$21&gt;R482),    IF(OR(Sheet1!$C$21&lt;=R483,  Sheet1!L483=""),       IF(AND(MOD(NOW(),1)&lt;TIME(9,39,0),Sheet1!$C$22=TODAY()),    Sheet1!$C$21-R482,     Sheet1!$C$21-R482-1),               R483-R482-1),    0)</f>
        <v>0</v>
      </c>
      <c r="F482" s="30"/>
      <c r="G482" s="25" t="str">
        <f>IF(LEFT(Sheet1!K483,2)="0x",Sheet1!K482,IF(AND(Sheet1!L482="",Sheet1!L481=""),"",G481))</f>
        <v/>
      </c>
      <c r="H482" s="81"/>
      <c r="I482" s="43" t="str">
        <f t="shared" si="33"/>
        <v/>
      </c>
      <c r="J482" s="29" t="str">
        <f t="shared" si="36"/>
        <v/>
      </c>
      <c r="K482" s="24" t="str">
        <f>IF(Sheet1!L482="","",IF(Sheet1!L482&gt;0,ROW(),""))</f>
        <v/>
      </c>
      <c r="L482" s="24" t="str">
        <f t="shared" ca="1" si="34"/>
        <v/>
      </c>
      <c r="M482" s="47" t="str">
        <f t="shared" ca="1" si="35"/>
        <v/>
      </c>
      <c r="N482" s="48" t="str">
        <f>IF(LEFT(Sheet1!K482,2)="0x",Sheet1!K482,IF(AND(Sheet1!L482="",Sheet1!L481=""),"",N481))</f>
        <v/>
      </c>
      <c r="O482" s="46">
        <f>IF(Sheet1!L482="",0,IF(Sheet1!O482&lt;TIME(7,39,0)+Sheet1!$E$3/24,1,0))</f>
        <v>0</v>
      </c>
      <c r="P482" s="46" t="str">
        <f ca="1">IF(AND(Sheet1!L482&lt;0, Sheet1!$C$21&gt;R482,OR(Sheet1!$C$21&lt;=R483,Sheet1!L483="")),   -1*Sheet1!L482,"")</f>
        <v/>
      </c>
    </row>
    <row r="483" spans="1:16" ht="15.75" x14ac:dyDescent="0.25">
      <c r="A483" s="456" t="str">
        <f>IF(AND(R483&lt;&gt;"",R482&lt;&gt;""),(-Sheet1!L483/Sheet1!L482)^(360/(R483-R482-1))-1,"")</f>
        <v/>
      </c>
      <c r="B483" s="41" t="str">
        <f ca="1">IF(AND(Sheet1!L483&lt;0, Sheet1!$C$21&gt;R483+1,OR(Sheet1!$C$21&lt;=R484,Sheet1!L484="")),   -1*Sheet1!L483,"")</f>
        <v/>
      </c>
      <c r="C483" s="42">
        <f ca="1">IF(Sheet3!$B$5="",0,    IF(E483&lt;1,0,  IF(B483="","",     IF(OR(Sheet3!$B$6=0,INDIRECT(ADDRESS(ROW(),Sheet3!$B$3+16))="" ),D483/E483,    IF(E483&lt;0,0,    IF(OR( INDIRECT(ADDRESS(8,Sheet3!$B$3+16))="",INDIRECT(ADDRESS(ROW(),Sheet3!$B$3+17))=""),        (INDIRECT(ADDRESS(ROW(),Sheet3!$B$3+16))+B483)*Sheet3!$Q$4,         INDIRECT(ADDRESS(ROW(),Sheet3!$B$3+17))-INDIRECT(ADDRESS(ROW(),Sheet3!$B$3+16))))))))</f>
        <v>0</v>
      </c>
      <c r="D483" s="39">
        <f ca="1">IF(Sheet3!$B$5="",0,IF(B483="","",IF(E483&lt;1,0,   IF(INDIRECT(ADDRESS(ROW(), Sheet3!$B$3+17))="",        INDIRECT(ADDRESS(ROW(), Sheet3!$B$3+16))*  (1+Sheet3!$Q$4)   +B483*Sheet3!$Q$4,       INDIRECT(ADDRESS(ROW(), Sheet3!$B$3+17))))))</f>
        <v>0</v>
      </c>
      <c r="E483" s="40">
        <f ca="1">IF(AND(Sheet1!L483&lt;0,  Sheet1!$C$21&gt;R483),    IF(OR(Sheet1!$C$21&lt;=R484,  Sheet1!L484=""),       IF(AND(MOD(NOW(),1)&lt;TIME(9,39,0),Sheet1!$C$22=TODAY()),    Sheet1!$C$21-R483,     Sheet1!$C$21-R483-1),               R484-R483-1),    0)</f>
        <v>0</v>
      </c>
      <c r="F483" s="30"/>
      <c r="G483" s="25" t="str">
        <f>IF(LEFT(Sheet1!K484,2)="0x",Sheet1!K483,IF(AND(Sheet1!L483="",Sheet1!L482=""),"",G482))</f>
        <v/>
      </c>
      <c r="H483" s="81"/>
      <c r="I483" s="43" t="str">
        <f t="shared" si="33"/>
        <v/>
      </c>
      <c r="J483" s="29" t="str">
        <f t="shared" si="36"/>
        <v/>
      </c>
      <c r="K483" s="24" t="str">
        <f>IF(Sheet1!L483="","",IF(Sheet1!L483&gt;0,ROW(),""))</f>
        <v/>
      </c>
      <c r="L483" s="24" t="str">
        <f t="shared" ca="1" si="34"/>
        <v/>
      </c>
      <c r="M483" s="47" t="str">
        <f t="shared" ca="1" si="35"/>
        <v/>
      </c>
      <c r="N483" s="48" t="str">
        <f>IF(LEFT(Sheet1!K483,2)="0x",Sheet1!K483,IF(AND(Sheet1!L483="",Sheet1!L482=""),"",N482))</f>
        <v/>
      </c>
      <c r="O483" s="46">
        <f>IF(Sheet1!L483="",0,IF(Sheet1!O483&lt;TIME(7,39,0)+Sheet1!$E$3/24,1,0))</f>
        <v>0</v>
      </c>
      <c r="P483" s="46" t="str">
        <f ca="1">IF(AND(Sheet1!L483&lt;0, Sheet1!$C$21&gt;R483,OR(Sheet1!$C$21&lt;=R484,Sheet1!L484="")),   -1*Sheet1!L483,"")</f>
        <v/>
      </c>
    </row>
    <row r="484" spans="1:16" ht="15.75" x14ac:dyDescent="0.25">
      <c r="A484" s="456" t="str">
        <f>IF(AND(R484&lt;&gt;"",R483&lt;&gt;""),(-Sheet1!L484/Sheet1!L483)^(360/(R484-R483-1))-1,"")</f>
        <v/>
      </c>
      <c r="B484" s="41" t="str">
        <f ca="1">IF(AND(Sheet1!L484&lt;0, Sheet1!$C$21&gt;R484+1,OR(Sheet1!$C$21&lt;=R485,Sheet1!L485="")),   -1*Sheet1!L484,"")</f>
        <v/>
      </c>
      <c r="C484" s="42">
        <f ca="1">IF(Sheet3!$B$5="",0,    IF(E484&lt;1,0,  IF(B484="","",     IF(OR(Sheet3!$B$6=0,INDIRECT(ADDRESS(ROW(),Sheet3!$B$3+16))="" ),D484/E484,    IF(E484&lt;0,0,    IF(OR( INDIRECT(ADDRESS(8,Sheet3!$B$3+16))="",INDIRECT(ADDRESS(ROW(),Sheet3!$B$3+17))=""),        (INDIRECT(ADDRESS(ROW(),Sheet3!$B$3+16))+B484)*Sheet3!$Q$4,         INDIRECT(ADDRESS(ROW(),Sheet3!$B$3+17))-INDIRECT(ADDRESS(ROW(),Sheet3!$B$3+16))))))))</f>
        <v>0</v>
      </c>
      <c r="D484" s="39">
        <f ca="1">IF(Sheet3!$B$5="",0,IF(B484="","",IF(E484&lt;1,0,   IF(INDIRECT(ADDRESS(ROW(), Sheet3!$B$3+17))="",        INDIRECT(ADDRESS(ROW(), Sheet3!$B$3+16))*  (1+Sheet3!$Q$4)   +B484*Sheet3!$Q$4,       INDIRECT(ADDRESS(ROW(), Sheet3!$B$3+17))))))</f>
        <v>0</v>
      </c>
      <c r="E484" s="40">
        <f ca="1">IF(AND(Sheet1!L484&lt;0,  Sheet1!$C$21&gt;R484),    IF(OR(Sheet1!$C$21&lt;=R485,  Sheet1!L485=""),       IF(AND(MOD(NOW(),1)&lt;TIME(9,39,0),Sheet1!$C$22=TODAY()),    Sheet1!$C$21-R484,     Sheet1!$C$21-R484-1),               R485-R484-1),    0)</f>
        <v>0</v>
      </c>
      <c r="F484" s="30"/>
      <c r="G484" s="25" t="str">
        <f>IF(LEFT(Sheet1!K485,2)="0x",Sheet1!K484,IF(AND(Sheet1!L484="",Sheet1!L483=""),"",G483))</f>
        <v/>
      </c>
      <c r="H484" s="81"/>
      <c r="I484" s="43" t="str">
        <f t="shared" si="33"/>
        <v/>
      </c>
      <c r="J484" s="29" t="str">
        <f t="shared" si="36"/>
        <v/>
      </c>
      <c r="K484" s="24" t="str">
        <f>IF(Sheet1!L484="","",IF(Sheet1!L484&gt;0,ROW(),""))</f>
        <v/>
      </c>
      <c r="L484" s="24" t="str">
        <f t="shared" ca="1" si="34"/>
        <v/>
      </c>
      <c r="M484" s="47" t="str">
        <f t="shared" ca="1" si="35"/>
        <v/>
      </c>
      <c r="N484" s="48" t="str">
        <f>IF(LEFT(Sheet1!K484,2)="0x",Sheet1!K484,IF(AND(Sheet1!L484="",Sheet1!L483=""),"",N483))</f>
        <v/>
      </c>
      <c r="O484" s="46">
        <f>IF(Sheet1!L484="",0,IF(Sheet1!O484&lt;TIME(7,39,0)+Sheet1!$E$3/24,1,0))</f>
        <v>0</v>
      </c>
      <c r="P484" s="46" t="str">
        <f ca="1">IF(AND(Sheet1!L484&lt;0, Sheet1!$C$21&gt;R484,OR(Sheet1!$C$21&lt;=R485,Sheet1!L485="")),   -1*Sheet1!L484,"")</f>
        <v/>
      </c>
    </row>
    <row r="485" spans="1:16" ht="15.75" x14ac:dyDescent="0.25">
      <c r="A485" s="456" t="str">
        <f>IF(AND(R485&lt;&gt;"",R484&lt;&gt;""),(-Sheet1!L485/Sheet1!L484)^(360/(R485-R484-1))-1,"")</f>
        <v/>
      </c>
      <c r="B485" s="41" t="str">
        <f ca="1">IF(AND(Sheet1!L485&lt;0, Sheet1!$C$21&gt;R485+1,OR(Sheet1!$C$21&lt;=R486,Sheet1!L486="")),   -1*Sheet1!L485,"")</f>
        <v/>
      </c>
      <c r="C485" s="42">
        <f ca="1">IF(Sheet3!$B$5="",0,    IF(E485&lt;1,0,  IF(B485="","",     IF(OR(Sheet3!$B$6=0,INDIRECT(ADDRESS(ROW(),Sheet3!$B$3+16))="" ),D485/E485,    IF(E485&lt;0,0,    IF(OR( INDIRECT(ADDRESS(8,Sheet3!$B$3+16))="",INDIRECT(ADDRESS(ROW(),Sheet3!$B$3+17))=""),        (INDIRECT(ADDRESS(ROW(),Sheet3!$B$3+16))+B485)*Sheet3!$Q$4,         INDIRECT(ADDRESS(ROW(),Sheet3!$B$3+17))-INDIRECT(ADDRESS(ROW(),Sheet3!$B$3+16))))))))</f>
        <v>0</v>
      </c>
      <c r="D485" s="39">
        <f ca="1">IF(Sheet3!$B$5="",0,IF(B485="","",IF(E485&lt;1,0,   IF(INDIRECT(ADDRESS(ROW(), Sheet3!$B$3+17))="",        INDIRECT(ADDRESS(ROW(), Sheet3!$B$3+16))*  (1+Sheet3!$Q$4)   +B485*Sheet3!$Q$4,       INDIRECT(ADDRESS(ROW(), Sheet3!$B$3+17))))))</f>
        <v>0</v>
      </c>
      <c r="E485" s="40">
        <f ca="1">IF(AND(Sheet1!L485&lt;0,  Sheet1!$C$21&gt;R485),    IF(OR(Sheet1!$C$21&lt;=R486,  Sheet1!L486=""),       IF(AND(MOD(NOW(),1)&lt;TIME(9,39,0),Sheet1!$C$22=TODAY()),    Sheet1!$C$21-R485,     Sheet1!$C$21-R485-1),               R486-R485-1),    0)</f>
        <v>0</v>
      </c>
      <c r="F485" s="30"/>
      <c r="G485" s="25" t="str">
        <f>IF(LEFT(Sheet1!K486,2)="0x",Sheet1!K485,IF(AND(Sheet1!L485="",Sheet1!L484=""),"",G484))</f>
        <v/>
      </c>
      <c r="H485" s="81"/>
      <c r="I485" s="43" t="str">
        <f t="shared" si="33"/>
        <v/>
      </c>
      <c r="J485" s="29" t="str">
        <f t="shared" si="36"/>
        <v/>
      </c>
      <c r="K485" s="24" t="str">
        <f>IF(Sheet1!L485="","",IF(Sheet1!L485&gt;0,ROW(),""))</f>
        <v/>
      </c>
      <c r="L485" s="24" t="str">
        <f t="shared" ca="1" si="34"/>
        <v/>
      </c>
      <c r="M485" s="47" t="str">
        <f t="shared" ca="1" si="35"/>
        <v/>
      </c>
      <c r="N485" s="48" t="str">
        <f>IF(LEFT(Sheet1!K485,2)="0x",Sheet1!K485,IF(AND(Sheet1!L485="",Sheet1!L484=""),"",N484))</f>
        <v/>
      </c>
      <c r="O485" s="46">
        <f>IF(Sheet1!L485="",0,IF(Sheet1!O485&lt;TIME(7,39,0)+Sheet1!$E$3/24,1,0))</f>
        <v>0</v>
      </c>
      <c r="P485" s="46" t="str">
        <f ca="1">IF(AND(Sheet1!L485&lt;0, Sheet1!$C$21&gt;R485,OR(Sheet1!$C$21&lt;=R486,Sheet1!L486="")),   -1*Sheet1!L485,"")</f>
        <v/>
      </c>
    </row>
    <row r="486" spans="1:16" ht="15.75" x14ac:dyDescent="0.25">
      <c r="A486" s="456" t="str">
        <f>IF(AND(R486&lt;&gt;"",R485&lt;&gt;""),(-Sheet1!L486/Sheet1!L485)^(360/(R486-R485-1))-1,"")</f>
        <v/>
      </c>
      <c r="B486" s="41" t="str">
        <f ca="1">IF(AND(Sheet1!L486&lt;0, Sheet1!$C$21&gt;R486+1,OR(Sheet1!$C$21&lt;=R487,Sheet1!L487="")),   -1*Sheet1!L486,"")</f>
        <v/>
      </c>
      <c r="C486" s="42">
        <f ca="1">IF(Sheet3!$B$5="",0,    IF(E486&lt;1,0,  IF(B486="","",     IF(OR(Sheet3!$B$6=0,INDIRECT(ADDRESS(ROW(),Sheet3!$B$3+16))="" ),D486/E486,    IF(E486&lt;0,0,    IF(OR( INDIRECT(ADDRESS(8,Sheet3!$B$3+16))="",INDIRECT(ADDRESS(ROW(),Sheet3!$B$3+17))=""),        (INDIRECT(ADDRESS(ROW(),Sheet3!$B$3+16))+B486)*Sheet3!$Q$4,         INDIRECT(ADDRESS(ROW(),Sheet3!$B$3+17))-INDIRECT(ADDRESS(ROW(),Sheet3!$B$3+16))))))))</f>
        <v>0</v>
      </c>
      <c r="D486" s="39">
        <f ca="1">IF(Sheet3!$B$5="",0,IF(B486="","",IF(E486&lt;1,0,   IF(INDIRECT(ADDRESS(ROW(), Sheet3!$B$3+17))="",        INDIRECT(ADDRESS(ROW(), Sheet3!$B$3+16))*  (1+Sheet3!$Q$4)   +B486*Sheet3!$Q$4,       INDIRECT(ADDRESS(ROW(), Sheet3!$B$3+17))))))</f>
        <v>0</v>
      </c>
      <c r="E486" s="40">
        <f ca="1">IF(AND(Sheet1!L486&lt;0,  Sheet1!$C$21&gt;R486),    IF(OR(Sheet1!$C$21&lt;=R487,  Sheet1!L487=""),       IF(AND(MOD(NOW(),1)&lt;TIME(9,39,0),Sheet1!$C$22=TODAY()),    Sheet1!$C$21-R486,     Sheet1!$C$21-R486-1),               R487-R486-1),    0)</f>
        <v>0</v>
      </c>
      <c r="F486" s="30"/>
      <c r="G486" s="25" t="str">
        <f>IF(LEFT(Sheet1!K487,2)="0x",Sheet1!K486,IF(AND(Sheet1!L486="",Sheet1!L485=""),"",G485))</f>
        <v/>
      </c>
      <c r="H486" s="81"/>
      <c r="I486" s="43" t="str">
        <f t="shared" ref="I486:I500" si="37">IFERROR(SMALL(K$6:K$117,ROW(Q449)),"")</f>
        <v/>
      </c>
      <c r="J486" s="29" t="str">
        <f t="shared" si="36"/>
        <v/>
      </c>
      <c r="K486" s="24" t="str">
        <f>IF(Sheet1!L486="","",IF(Sheet1!L486&gt;0,ROW(),""))</f>
        <v/>
      </c>
      <c r="L486" s="24" t="str">
        <f t="shared" ca="1" si="34"/>
        <v/>
      </c>
      <c r="M486" s="47" t="str">
        <f t="shared" ca="1" si="35"/>
        <v/>
      </c>
      <c r="N486" s="48" t="str">
        <f>IF(LEFT(Sheet1!K486,2)="0x",Sheet1!K486,IF(AND(Sheet1!L486="",Sheet1!L485=""),"",N485))</f>
        <v/>
      </c>
      <c r="O486" s="46">
        <f>IF(Sheet1!L486="",0,IF(Sheet1!O486&lt;TIME(7,39,0)+Sheet1!$E$3/24,1,0))</f>
        <v>0</v>
      </c>
      <c r="P486" s="46" t="str">
        <f ca="1">IF(AND(Sheet1!L486&lt;0, Sheet1!$C$21&gt;R486,OR(Sheet1!$C$21&lt;=R487,Sheet1!L487="")),   -1*Sheet1!L486,"")</f>
        <v/>
      </c>
    </row>
    <row r="487" spans="1:16" ht="15.75" x14ac:dyDescent="0.25">
      <c r="A487" s="456" t="str">
        <f>IF(AND(R487&lt;&gt;"",R486&lt;&gt;""),(-Sheet1!L487/Sheet1!L486)^(360/(R487-R486-1))-1,"")</f>
        <v/>
      </c>
      <c r="B487" s="41" t="str">
        <f ca="1">IF(AND(Sheet1!L487&lt;0, Sheet1!$C$21&gt;R487+1,OR(Sheet1!$C$21&lt;=R488,Sheet1!L488="")),   -1*Sheet1!L487,"")</f>
        <v/>
      </c>
      <c r="C487" s="42">
        <f ca="1">IF(Sheet3!$B$5="",0,    IF(E487&lt;1,0,  IF(B487="","",     IF(OR(Sheet3!$B$6=0,INDIRECT(ADDRESS(ROW(),Sheet3!$B$3+16))="" ),D487/E487,    IF(E487&lt;0,0,    IF(OR( INDIRECT(ADDRESS(8,Sheet3!$B$3+16))="",INDIRECT(ADDRESS(ROW(),Sheet3!$B$3+17))=""),        (INDIRECT(ADDRESS(ROW(),Sheet3!$B$3+16))+B487)*Sheet3!$Q$4,         INDIRECT(ADDRESS(ROW(),Sheet3!$B$3+17))-INDIRECT(ADDRESS(ROW(),Sheet3!$B$3+16))))))))</f>
        <v>0</v>
      </c>
      <c r="D487" s="39">
        <f ca="1">IF(Sheet3!$B$5="",0,IF(B487="","",IF(E487&lt;1,0,   IF(INDIRECT(ADDRESS(ROW(), Sheet3!$B$3+17))="",        INDIRECT(ADDRESS(ROW(), Sheet3!$B$3+16))*  (1+Sheet3!$Q$4)   +B487*Sheet3!$Q$4,       INDIRECT(ADDRESS(ROW(), Sheet3!$B$3+17))))))</f>
        <v>0</v>
      </c>
      <c r="E487" s="40">
        <f ca="1">IF(AND(Sheet1!L487&lt;0,  Sheet1!$C$21&gt;R487),    IF(OR(Sheet1!$C$21&lt;=R488,  Sheet1!L488=""),       IF(AND(MOD(NOW(),1)&lt;TIME(9,39,0),Sheet1!$C$22=TODAY()),    Sheet1!$C$21-R487,     Sheet1!$C$21-R487-1),               R488-R487-1),    0)</f>
        <v>0</v>
      </c>
      <c r="F487" s="30"/>
      <c r="G487" s="25" t="str">
        <f>IF(LEFT(Sheet1!K488,2)="0x",Sheet1!K487,IF(AND(Sheet1!L487="",Sheet1!L486=""),"",G486))</f>
        <v/>
      </c>
      <c r="H487" s="81"/>
      <c r="I487" s="43" t="str">
        <f t="shared" si="37"/>
        <v/>
      </c>
      <c r="J487" s="29" t="str">
        <f t="shared" si="36"/>
        <v/>
      </c>
      <c r="K487" s="24" t="str">
        <f>IF(Sheet1!L487="","",IF(Sheet1!L487&gt;0,ROW(),""))</f>
        <v/>
      </c>
      <c r="L487" s="24" t="str">
        <f t="shared" ca="1" si="34"/>
        <v/>
      </c>
      <c r="M487" s="47" t="str">
        <f t="shared" ca="1" si="35"/>
        <v/>
      </c>
      <c r="N487" s="48" t="str">
        <f>IF(LEFT(Sheet1!K487,2)="0x",Sheet1!K487,IF(AND(Sheet1!L487="",Sheet1!L486=""),"",N486))</f>
        <v/>
      </c>
      <c r="O487" s="46">
        <f>IF(Sheet1!L487="",0,IF(Sheet1!O487&lt;TIME(7,39,0)+Sheet1!$E$3/24,1,0))</f>
        <v>0</v>
      </c>
      <c r="P487" s="46" t="str">
        <f ca="1">IF(AND(Sheet1!L487&lt;0, Sheet1!$C$21&gt;R487,OR(Sheet1!$C$21&lt;=R488,Sheet1!L488="")),   -1*Sheet1!L487,"")</f>
        <v/>
      </c>
    </row>
    <row r="488" spans="1:16" ht="15.75" x14ac:dyDescent="0.25">
      <c r="A488" s="456" t="str">
        <f>IF(AND(R488&lt;&gt;"",R487&lt;&gt;""),(-Sheet1!L488/Sheet1!L487)^(360/(R488-R487-1))-1,"")</f>
        <v/>
      </c>
      <c r="B488" s="41" t="str">
        <f ca="1">IF(AND(Sheet1!L488&lt;0, Sheet1!$C$21&gt;R488+1,OR(Sheet1!$C$21&lt;=R489,Sheet1!L489="")),   -1*Sheet1!L488,"")</f>
        <v/>
      </c>
      <c r="C488" s="42">
        <f ca="1">IF(Sheet3!$B$5="",0,    IF(E488&lt;1,0,  IF(B488="","",     IF(OR(Sheet3!$B$6=0,INDIRECT(ADDRESS(ROW(),Sheet3!$B$3+16))="" ),D488/E488,    IF(E488&lt;0,0,    IF(OR( INDIRECT(ADDRESS(8,Sheet3!$B$3+16))="",INDIRECT(ADDRESS(ROW(),Sheet3!$B$3+17))=""),        (INDIRECT(ADDRESS(ROW(),Sheet3!$B$3+16))+B488)*Sheet3!$Q$4,         INDIRECT(ADDRESS(ROW(),Sheet3!$B$3+17))-INDIRECT(ADDRESS(ROW(),Sheet3!$B$3+16))))))))</f>
        <v>0</v>
      </c>
      <c r="D488" s="39">
        <f ca="1">IF(Sheet3!$B$5="",0,IF(B488="","",IF(E488&lt;1,0,   IF(INDIRECT(ADDRESS(ROW(), Sheet3!$B$3+17))="",        INDIRECT(ADDRESS(ROW(), Sheet3!$B$3+16))*  (1+Sheet3!$Q$4)   +B488*Sheet3!$Q$4,       INDIRECT(ADDRESS(ROW(), Sheet3!$B$3+17))))))</f>
        <v>0</v>
      </c>
      <c r="E488" s="40">
        <f ca="1">IF(AND(Sheet1!L488&lt;0,  Sheet1!$C$21&gt;R488),    IF(OR(Sheet1!$C$21&lt;=R489,  Sheet1!L489=""),       IF(AND(MOD(NOW(),1)&lt;TIME(9,39,0),Sheet1!$C$22=TODAY()),    Sheet1!$C$21-R488,     Sheet1!$C$21-R488-1),               R489-R488-1),    0)</f>
        <v>0</v>
      </c>
      <c r="F488" s="30"/>
      <c r="G488" s="25" t="str">
        <f>IF(LEFT(Sheet1!K489,2)="0x",Sheet1!K488,IF(AND(Sheet1!L488="",Sheet1!L487=""),"",G487))</f>
        <v/>
      </c>
      <c r="H488" s="81"/>
      <c r="I488" s="43" t="str">
        <f t="shared" si="37"/>
        <v/>
      </c>
      <c r="J488" s="29" t="str">
        <f t="shared" si="36"/>
        <v/>
      </c>
      <c r="K488" s="24" t="str">
        <f>IF(Sheet1!L488="","",IF(Sheet1!L488&gt;0,ROW(),""))</f>
        <v/>
      </c>
      <c r="L488" s="24" t="str">
        <f t="shared" ca="1" si="34"/>
        <v/>
      </c>
      <c r="M488" s="47" t="str">
        <f t="shared" ca="1" si="35"/>
        <v/>
      </c>
      <c r="N488" s="48" t="str">
        <f>IF(LEFT(Sheet1!K488,2)="0x",Sheet1!K488,IF(AND(Sheet1!L488="",Sheet1!L487=""),"",N487))</f>
        <v/>
      </c>
      <c r="O488" s="46">
        <f>IF(Sheet1!L488="",0,IF(Sheet1!O488&lt;TIME(7,39,0)+Sheet1!$E$3/24,1,0))</f>
        <v>0</v>
      </c>
      <c r="P488" s="46" t="str">
        <f ca="1">IF(AND(Sheet1!L488&lt;0, Sheet1!$C$21&gt;R488,OR(Sheet1!$C$21&lt;=R489,Sheet1!L489="")),   -1*Sheet1!L488,"")</f>
        <v/>
      </c>
    </row>
    <row r="489" spans="1:16" ht="15.75" x14ac:dyDescent="0.25">
      <c r="A489" s="456" t="str">
        <f>IF(AND(R489&lt;&gt;"",R488&lt;&gt;""),(-Sheet1!L489/Sheet1!L488)^(360/(R489-R488-1))-1,"")</f>
        <v/>
      </c>
      <c r="B489" s="41" t="str">
        <f ca="1">IF(AND(Sheet1!L489&lt;0, Sheet1!$C$21&gt;R489+1,OR(Sheet1!$C$21&lt;=R490,Sheet1!L490="")),   -1*Sheet1!L489,"")</f>
        <v/>
      </c>
      <c r="C489" s="42">
        <f ca="1">IF(Sheet3!$B$5="",0,    IF(E489&lt;1,0,  IF(B489="","",     IF(OR(Sheet3!$B$6=0,INDIRECT(ADDRESS(ROW(),Sheet3!$B$3+16))="" ),D489/E489,    IF(E489&lt;0,0,    IF(OR( INDIRECT(ADDRESS(8,Sheet3!$B$3+16))="",INDIRECT(ADDRESS(ROW(),Sheet3!$B$3+17))=""),        (INDIRECT(ADDRESS(ROW(),Sheet3!$B$3+16))+B489)*Sheet3!$Q$4,         INDIRECT(ADDRESS(ROW(),Sheet3!$B$3+17))-INDIRECT(ADDRESS(ROW(),Sheet3!$B$3+16))))))))</f>
        <v>0</v>
      </c>
      <c r="D489" s="39">
        <f ca="1">IF(Sheet3!$B$5="",0,IF(B489="","",IF(E489&lt;1,0,   IF(INDIRECT(ADDRESS(ROW(), Sheet3!$B$3+17))="",        INDIRECT(ADDRESS(ROW(), Sheet3!$B$3+16))*  (1+Sheet3!$Q$4)   +B489*Sheet3!$Q$4,       INDIRECT(ADDRESS(ROW(), Sheet3!$B$3+17))))))</f>
        <v>0</v>
      </c>
      <c r="E489" s="40">
        <f ca="1">IF(AND(Sheet1!L489&lt;0,  Sheet1!$C$21&gt;R489),    IF(OR(Sheet1!$C$21&lt;=R490,  Sheet1!L490=""),       IF(AND(MOD(NOW(),1)&lt;TIME(9,39,0),Sheet1!$C$22=TODAY()),    Sheet1!$C$21-R489,     Sheet1!$C$21-R489-1),               R490-R489-1),    0)</f>
        <v>0</v>
      </c>
      <c r="F489" s="30"/>
      <c r="G489" s="25" t="str">
        <f>IF(LEFT(Sheet1!K490,2)="0x",Sheet1!K489,IF(AND(Sheet1!L489="",Sheet1!L488=""),"",G488))</f>
        <v/>
      </c>
      <c r="H489" s="81"/>
      <c r="I489" s="43" t="str">
        <f t="shared" si="37"/>
        <v/>
      </c>
      <c r="J489" s="29" t="str">
        <f t="shared" si="36"/>
        <v/>
      </c>
      <c r="K489" s="24" t="str">
        <f>IF(Sheet1!L489="","",IF(Sheet1!L489&gt;0,ROW(),""))</f>
        <v/>
      </c>
      <c r="L489" s="24" t="str">
        <f t="shared" ca="1" si="34"/>
        <v/>
      </c>
      <c r="M489" s="47" t="str">
        <f t="shared" ca="1" si="35"/>
        <v/>
      </c>
      <c r="N489" s="48" t="str">
        <f>IF(LEFT(Sheet1!K489,2)="0x",Sheet1!K489,IF(AND(Sheet1!L489="",Sheet1!L488=""),"",N488))</f>
        <v/>
      </c>
      <c r="O489" s="46">
        <f>IF(Sheet1!L489="",0,IF(Sheet1!O489&lt;TIME(7,39,0)+Sheet1!$E$3/24,1,0))</f>
        <v>0</v>
      </c>
      <c r="P489" s="46" t="str">
        <f ca="1">IF(AND(Sheet1!L489&lt;0, Sheet1!$C$21&gt;R489,OR(Sheet1!$C$21&lt;=R490,Sheet1!L490="")),   -1*Sheet1!L489,"")</f>
        <v/>
      </c>
    </row>
    <row r="490" spans="1:16" ht="15.75" x14ac:dyDescent="0.25">
      <c r="A490" s="456" t="str">
        <f>IF(AND(R490&lt;&gt;"",R489&lt;&gt;""),(-Sheet1!L490/Sheet1!L489)^(360/(R490-R489-1))-1,"")</f>
        <v/>
      </c>
      <c r="B490" s="41" t="str">
        <f ca="1">IF(AND(Sheet1!L490&lt;0, Sheet1!$C$21&gt;R490+1,OR(Sheet1!$C$21&lt;=R491,Sheet1!L491="")),   -1*Sheet1!L490,"")</f>
        <v/>
      </c>
      <c r="C490" s="42">
        <f ca="1">IF(Sheet3!$B$5="",0,    IF(E490&lt;1,0,  IF(B490="","",     IF(OR(Sheet3!$B$6=0,INDIRECT(ADDRESS(ROW(),Sheet3!$B$3+16))="" ),D490/E490,    IF(E490&lt;0,0,    IF(OR( INDIRECT(ADDRESS(8,Sheet3!$B$3+16))="",INDIRECT(ADDRESS(ROW(),Sheet3!$B$3+17))=""),        (INDIRECT(ADDRESS(ROW(),Sheet3!$B$3+16))+B490)*Sheet3!$Q$4,         INDIRECT(ADDRESS(ROW(),Sheet3!$B$3+17))-INDIRECT(ADDRESS(ROW(),Sheet3!$B$3+16))))))))</f>
        <v>0</v>
      </c>
      <c r="D490" s="39">
        <f ca="1">IF(Sheet3!$B$5="",0,IF(B490="","",IF(E490&lt;1,0,   IF(INDIRECT(ADDRESS(ROW(), Sheet3!$B$3+17))="",        INDIRECT(ADDRESS(ROW(), Sheet3!$B$3+16))*  (1+Sheet3!$Q$4)   +B490*Sheet3!$Q$4,       INDIRECT(ADDRESS(ROW(), Sheet3!$B$3+17))))))</f>
        <v>0</v>
      </c>
      <c r="E490" s="40">
        <f ca="1">IF(AND(Sheet1!L490&lt;0,  Sheet1!$C$21&gt;R490),    IF(OR(Sheet1!$C$21&lt;=R491,  Sheet1!L491=""),       IF(AND(MOD(NOW(),1)&lt;TIME(9,39,0),Sheet1!$C$22=TODAY()),    Sheet1!$C$21-R490,     Sheet1!$C$21-R490-1),               R491-R490-1),    0)</f>
        <v>0</v>
      </c>
      <c r="F490" s="30"/>
      <c r="G490" s="25" t="str">
        <f>IF(LEFT(Sheet1!K491,2)="0x",Sheet1!K490,IF(AND(Sheet1!L490="",Sheet1!L489=""),"",G489))</f>
        <v/>
      </c>
      <c r="H490" s="81"/>
      <c r="I490" s="43" t="str">
        <f t="shared" si="37"/>
        <v/>
      </c>
      <c r="J490" s="29" t="str">
        <f t="shared" si="36"/>
        <v/>
      </c>
      <c r="K490" s="24" t="str">
        <f>IF(Sheet1!L490="","",IF(Sheet1!L490&gt;0,ROW(),""))</f>
        <v/>
      </c>
      <c r="L490" s="24" t="str">
        <f t="shared" ca="1" si="34"/>
        <v/>
      </c>
      <c r="M490" s="47" t="str">
        <f t="shared" ca="1" si="35"/>
        <v/>
      </c>
      <c r="N490" s="48" t="str">
        <f>IF(LEFT(Sheet1!K490,2)="0x",Sheet1!K490,IF(AND(Sheet1!L490="",Sheet1!L489=""),"",N489))</f>
        <v/>
      </c>
      <c r="O490" s="46">
        <f>IF(Sheet1!L490="",0,IF(Sheet1!O490&lt;TIME(7,39,0)+Sheet1!$E$3/24,1,0))</f>
        <v>0</v>
      </c>
      <c r="P490" s="46" t="str">
        <f ca="1">IF(AND(Sheet1!L490&lt;0, Sheet1!$C$21&gt;R490,OR(Sheet1!$C$21&lt;=R491,Sheet1!L491="")),   -1*Sheet1!L490,"")</f>
        <v/>
      </c>
    </row>
    <row r="491" spans="1:16" ht="15.75" x14ac:dyDescent="0.25">
      <c r="A491" s="456" t="str">
        <f>IF(AND(R491&lt;&gt;"",R490&lt;&gt;""),(-Sheet1!L491/Sheet1!L490)^(360/(R491-R490-1))-1,"")</f>
        <v/>
      </c>
      <c r="B491" s="41" t="str">
        <f ca="1">IF(AND(Sheet1!L491&lt;0, Sheet1!$C$21&gt;R491+1,OR(Sheet1!$C$21&lt;=R492,Sheet1!L492="")),   -1*Sheet1!L491,"")</f>
        <v/>
      </c>
      <c r="C491" s="42">
        <f ca="1">IF(Sheet3!$B$5="",0,    IF(E491&lt;1,0,  IF(B491="","",     IF(OR(Sheet3!$B$6=0,INDIRECT(ADDRESS(ROW(),Sheet3!$B$3+16))="" ),D491/E491,    IF(E491&lt;0,0,    IF(OR( INDIRECT(ADDRESS(8,Sheet3!$B$3+16))="",INDIRECT(ADDRESS(ROW(),Sheet3!$B$3+17))=""),        (INDIRECT(ADDRESS(ROW(),Sheet3!$B$3+16))+B491)*Sheet3!$Q$4,         INDIRECT(ADDRESS(ROW(),Sheet3!$B$3+17))-INDIRECT(ADDRESS(ROW(),Sheet3!$B$3+16))))))))</f>
        <v>0</v>
      </c>
      <c r="D491" s="39">
        <f ca="1">IF(Sheet3!$B$5="",0,IF(B491="","",IF(E491&lt;1,0,   IF(INDIRECT(ADDRESS(ROW(), Sheet3!$B$3+17))="",        INDIRECT(ADDRESS(ROW(), Sheet3!$B$3+16))*  (1+Sheet3!$Q$4)   +B491*Sheet3!$Q$4,       INDIRECT(ADDRESS(ROW(), Sheet3!$B$3+17))))))</f>
        <v>0</v>
      </c>
      <c r="E491" s="40">
        <f ca="1">IF(AND(Sheet1!L491&lt;0,  Sheet1!$C$21&gt;R491),    IF(OR(Sheet1!$C$21&lt;=R492,  Sheet1!L492=""),       IF(AND(MOD(NOW(),1)&lt;TIME(9,39,0),Sheet1!$C$22=TODAY()),    Sheet1!$C$21-R491,     Sheet1!$C$21-R491-1),               R492-R491-1),    0)</f>
        <v>0</v>
      </c>
      <c r="F491" s="30"/>
      <c r="G491" s="25" t="str">
        <f>IF(LEFT(Sheet1!K492,2)="0x",Sheet1!K491,IF(AND(Sheet1!L491="",Sheet1!L490=""),"",G490))</f>
        <v/>
      </c>
      <c r="H491" s="81"/>
      <c r="I491" s="43" t="str">
        <f t="shared" si="37"/>
        <v/>
      </c>
      <c r="J491" s="29" t="str">
        <f t="shared" si="36"/>
        <v/>
      </c>
      <c r="K491" s="24" t="str">
        <f>IF(Sheet1!L491="","",IF(Sheet1!L491&gt;0,ROW(),""))</f>
        <v/>
      </c>
      <c r="L491" s="24" t="str">
        <f t="shared" ca="1" si="34"/>
        <v/>
      </c>
      <c r="M491" s="47" t="str">
        <f t="shared" ca="1" si="35"/>
        <v/>
      </c>
      <c r="N491" s="48" t="str">
        <f>IF(LEFT(Sheet1!K491,2)="0x",Sheet1!K491,IF(AND(Sheet1!L491="",Sheet1!L490=""),"",N490))</f>
        <v/>
      </c>
      <c r="O491" s="46">
        <f>IF(Sheet1!L491="",0,IF(Sheet1!O491&lt;TIME(7,39,0)+Sheet1!$E$3/24,1,0))</f>
        <v>0</v>
      </c>
      <c r="P491" s="46" t="str">
        <f ca="1">IF(AND(Sheet1!L491&lt;0, Sheet1!$C$21&gt;R491,OR(Sheet1!$C$21&lt;=R492,Sheet1!L492="")),   -1*Sheet1!L491,"")</f>
        <v/>
      </c>
    </row>
    <row r="492" spans="1:16" ht="15.75" x14ac:dyDescent="0.25">
      <c r="A492" s="456" t="str">
        <f>IF(AND(R492&lt;&gt;"",R491&lt;&gt;""),(-Sheet1!L492/Sheet1!L491)^(360/(R492-R491-1))-1,"")</f>
        <v/>
      </c>
      <c r="B492" s="41" t="str">
        <f ca="1">IF(AND(Sheet1!L492&lt;0, Sheet1!$C$21&gt;R492+1,OR(Sheet1!$C$21&lt;=R493,Sheet1!L493="")),   -1*Sheet1!L492,"")</f>
        <v/>
      </c>
      <c r="C492" s="42">
        <f ca="1">IF(Sheet3!$B$5="",0,    IF(E492&lt;1,0,  IF(B492="","",     IF(OR(Sheet3!$B$6=0,INDIRECT(ADDRESS(ROW(),Sheet3!$B$3+16))="" ),D492/E492,    IF(E492&lt;0,0,    IF(OR( INDIRECT(ADDRESS(8,Sheet3!$B$3+16))="",INDIRECT(ADDRESS(ROW(),Sheet3!$B$3+17))=""),        (INDIRECT(ADDRESS(ROW(),Sheet3!$B$3+16))+B492)*Sheet3!$Q$4,         INDIRECT(ADDRESS(ROW(),Sheet3!$B$3+17))-INDIRECT(ADDRESS(ROW(),Sheet3!$B$3+16))))))))</f>
        <v>0</v>
      </c>
      <c r="D492" s="39">
        <f ca="1">IF(Sheet3!$B$5="",0,IF(B492="","",IF(E492&lt;1,0,   IF(INDIRECT(ADDRESS(ROW(), Sheet3!$B$3+17))="",        INDIRECT(ADDRESS(ROW(), Sheet3!$B$3+16))*  (1+Sheet3!$Q$4)   +B492*Sheet3!$Q$4,       INDIRECT(ADDRESS(ROW(), Sheet3!$B$3+17))))))</f>
        <v>0</v>
      </c>
      <c r="E492" s="40">
        <f ca="1">IF(AND(Sheet1!L492&lt;0,  Sheet1!$C$21&gt;R492),    IF(OR(Sheet1!$C$21&lt;=R493,  Sheet1!L493=""),       IF(AND(MOD(NOW(),1)&lt;TIME(9,39,0),Sheet1!$C$22=TODAY()),    Sheet1!$C$21-R492,     Sheet1!$C$21-R492-1),               R493-R492-1),    0)</f>
        <v>0</v>
      </c>
      <c r="F492" s="30"/>
      <c r="G492" s="25" t="str">
        <f>IF(LEFT(Sheet1!K493,2)="0x",Sheet1!K492,IF(AND(Sheet1!L492="",Sheet1!L491=""),"",G491))</f>
        <v/>
      </c>
      <c r="H492" s="81"/>
      <c r="I492" s="43" t="str">
        <f t="shared" si="37"/>
        <v/>
      </c>
      <c r="J492" s="29" t="str">
        <f t="shared" si="36"/>
        <v/>
      </c>
      <c r="K492" s="24" t="str">
        <f>IF(Sheet1!L492="","",IF(Sheet1!L492&gt;0,ROW(),""))</f>
        <v/>
      </c>
      <c r="L492" s="24" t="str">
        <f t="shared" ca="1" si="34"/>
        <v/>
      </c>
      <c r="M492" s="47" t="str">
        <f t="shared" ca="1" si="35"/>
        <v/>
      </c>
      <c r="N492" s="48" t="str">
        <f>IF(LEFT(Sheet1!K492,2)="0x",Sheet1!K492,IF(AND(Sheet1!L492="",Sheet1!L491=""),"",N491))</f>
        <v/>
      </c>
      <c r="O492" s="46">
        <f>IF(Sheet1!L492="",0,IF(Sheet1!O492&lt;TIME(7,39,0)+Sheet1!$E$3/24,1,0))</f>
        <v>0</v>
      </c>
      <c r="P492" s="46" t="str">
        <f ca="1">IF(AND(Sheet1!L492&lt;0, Sheet1!$C$21&gt;R492,OR(Sheet1!$C$21&lt;=R493,Sheet1!L493="")),   -1*Sheet1!L492,"")</f>
        <v/>
      </c>
    </row>
    <row r="493" spans="1:16" ht="15.75" x14ac:dyDescent="0.25">
      <c r="A493" s="456" t="str">
        <f>IF(AND(R493&lt;&gt;"",R492&lt;&gt;""),(-Sheet1!L493/Sheet1!L492)^(360/(R493-R492-1))-1,"")</f>
        <v/>
      </c>
      <c r="B493" s="41" t="str">
        <f ca="1">IF(AND(Sheet1!L493&lt;0, Sheet1!$C$21&gt;R493+1,OR(Sheet1!$C$21&lt;=R494,Sheet1!L494="")),   -1*Sheet1!L493,"")</f>
        <v/>
      </c>
      <c r="C493" s="42">
        <f ca="1">IF(Sheet3!$B$5="",0,    IF(E493&lt;1,0,  IF(B493="","",     IF(OR(Sheet3!$B$6=0,INDIRECT(ADDRESS(ROW(),Sheet3!$B$3+16))="" ),D493/E493,    IF(E493&lt;0,0,    IF(OR( INDIRECT(ADDRESS(8,Sheet3!$B$3+16))="",INDIRECT(ADDRESS(ROW(),Sheet3!$B$3+17))=""),        (INDIRECT(ADDRESS(ROW(),Sheet3!$B$3+16))+B493)*Sheet3!$Q$4,         INDIRECT(ADDRESS(ROW(),Sheet3!$B$3+17))-INDIRECT(ADDRESS(ROW(),Sheet3!$B$3+16))))))))</f>
        <v>0</v>
      </c>
      <c r="D493" s="39">
        <f ca="1">IF(Sheet3!$B$5="",0,IF(B493="","",IF(E493&lt;1,0,   IF(INDIRECT(ADDRESS(ROW(), Sheet3!$B$3+17))="",        INDIRECT(ADDRESS(ROW(), Sheet3!$B$3+16))*  (1+Sheet3!$Q$4)   +B493*Sheet3!$Q$4,       INDIRECT(ADDRESS(ROW(), Sheet3!$B$3+17))))))</f>
        <v>0</v>
      </c>
      <c r="E493" s="40">
        <f ca="1">IF(AND(Sheet1!L493&lt;0,  Sheet1!$C$21&gt;R493),    IF(OR(Sheet1!$C$21&lt;=R494,  Sheet1!L494=""),       IF(AND(MOD(NOW(),1)&lt;TIME(9,39,0),Sheet1!$C$22=TODAY()),    Sheet1!$C$21-R493,     Sheet1!$C$21-R493-1),               R494-R493-1),    0)</f>
        <v>0</v>
      </c>
      <c r="F493" s="30"/>
      <c r="G493" s="25" t="str">
        <f>IF(LEFT(Sheet1!K494,2)="0x",Sheet1!K493,IF(AND(Sheet1!L493="",Sheet1!L492=""),"",G492))</f>
        <v/>
      </c>
      <c r="H493" s="81"/>
      <c r="I493" s="43" t="str">
        <f t="shared" si="37"/>
        <v/>
      </c>
      <c r="J493" s="29" t="str">
        <f t="shared" si="36"/>
        <v/>
      </c>
      <c r="K493" s="24" t="str">
        <f>IF(Sheet1!L493="","",IF(Sheet1!L493&gt;0,ROW(),""))</f>
        <v/>
      </c>
      <c r="L493" s="24" t="str">
        <f t="shared" ca="1" si="34"/>
        <v/>
      </c>
      <c r="M493" s="47" t="str">
        <f t="shared" ca="1" si="35"/>
        <v/>
      </c>
      <c r="N493" s="48" t="str">
        <f>IF(LEFT(Sheet1!K493,2)="0x",Sheet1!K493,IF(AND(Sheet1!L493="",Sheet1!L492=""),"",N492))</f>
        <v/>
      </c>
      <c r="O493" s="46">
        <f>IF(Sheet1!L493="",0,IF(Sheet1!O493&lt;TIME(7,39,0)+Sheet1!$E$3/24,1,0))</f>
        <v>0</v>
      </c>
      <c r="P493" s="46" t="str">
        <f ca="1">IF(AND(Sheet1!L493&lt;0, Sheet1!$C$21&gt;R493,OR(Sheet1!$C$21&lt;=R494,Sheet1!L494="")),   -1*Sheet1!L493,"")</f>
        <v/>
      </c>
    </row>
    <row r="494" spans="1:16" ht="15.75" x14ac:dyDescent="0.25">
      <c r="A494" s="456" t="str">
        <f>IF(AND(R494&lt;&gt;"",R493&lt;&gt;""),(-Sheet1!L494/Sheet1!L493)^(360/(R494-R493-1))-1,"")</f>
        <v/>
      </c>
      <c r="B494" s="41" t="str">
        <f ca="1">IF(AND(Sheet1!L494&lt;0, Sheet1!$C$21&gt;R494+1,OR(Sheet1!$C$21&lt;=R495,Sheet1!L495="")),   -1*Sheet1!L494,"")</f>
        <v/>
      </c>
      <c r="C494" s="42">
        <f ca="1">IF(Sheet3!$B$5="",0,    IF(E494&lt;1,0,  IF(B494="","",     IF(OR(Sheet3!$B$6=0,INDIRECT(ADDRESS(ROW(),Sheet3!$B$3+16))="" ),D494/E494,    IF(E494&lt;0,0,    IF(OR( INDIRECT(ADDRESS(8,Sheet3!$B$3+16))="",INDIRECT(ADDRESS(ROW(),Sheet3!$B$3+17))=""),        (INDIRECT(ADDRESS(ROW(),Sheet3!$B$3+16))+B494)*Sheet3!$Q$4,         INDIRECT(ADDRESS(ROW(),Sheet3!$B$3+17))-INDIRECT(ADDRESS(ROW(),Sheet3!$B$3+16))))))))</f>
        <v>0</v>
      </c>
      <c r="D494" s="39">
        <f ca="1">IF(Sheet3!$B$5="",0,IF(B494="","",IF(E494&lt;1,0,   IF(INDIRECT(ADDRESS(ROW(), Sheet3!$B$3+17))="",        INDIRECT(ADDRESS(ROW(), Sheet3!$B$3+16))*  (1+Sheet3!$Q$4)   +B494*Sheet3!$Q$4,       INDIRECT(ADDRESS(ROW(), Sheet3!$B$3+17))))))</f>
        <v>0</v>
      </c>
      <c r="E494" s="40">
        <f ca="1">IF(AND(Sheet1!L494&lt;0,  Sheet1!$C$21&gt;R494),    IF(OR(Sheet1!$C$21&lt;=R495,  Sheet1!L495=""),       IF(AND(MOD(NOW(),1)&lt;TIME(9,39,0),Sheet1!$C$22=TODAY()),    Sheet1!$C$21-R494,     Sheet1!$C$21-R494-1),               R495-R494-1),    0)</f>
        <v>0</v>
      </c>
      <c r="F494" s="30"/>
      <c r="G494" s="25" t="str">
        <f>IF(LEFT(Sheet1!K495,2)="0x",Sheet1!K494,IF(AND(Sheet1!L494="",Sheet1!L493=""),"",G493))</f>
        <v/>
      </c>
      <c r="H494" s="81"/>
      <c r="I494" s="43" t="str">
        <f t="shared" si="37"/>
        <v/>
      </c>
      <c r="J494" s="29" t="str">
        <f t="shared" si="36"/>
        <v/>
      </c>
      <c r="K494" s="24" t="str">
        <f>IF(Sheet1!L494="","",IF(Sheet1!L494&gt;0,ROW(),""))</f>
        <v/>
      </c>
      <c r="L494" s="24" t="str">
        <f t="shared" ca="1" si="34"/>
        <v/>
      </c>
      <c r="M494" s="47" t="str">
        <f t="shared" ca="1" si="35"/>
        <v/>
      </c>
      <c r="N494" s="48" t="str">
        <f>IF(LEFT(Sheet1!K494,2)="0x",Sheet1!K494,IF(AND(Sheet1!L494="",Sheet1!L493=""),"",N493))</f>
        <v/>
      </c>
      <c r="O494" s="46">
        <f>IF(Sheet1!L494="",0,IF(Sheet1!O494&lt;TIME(7,39,0)+Sheet1!$E$3/24,1,0))</f>
        <v>0</v>
      </c>
      <c r="P494" s="46" t="str">
        <f ca="1">IF(AND(Sheet1!L494&lt;0, Sheet1!$C$21&gt;R494,OR(Sheet1!$C$21&lt;=R495,Sheet1!L495="")),   -1*Sheet1!L494,"")</f>
        <v/>
      </c>
    </row>
    <row r="495" spans="1:16" ht="15.75" x14ac:dyDescent="0.25">
      <c r="A495" s="456" t="str">
        <f>IF(AND(R495&lt;&gt;"",R494&lt;&gt;""),(-Sheet1!L495/Sheet1!L494)^(360/(R495-R494-1))-1,"")</f>
        <v/>
      </c>
      <c r="B495" s="41" t="str">
        <f ca="1">IF(AND(Sheet1!L495&lt;0, Sheet1!$C$21&gt;R495+1,OR(Sheet1!$C$21&lt;=R496,Sheet1!L496="")),   -1*Sheet1!L495,"")</f>
        <v/>
      </c>
      <c r="C495" s="42">
        <f ca="1">IF(Sheet3!$B$5="",0,    IF(E495&lt;1,0,  IF(B495="","",     IF(OR(Sheet3!$B$6=0,INDIRECT(ADDRESS(ROW(),Sheet3!$B$3+16))="" ),D495/E495,    IF(E495&lt;0,0,    IF(OR( INDIRECT(ADDRESS(8,Sheet3!$B$3+16))="",INDIRECT(ADDRESS(ROW(),Sheet3!$B$3+17))=""),        (INDIRECT(ADDRESS(ROW(),Sheet3!$B$3+16))+B495)*Sheet3!$Q$4,         INDIRECT(ADDRESS(ROW(),Sheet3!$B$3+17))-INDIRECT(ADDRESS(ROW(),Sheet3!$B$3+16))))))))</f>
        <v>0</v>
      </c>
      <c r="D495" s="39">
        <f ca="1">IF(Sheet3!$B$5="",0,IF(B495="","",IF(E495&lt;1,0,   IF(INDIRECT(ADDRESS(ROW(), Sheet3!$B$3+17))="",        INDIRECT(ADDRESS(ROW(), Sheet3!$B$3+16))*  (1+Sheet3!$Q$4)   +B495*Sheet3!$Q$4,       INDIRECT(ADDRESS(ROW(), Sheet3!$B$3+17))))))</f>
        <v>0</v>
      </c>
      <c r="E495" s="40">
        <f ca="1">IF(AND(Sheet1!L495&lt;0,  Sheet1!$C$21&gt;R495),    IF(OR(Sheet1!$C$21&lt;=R496,  Sheet1!L496=""),       IF(AND(MOD(NOW(),1)&lt;TIME(9,39,0),Sheet1!$C$22=TODAY()),    Sheet1!$C$21-R495,     Sheet1!$C$21-R495-1),               R496-R495-1),    0)</f>
        <v>0</v>
      </c>
      <c r="F495" s="30"/>
      <c r="G495" s="25" t="str">
        <f>IF(LEFT(Sheet1!K496,2)="0x",Sheet1!K495,IF(AND(Sheet1!L495="",Sheet1!L494=""),"",G494))</f>
        <v/>
      </c>
      <c r="H495" s="81"/>
      <c r="I495" s="43" t="str">
        <f t="shared" si="37"/>
        <v/>
      </c>
      <c r="J495" s="29" t="str">
        <f t="shared" si="36"/>
        <v/>
      </c>
      <c r="K495" s="24" t="str">
        <f>IF(Sheet1!L495="","",IF(Sheet1!L495&gt;0,ROW(),""))</f>
        <v/>
      </c>
      <c r="L495" s="24" t="str">
        <f t="shared" ca="1" si="34"/>
        <v/>
      </c>
      <c r="M495" s="47" t="str">
        <f t="shared" ca="1" si="35"/>
        <v/>
      </c>
      <c r="N495" s="48" t="str">
        <f>IF(LEFT(Sheet1!K495,2)="0x",Sheet1!K495,IF(AND(Sheet1!L495="",Sheet1!L494=""),"",N494))</f>
        <v/>
      </c>
      <c r="O495" s="46">
        <f>IF(Sheet1!L495="",0,IF(Sheet1!O495&lt;TIME(7,39,0)+Sheet1!$E$3/24,1,0))</f>
        <v>0</v>
      </c>
      <c r="P495" s="46" t="str">
        <f ca="1">IF(AND(Sheet1!L495&lt;0, Sheet1!$C$21&gt;R495,OR(Sheet1!$C$21&lt;=R496,Sheet1!L496="")),   -1*Sheet1!L495,"")</f>
        <v/>
      </c>
    </row>
    <row r="496" spans="1:16" ht="15.75" x14ac:dyDescent="0.25">
      <c r="A496" s="456" t="str">
        <f>IF(AND(R496&lt;&gt;"",R495&lt;&gt;""),(-Sheet1!L496/Sheet1!L495)^(360/(R496-R495-1))-1,"")</f>
        <v/>
      </c>
      <c r="B496" s="41" t="str">
        <f ca="1">IF(AND(Sheet1!L496&lt;0, Sheet1!$C$21&gt;R496+1,OR(Sheet1!$C$21&lt;=R497,Sheet1!L497="")),   -1*Sheet1!L496,"")</f>
        <v/>
      </c>
      <c r="C496" s="42">
        <f ca="1">IF(Sheet3!$B$5="",0,    IF(E496&lt;1,0,  IF(B496="","",     IF(OR(Sheet3!$B$6=0,INDIRECT(ADDRESS(ROW(),Sheet3!$B$3+16))="" ),D496/E496,    IF(E496&lt;0,0,    IF(OR( INDIRECT(ADDRESS(8,Sheet3!$B$3+16))="",INDIRECT(ADDRESS(ROW(),Sheet3!$B$3+17))=""),        (INDIRECT(ADDRESS(ROW(),Sheet3!$B$3+16))+B496)*Sheet3!$Q$4,         INDIRECT(ADDRESS(ROW(),Sheet3!$B$3+17))-INDIRECT(ADDRESS(ROW(),Sheet3!$B$3+16))))))))</f>
        <v>0</v>
      </c>
      <c r="D496" s="39">
        <f ca="1">IF(Sheet3!$B$5="",0,IF(B496="","",IF(E496&lt;1,0,   IF(INDIRECT(ADDRESS(ROW(), Sheet3!$B$3+17))="",        INDIRECT(ADDRESS(ROW(), Sheet3!$B$3+16))*  (1+Sheet3!$Q$4)   +B496*Sheet3!$Q$4,       INDIRECT(ADDRESS(ROW(), Sheet3!$B$3+17))))))</f>
        <v>0</v>
      </c>
      <c r="E496" s="40">
        <f ca="1">IF(AND(Sheet1!L496&lt;0,  Sheet1!$C$21&gt;R496),    IF(OR(Sheet1!$C$21&lt;=R497,  Sheet1!L497=""),       IF(AND(MOD(NOW(),1)&lt;TIME(9,39,0),Sheet1!$C$22=TODAY()),    Sheet1!$C$21-R496,     Sheet1!$C$21-R496-1),               R497-R496-1),    0)</f>
        <v>0</v>
      </c>
      <c r="F496" s="30"/>
      <c r="G496" s="25" t="str">
        <f>IF(LEFT(Sheet1!K497,2)="0x",Sheet1!K496,IF(AND(Sheet1!L496="",Sheet1!L495=""),"",G495))</f>
        <v/>
      </c>
      <c r="H496" s="81"/>
      <c r="I496" s="43" t="str">
        <f t="shared" si="37"/>
        <v/>
      </c>
      <c r="J496" s="29" t="str">
        <f t="shared" si="36"/>
        <v/>
      </c>
      <c r="K496" s="24" t="str">
        <f>IF(Sheet1!L496="","",IF(Sheet1!L496&gt;0,ROW(),""))</f>
        <v/>
      </c>
      <c r="L496" s="24" t="str">
        <f t="shared" ca="1" si="34"/>
        <v/>
      </c>
      <c r="M496" s="47" t="str">
        <f t="shared" ca="1" si="35"/>
        <v/>
      </c>
      <c r="N496" s="48" t="str">
        <f>IF(LEFT(Sheet1!K496,2)="0x",Sheet1!K496,IF(AND(Sheet1!L496="",Sheet1!L495=""),"",N495))</f>
        <v/>
      </c>
      <c r="O496" s="46">
        <f>IF(Sheet1!L496="",0,IF(Sheet1!O496&lt;TIME(7,39,0)+Sheet1!$E$3/24,1,0))</f>
        <v>0</v>
      </c>
      <c r="P496" s="46" t="str">
        <f ca="1">IF(AND(Sheet1!L496&lt;0, Sheet1!$C$21&gt;R496,OR(Sheet1!$C$21&lt;=R497,Sheet1!L497="")),   -1*Sheet1!L496,"")</f>
        <v/>
      </c>
    </row>
    <row r="497" spans="1:16" ht="15.75" x14ac:dyDescent="0.25">
      <c r="A497" s="456" t="str">
        <f>IF(AND(R497&lt;&gt;"",R496&lt;&gt;""),(-Sheet1!L497/Sheet1!L496)^(360/(R497-R496-1))-1,"")</f>
        <v/>
      </c>
      <c r="B497" s="41" t="str">
        <f ca="1">IF(AND(Sheet1!L497&lt;0, Sheet1!$C$21&gt;R497+1,OR(Sheet1!$C$21&lt;=R498,Sheet1!L498="")),   -1*Sheet1!L497,"")</f>
        <v/>
      </c>
      <c r="C497" s="42">
        <f ca="1">IF(Sheet3!$B$5="",0,    IF(E497&lt;1,0,  IF(B497="","",     IF(OR(Sheet3!$B$6=0,INDIRECT(ADDRESS(ROW(),Sheet3!$B$3+16))="" ),D497/E497,    IF(E497&lt;0,0,    IF(OR( INDIRECT(ADDRESS(8,Sheet3!$B$3+16))="",INDIRECT(ADDRESS(ROW(),Sheet3!$B$3+17))=""),        (INDIRECT(ADDRESS(ROW(),Sheet3!$B$3+16))+B497)*Sheet3!$Q$4,         INDIRECT(ADDRESS(ROW(),Sheet3!$B$3+17))-INDIRECT(ADDRESS(ROW(),Sheet3!$B$3+16))))))))</f>
        <v>0</v>
      </c>
      <c r="D497" s="39">
        <f ca="1">IF(Sheet3!$B$5="",0,IF(B497="","",IF(E497&lt;1,0,   IF(INDIRECT(ADDRESS(ROW(), Sheet3!$B$3+17))="",        INDIRECT(ADDRESS(ROW(), Sheet3!$B$3+16))*  (1+Sheet3!$Q$4)   +B497*Sheet3!$Q$4,       INDIRECT(ADDRESS(ROW(), Sheet3!$B$3+17))))))</f>
        <v>0</v>
      </c>
      <c r="E497" s="40">
        <f ca="1">IF(AND(Sheet1!L497&lt;0,  Sheet1!$C$21&gt;R497),    IF(OR(Sheet1!$C$21&lt;=R498,  Sheet1!L498=""),       IF(AND(MOD(NOW(),1)&lt;TIME(9,39,0),Sheet1!$C$22=TODAY()),    Sheet1!$C$21-R497,     Sheet1!$C$21-R497-1),               R498-R497-1),    0)</f>
        <v>0</v>
      </c>
      <c r="F497" s="30"/>
      <c r="G497" s="25" t="str">
        <f>IF(LEFT(Sheet1!K498,2)="0x",Sheet1!K497,IF(AND(Sheet1!L497="",Sheet1!L496=""),"",G496))</f>
        <v/>
      </c>
      <c r="H497" s="81"/>
      <c r="I497" s="43" t="str">
        <f t="shared" si="37"/>
        <v/>
      </c>
      <c r="J497" s="29" t="str">
        <f t="shared" si="36"/>
        <v/>
      </c>
      <c r="K497" s="24" t="str">
        <f>IF(Sheet1!L497="","",IF(Sheet1!L497&gt;0,ROW(),""))</f>
        <v/>
      </c>
      <c r="L497" s="24" t="str">
        <f t="shared" ca="1" si="34"/>
        <v/>
      </c>
      <c r="M497" s="47" t="str">
        <f t="shared" ca="1" si="35"/>
        <v/>
      </c>
      <c r="N497" s="48" t="str">
        <f>IF(LEFT(Sheet1!K497,2)="0x",Sheet1!K497,IF(AND(Sheet1!L497="",Sheet1!L496=""),"",N496))</f>
        <v/>
      </c>
      <c r="O497" s="46">
        <f>IF(Sheet1!L497="",0,IF(Sheet1!O497&lt;TIME(7,39,0)+Sheet1!$E$3/24,1,0))</f>
        <v>0</v>
      </c>
      <c r="P497" s="46" t="str">
        <f ca="1">IF(AND(Sheet1!L497&lt;0, Sheet1!$C$21&gt;R497,OR(Sheet1!$C$21&lt;=R498,Sheet1!L498="")),   -1*Sheet1!L497,"")</f>
        <v/>
      </c>
    </row>
    <row r="498" spans="1:16" ht="15.75" x14ac:dyDescent="0.25">
      <c r="A498" s="456" t="str">
        <f>IF(AND(R498&lt;&gt;"",R497&lt;&gt;""),(-Sheet1!L498/Sheet1!L497)^(360/(R498-R497-1))-1,"")</f>
        <v/>
      </c>
      <c r="B498" s="41" t="str">
        <f ca="1">IF(AND(Sheet1!L498&lt;0, Sheet1!$C$21&gt;R498+1,OR(Sheet1!$C$21&lt;=R499,Sheet1!L499="")),   -1*Sheet1!L498,"")</f>
        <v/>
      </c>
      <c r="C498" s="42">
        <f ca="1">IF(Sheet3!$B$5="",0,    IF(E498&lt;1,0,  IF(B498="","",     IF(OR(Sheet3!$B$6=0,INDIRECT(ADDRESS(ROW(),Sheet3!$B$3+16))="" ),D498/E498,    IF(E498&lt;0,0,    IF(OR( INDIRECT(ADDRESS(8,Sheet3!$B$3+16))="",INDIRECT(ADDRESS(ROW(),Sheet3!$B$3+17))=""),        (INDIRECT(ADDRESS(ROW(),Sheet3!$B$3+16))+B498)*Sheet3!$Q$4,         INDIRECT(ADDRESS(ROW(),Sheet3!$B$3+17))-INDIRECT(ADDRESS(ROW(),Sheet3!$B$3+16))))))))</f>
        <v>0</v>
      </c>
      <c r="D498" s="39">
        <f ca="1">IF(Sheet3!$B$5="",0,IF(B498="","",IF(E498&lt;1,0,   IF(INDIRECT(ADDRESS(ROW(), Sheet3!$B$3+17))="",        INDIRECT(ADDRESS(ROW(), Sheet3!$B$3+16))*  (1+Sheet3!$Q$4)   +B498*Sheet3!$Q$4,       INDIRECT(ADDRESS(ROW(), Sheet3!$B$3+17))))))</f>
        <v>0</v>
      </c>
      <c r="E498" s="40">
        <f ca="1">IF(AND(Sheet1!L498&lt;0,  Sheet1!$C$21&gt;R498),    IF(OR(Sheet1!$C$21&lt;=R499,  Sheet1!L499=""),       IF(AND(MOD(NOW(),1)&lt;TIME(9,39,0),Sheet1!$C$22=TODAY()),    Sheet1!$C$21-R498,     Sheet1!$C$21-R498-1),               R499-R498-1),    0)</f>
        <v>0</v>
      </c>
      <c r="F498" s="30"/>
      <c r="G498" s="25" t="str">
        <f>IF(LEFT(Sheet1!K499,2)="0x",Sheet1!K498,IF(AND(Sheet1!L498="",Sheet1!L497=""),"",G497))</f>
        <v/>
      </c>
      <c r="H498" s="81"/>
      <c r="I498" s="43" t="str">
        <f t="shared" si="37"/>
        <v/>
      </c>
      <c r="J498" s="29" t="str">
        <f t="shared" si="36"/>
        <v/>
      </c>
      <c r="K498" s="24" t="str">
        <f>IF(Sheet1!L498="","",IF(Sheet1!L498&gt;0,ROW(),""))</f>
        <v/>
      </c>
      <c r="L498" s="24" t="str">
        <f t="shared" ca="1" si="34"/>
        <v/>
      </c>
      <c r="M498" s="47" t="str">
        <f t="shared" ca="1" si="35"/>
        <v/>
      </c>
      <c r="N498" s="48" t="str">
        <f>IF(LEFT(Sheet1!K498,2)="0x",Sheet1!K498,IF(AND(Sheet1!L498="",Sheet1!L497=""),"",N497))</f>
        <v/>
      </c>
      <c r="O498" s="46">
        <f>IF(Sheet1!L498="",0,IF(Sheet1!O498&lt;TIME(7,39,0)+Sheet1!$E$3/24,1,0))</f>
        <v>0</v>
      </c>
      <c r="P498" s="46" t="str">
        <f ca="1">IF(AND(Sheet1!L498&lt;0, Sheet1!$C$21&gt;R498,OR(Sheet1!$C$21&lt;=R499,Sheet1!L499="")),   -1*Sheet1!L498,"")</f>
        <v/>
      </c>
    </row>
    <row r="499" spans="1:16" ht="15.75" x14ac:dyDescent="0.25">
      <c r="A499" s="456" t="str">
        <f>IF(AND(R499&lt;&gt;"",R498&lt;&gt;""),(-Sheet1!L499/Sheet1!L498)^(360/(R499-R498-1))-1,"")</f>
        <v/>
      </c>
      <c r="B499" s="41" t="str">
        <f ca="1">IF(AND(Sheet1!L499&lt;0, Sheet1!$C$21&gt;R499+1,OR(Sheet1!$C$21&lt;=R500,Sheet1!L500="")),   -1*Sheet1!L499,"")</f>
        <v/>
      </c>
      <c r="C499" s="42">
        <f ca="1">IF(Sheet3!$B$5="",0,    IF(E499&lt;1,0,  IF(B499="","",     IF(OR(Sheet3!$B$6=0,INDIRECT(ADDRESS(ROW(),Sheet3!$B$3+16))="" ),D499/E499,    IF(E499&lt;0,0,    IF(OR( INDIRECT(ADDRESS(8,Sheet3!$B$3+16))="",INDIRECT(ADDRESS(ROW(),Sheet3!$B$3+17))=""),        (INDIRECT(ADDRESS(ROW(),Sheet3!$B$3+16))+B499)*Sheet3!$Q$4,         INDIRECT(ADDRESS(ROW(),Sheet3!$B$3+17))-INDIRECT(ADDRESS(ROW(),Sheet3!$B$3+16))))))))</f>
        <v>0</v>
      </c>
      <c r="D499" s="39">
        <f ca="1">IF(Sheet3!$B$5="",0,IF(B499="","",IF(E499&lt;1,0,   IF(INDIRECT(ADDRESS(ROW(), Sheet3!$B$3+17))="",        INDIRECT(ADDRESS(ROW(), Sheet3!$B$3+16))*  (1+Sheet3!$Q$4)   +B499*Sheet3!$Q$4,       INDIRECT(ADDRESS(ROW(), Sheet3!$B$3+17))))))</f>
        <v>0</v>
      </c>
      <c r="E499" s="40">
        <f ca="1">IF(AND(Sheet1!L499&lt;0,  Sheet1!$C$21&gt;R499),    IF(OR(Sheet1!$C$21&lt;=R500,  Sheet1!L500=""),       IF(AND(MOD(NOW(),1)&lt;TIME(9,39,0),Sheet1!$C$22=TODAY()),    Sheet1!$C$21-R499,     Sheet1!$C$21-R499-1),               R500-R499-1),    0)</f>
        <v>0</v>
      </c>
      <c r="F499" s="30"/>
      <c r="G499" s="25" t="str">
        <f>IF(LEFT(Sheet1!K500,2)="0x",Sheet1!K499,IF(AND(Sheet1!L499="",Sheet1!L498=""),"",G498))</f>
        <v/>
      </c>
      <c r="H499" s="81"/>
      <c r="I499" s="43" t="str">
        <f t="shared" si="37"/>
        <v/>
      </c>
      <c r="J499" s="29" t="str">
        <f t="shared" si="36"/>
        <v/>
      </c>
      <c r="K499" s="24" t="str">
        <f>IF(Sheet1!L499="","",IF(Sheet1!L499&gt;0,ROW(),""))</f>
        <v/>
      </c>
      <c r="L499" s="24" t="str">
        <f t="shared" ca="1" si="34"/>
        <v/>
      </c>
      <c r="M499" s="47" t="str">
        <f t="shared" ca="1" si="35"/>
        <v/>
      </c>
      <c r="N499" s="48" t="str">
        <f>IF(LEFT(Sheet1!K499,2)="0x",Sheet1!K499,IF(AND(Sheet1!L499="",Sheet1!L498=""),"",N498))</f>
        <v/>
      </c>
      <c r="O499" s="46">
        <f>IF(Sheet1!L499="",0,IF(Sheet1!O499&lt;TIME(7,39,0)+Sheet1!$E$3/24,1,0))</f>
        <v>0</v>
      </c>
      <c r="P499" s="46" t="str">
        <f ca="1">IF(AND(Sheet1!L499&lt;0, Sheet1!$C$21&gt;R499,OR(Sheet1!$C$21&lt;=R500,Sheet1!L500="")),   -1*Sheet1!L499,"")</f>
        <v/>
      </c>
    </row>
    <row r="500" spans="1:16" ht="15.75" x14ac:dyDescent="0.25">
      <c r="A500" s="456" t="str">
        <f>IF(AND(R500&lt;&gt;"",R499&lt;&gt;""),(-Sheet1!L500/Sheet1!L499)^(360/(R500-R499-1))-1,"")</f>
        <v/>
      </c>
      <c r="B500" s="41" t="str">
        <f ca="1">IF(AND(Sheet1!L500&lt;0, Sheet1!$C$21&gt;R500+1,OR(Sheet1!$C$21&lt;=R501,Sheet1!L501="")),   -1*Sheet1!L500,"")</f>
        <v/>
      </c>
      <c r="C500" s="42">
        <f ca="1">IF(Sheet3!$B$5="",0,    IF(E500&lt;1,0,  IF(B500="","",     IF(OR(Sheet3!$B$6=0,INDIRECT(ADDRESS(ROW(),Sheet3!$B$3+16))="" ),D500/E500,    IF(E500&lt;0,0,    IF(OR( INDIRECT(ADDRESS(8,Sheet3!$B$3+16))="",INDIRECT(ADDRESS(ROW(),Sheet3!$B$3+17))=""),        (INDIRECT(ADDRESS(ROW(),Sheet3!$B$3+16))+B500)*Sheet3!$Q$4,         INDIRECT(ADDRESS(ROW(),Sheet3!$B$3+17))-INDIRECT(ADDRESS(ROW(),Sheet3!$B$3+16))))))))</f>
        <v>0</v>
      </c>
      <c r="D500" s="39">
        <f ca="1">IF(Sheet3!$B$5="",0,IF(B500="","",IF(E500&lt;1,0,   IF(INDIRECT(ADDRESS(ROW(), Sheet3!$B$3+17))="",        INDIRECT(ADDRESS(ROW(), Sheet3!$B$3+16))*  (1+Sheet3!$Q$4)   +B500*Sheet3!$Q$4,       INDIRECT(ADDRESS(ROW(), Sheet3!$B$3+17))))))</f>
        <v>0</v>
      </c>
      <c r="E500" s="40">
        <f ca="1">IF(AND(Sheet1!L500&lt;0,  Sheet1!$C$21&gt;R500),    IF(OR(Sheet1!$C$21&lt;=R501,  Sheet1!L501=""),       IF(AND(MOD(NOW(),1)&lt;TIME(9,39,0),Sheet1!$C$22=TODAY()),    Sheet1!$C$21-R500,     Sheet1!$C$21-R500-1),               R501-R500-1),    0)</f>
        <v>0</v>
      </c>
      <c r="F500" s="30"/>
      <c r="G500" s="25" t="str">
        <f>IF(LEFT(Sheet1!K501,2)="0x",Sheet1!K500,IF(AND(Sheet1!L500="",Sheet1!L499=""),"",G499))</f>
        <v/>
      </c>
      <c r="H500" s="81"/>
      <c r="I500" s="43" t="str">
        <f t="shared" si="37"/>
        <v/>
      </c>
      <c r="J500" s="29" t="str">
        <f t="shared" si="36"/>
        <v/>
      </c>
      <c r="K500" s="24" t="str">
        <f>IF(Sheet1!L500="","",IF(Sheet1!L500&gt;0,ROW(),""))</f>
        <v/>
      </c>
      <c r="L500" s="24" t="str">
        <f t="shared" ca="1" si="34"/>
        <v/>
      </c>
      <c r="M500" s="47" t="str">
        <f t="shared" ca="1" si="35"/>
        <v/>
      </c>
      <c r="N500" s="48" t="str">
        <f>IF(LEFT(Sheet1!K500,2)="0x",Sheet1!K500,IF(AND(Sheet1!L500="",Sheet1!L499=""),"",N499))</f>
        <v/>
      </c>
      <c r="O500" s="46">
        <f>IF(Sheet1!L500="",0,IF(Sheet1!O500&lt;TIME(7,39,0)+Sheet1!$E$3/24,1,0))</f>
        <v>0</v>
      </c>
      <c r="P500" s="46" t="str">
        <f ca="1">IF(AND(Sheet1!L500&lt;0, Sheet1!$C$21&gt;R500,OR(Sheet1!$C$21&lt;=R501,Sheet1!L501="")),   -1*Sheet1!L500,"")</f>
        <v/>
      </c>
    </row>
    <row r="501" spans="1:16" ht="15.75" x14ac:dyDescent="0.25">
      <c r="B501" s="41"/>
      <c r="C501" s="42"/>
      <c r="D501" s="39"/>
      <c r="E501" s="40"/>
      <c r="F501" s="30"/>
      <c r="G501" s="25"/>
      <c r="H501" s="81"/>
      <c r="I501" s="43"/>
      <c r="J501" s="29"/>
      <c r="K501" s="24"/>
      <c r="L501" s="24"/>
      <c r="N501" s="48"/>
      <c r="O501" s="46"/>
      <c r="P501" s="46"/>
    </row>
    <row r="502" spans="1:16" ht="15.75" x14ac:dyDescent="0.25">
      <c r="B502" s="41"/>
      <c r="C502" s="42"/>
      <c r="D502" s="39"/>
      <c r="E502" s="40"/>
      <c r="F502" s="30"/>
      <c r="G502" s="25"/>
      <c r="H502" s="81"/>
      <c r="I502" s="43"/>
      <c r="J502" s="29"/>
      <c r="K502" s="24"/>
      <c r="L502" s="24"/>
      <c r="N502" s="48"/>
      <c r="O502" s="46"/>
      <c r="P502" s="46"/>
    </row>
    <row r="503" spans="1:16" ht="15.75" x14ac:dyDescent="0.25">
      <c r="B503" s="41"/>
      <c r="C503" s="42"/>
      <c r="D503" s="39"/>
      <c r="E503" s="40"/>
      <c r="F503" s="30"/>
      <c r="G503" s="25"/>
      <c r="H503" s="81"/>
      <c r="I503" s="43"/>
      <c r="J503" s="29"/>
      <c r="K503" s="24"/>
      <c r="L503" s="24"/>
      <c r="N503" s="48"/>
      <c r="O503" s="46"/>
      <c r="P503" s="46"/>
    </row>
    <row r="504" spans="1:16" ht="15.75" x14ac:dyDescent="0.25">
      <c r="B504" s="41"/>
      <c r="C504" s="42"/>
      <c r="D504" s="39"/>
      <c r="E504" s="40"/>
      <c r="F504" s="30"/>
      <c r="G504" s="25"/>
      <c r="H504" s="81"/>
      <c r="I504" s="43"/>
      <c r="J504" s="29"/>
      <c r="K504" s="24"/>
      <c r="L504" s="24"/>
      <c r="N504" s="48"/>
      <c r="O504" s="46"/>
      <c r="P504" s="46"/>
    </row>
    <row r="505" spans="1:16" ht="15.75" x14ac:dyDescent="0.25">
      <c r="B505" s="41"/>
      <c r="C505" s="42"/>
      <c r="D505" s="39"/>
      <c r="E505" s="40"/>
      <c r="F505" s="30"/>
      <c r="G505" s="25"/>
      <c r="H505" s="81"/>
      <c r="I505" s="43"/>
      <c r="J505" s="29"/>
      <c r="K505" s="24"/>
      <c r="L505" s="24"/>
      <c r="N505" s="48"/>
      <c r="O505" s="46"/>
      <c r="P505" s="46"/>
    </row>
    <row r="506" spans="1:16" ht="15.75" x14ac:dyDescent="0.25">
      <c r="B506" s="41"/>
      <c r="C506" s="42"/>
      <c r="D506" s="39"/>
      <c r="E506" s="40"/>
      <c r="F506" s="30"/>
      <c r="G506" s="25"/>
      <c r="H506" s="81"/>
      <c r="I506" s="43"/>
      <c r="J506" s="29"/>
      <c r="K506" s="24"/>
      <c r="L506" s="24"/>
      <c r="N506" s="48"/>
      <c r="O506" s="46"/>
      <c r="P506" s="46"/>
    </row>
    <row r="507" spans="1:16" ht="15.75" x14ac:dyDescent="0.25">
      <c r="B507" s="41"/>
      <c r="C507" s="42"/>
      <c r="D507" s="39"/>
      <c r="E507" s="40"/>
      <c r="F507" s="30"/>
      <c r="G507" s="25"/>
      <c r="H507" s="81"/>
      <c r="I507" s="43"/>
      <c r="J507" s="29"/>
      <c r="K507" s="24"/>
      <c r="L507" s="24"/>
      <c r="N507" s="48"/>
      <c r="O507" s="46"/>
      <c r="P507" s="46"/>
    </row>
    <row r="508" spans="1:16" ht="15.75" x14ac:dyDescent="0.25">
      <c r="B508" s="41"/>
      <c r="C508" s="42"/>
      <c r="D508" s="39"/>
      <c r="E508" s="40"/>
      <c r="F508" s="30"/>
      <c r="G508" s="25"/>
      <c r="H508" s="81"/>
      <c r="I508" s="43"/>
      <c r="J508" s="29"/>
      <c r="K508" s="24"/>
      <c r="L508" s="24"/>
      <c r="N508" s="48"/>
      <c r="O508" s="46"/>
      <c r="P508" s="46"/>
    </row>
    <row r="509" spans="1:16" ht="15.75" x14ac:dyDescent="0.25">
      <c r="B509" s="41"/>
      <c r="C509" s="42"/>
      <c r="D509" s="39"/>
      <c r="E509" s="40"/>
      <c r="F509" s="30"/>
      <c r="G509" s="25"/>
      <c r="H509" s="81"/>
      <c r="I509" s="43"/>
      <c r="J509" s="29"/>
      <c r="K509" s="24"/>
      <c r="L509" s="24"/>
      <c r="N509" s="48"/>
      <c r="O509" s="46"/>
      <c r="P509" s="46"/>
    </row>
    <row r="510" spans="1:16" ht="15.75" x14ac:dyDescent="0.25">
      <c r="B510" s="41"/>
      <c r="C510" s="42"/>
      <c r="D510" s="39"/>
      <c r="E510" s="40"/>
      <c r="F510" s="30"/>
      <c r="G510" s="25"/>
      <c r="H510" s="81"/>
      <c r="I510" s="43"/>
      <c r="J510" s="29"/>
      <c r="K510" s="24"/>
      <c r="L510" s="24"/>
      <c r="N510" s="48"/>
      <c r="O510" s="46"/>
      <c r="P510" s="46"/>
    </row>
    <row r="511" spans="1:16" ht="15.75" x14ac:dyDescent="0.25">
      <c r="B511" s="41"/>
      <c r="C511" s="42"/>
      <c r="D511" s="39"/>
      <c r="E511" s="40"/>
      <c r="F511" s="30"/>
      <c r="G511" s="25"/>
      <c r="H511" s="81"/>
      <c r="I511" s="43"/>
      <c r="J511" s="29"/>
      <c r="K511" s="24"/>
      <c r="L511" s="24"/>
      <c r="N511" s="48"/>
      <c r="O511" s="46"/>
      <c r="P511" s="46"/>
    </row>
    <row r="512" spans="1:16" ht="15.75" x14ac:dyDescent="0.25">
      <c r="B512" s="41"/>
      <c r="C512" s="42"/>
      <c r="D512" s="39"/>
      <c r="E512" s="40"/>
      <c r="F512" s="30"/>
      <c r="G512" s="25"/>
      <c r="H512" s="81"/>
      <c r="I512" s="43"/>
      <c r="J512" s="29"/>
      <c r="K512" s="24"/>
      <c r="L512" s="24"/>
      <c r="N512" s="48"/>
      <c r="O512" s="46"/>
      <c r="P512" s="46"/>
    </row>
    <row r="513" spans="2:16" ht="15.75" x14ac:dyDescent="0.25">
      <c r="B513" s="41"/>
      <c r="C513" s="42"/>
      <c r="D513" s="39"/>
      <c r="E513" s="40"/>
      <c r="F513" s="30"/>
      <c r="G513" s="25"/>
      <c r="H513" s="81"/>
      <c r="I513" s="43"/>
      <c r="J513" s="29"/>
      <c r="K513" s="24"/>
      <c r="L513" s="24"/>
      <c r="N513" s="48"/>
      <c r="O513" s="46"/>
      <c r="P513" s="46"/>
    </row>
    <row r="514" spans="2:16" ht="15.75" x14ac:dyDescent="0.25">
      <c r="B514" s="41"/>
      <c r="C514" s="42"/>
      <c r="D514" s="39"/>
      <c r="E514" s="40"/>
      <c r="F514" s="30"/>
      <c r="G514" s="25"/>
      <c r="H514" s="81"/>
      <c r="I514" s="43"/>
      <c r="J514" s="29"/>
      <c r="K514" s="24"/>
      <c r="L514" s="24"/>
      <c r="N514" s="48"/>
      <c r="O514" s="46"/>
      <c r="P514" s="46"/>
    </row>
    <row r="515" spans="2:16" ht="15.75" x14ac:dyDescent="0.25">
      <c r="B515" s="41"/>
      <c r="C515" s="42"/>
      <c r="D515" s="39"/>
      <c r="E515" s="40"/>
      <c r="F515" s="30"/>
      <c r="G515" s="25"/>
      <c r="H515" s="81"/>
      <c r="I515" s="43"/>
      <c r="J515" s="29"/>
      <c r="K515" s="24"/>
      <c r="L515" s="24"/>
      <c r="N515" s="48"/>
      <c r="O515" s="46"/>
      <c r="P515" s="46"/>
    </row>
    <row r="516" spans="2:16" ht="15.75" x14ac:dyDescent="0.25">
      <c r="B516" s="41"/>
      <c r="C516" s="42"/>
      <c r="D516" s="39"/>
      <c r="E516" s="40"/>
      <c r="F516" s="30"/>
      <c r="G516" s="25"/>
      <c r="H516" s="81"/>
      <c r="I516" s="43"/>
      <c r="J516" s="29"/>
      <c r="K516" s="24"/>
      <c r="L516" s="24"/>
      <c r="N516" s="48"/>
      <c r="O516" s="46"/>
      <c r="P516" s="46"/>
    </row>
    <row r="517" spans="2:16" ht="15.75" x14ac:dyDescent="0.25">
      <c r="B517" s="41"/>
      <c r="C517" s="42"/>
      <c r="D517" s="39"/>
      <c r="E517" s="40"/>
      <c r="F517" s="30"/>
      <c r="G517" s="25"/>
      <c r="H517" s="81"/>
      <c r="I517" s="43"/>
      <c r="J517" s="29"/>
      <c r="K517" s="24"/>
      <c r="L517" s="24"/>
      <c r="N517" s="48"/>
      <c r="O517" s="46"/>
      <c r="P517" s="46"/>
    </row>
    <row r="518" spans="2:16" ht="15.75" x14ac:dyDescent="0.25">
      <c r="B518" s="41"/>
      <c r="C518" s="42"/>
      <c r="D518" s="39"/>
      <c r="E518" s="40"/>
      <c r="F518" s="30"/>
      <c r="G518" s="25"/>
      <c r="H518" s="81"/>
      <c r="I518" s="43"/>
      <c r="J518" s="29"/>
      <c r="K518" s="24"/>
      <c r="L518" s="24"/>
      <c r="N518" s="48"/>
      <c r="O518" s="46"/>
      <c r="P518" s="46"/>
    </row>
    <row r="519" spans="2:16" ht="15.75" x14ac:dyDescent="0.25">
      <c r="B519" s="41"/>
      <c r="C519" s="42"/>
      <c r="D519" s="39"/>
      <c r="E519" s="40"/>
      <c r="F519" s="30"/>
      <c r="G519" s="25"/>
      <c r="H519" s="81"/>
      <c r="I519" s="43"/>
      <c r="J519" s="29"/>
      <c r="K519" s="24"/>
      <c r="L519" s="24"/>
      <c r="N519" s="48"/>
      <c r="O519" s="46"/>
      <c r="P519" s="46"/>
    </row>
    <row r="520" spans="2:16" ht="15.75" x14ac:dyDescent="0.25">
      <c r="B520" s="41"/>
      <c r="C520" s="42"/>
      <c r="D520" s="39"/>
      <c r="E520" s="40"/>
      <c r="F520" s="30"/>
      <c r="G520" s="25"/>
      <c r="H520" s="81"/>
      <c r="I520" s="43"/>
      <c r="J520" s="29"/>
      <c r="K520" s="24"/>
      <c r="L520" s="24"/>
      <c r="N520" s="48"/>
      <c r="O520" s="46"/>
      <c r="P520" s="46"/>
    </row>
    <row r="521" spans="2:16" ht="15.75" x14ac:dyDescent="0.25">
      <c r="B521" s="41"/>
      <c r="C521" s="42"/>
      <c r="D521" s="39"/>
      <c r="E521" s="40"/>
      <c r="F521" s="30"/>
      <c r="G521" s="25"/>
      <c r="H521" s="81"/>
      <c r="I521" s="43"/>
      <c r="J521" s="29"/>
      <c r="K521" s="24"/>
      <c r="L521" s="24"/>
      <c r="N521" s="48"/>
      <c r="O521" s="46"/>
      <c r="P521" s="46"/>
    </row>
    <row r="522" spans="2:16" ht="15.75" x14ac:dyDescent="0.25">
      <c r="B522" s="41"/>
      <c r="C522" s="42"/>
      <c r="D522" s="39"/>
      <c r="E522" s="40"/>
      <c r="F522" s="30"/>
      <c r="G522" s="25"/>
      <c r="H522" s="81"/>
      <c r="I522" s="43"/>
      <c r="J522" s="29"/>
      <c r="K522" s="24"/>
      <c r="L522" s="24"/>
      <c r="N522" s="48"/>
      <c r="O522" s="46"/>
      <c r="P522" s="46"/>
    </row>
    <row r="523" spans="2:16" ht="15.75" x14ac:dyDescent="0.25">
      <c r="B523" s="41"/>
      <c r="C523" s="42"/>
      <c r="D523" s="39"/>
      <c r="E523" s="40"/>
      <c r="F523" s="30"/>
      <c r="G523" s="25"/>
      <c r="H523" s="81"/>
      <c r="I523" s="43"/>
      <c r="J523" s="29"/>
      <c r="K523" s="24"/>
      <c r="L523" s="24"/>
      <c r="N523" s="48"/>
      <c r="O523" s="46"/>
      <c r="P523" s="46"/>
    </row>
    <row r="524" spans="2:16" ht="15.75" x14ac:dyDescent="0.25">
      <c r="B524" s="41"/>
      <c r="C524" s="42"/>
      <c r="D524" s="39"/>
      <c r="E524" s="40"/>
      <c r="F524" s="30"/>
      <c r="G524" s="25"/>
      <c r="H524" s="81"/>
      <c r="I524" s="43"/>
      <c r="J524" s="29"/>
      <c r="K524" s="24"/>
      <c r="L524" s="24"/>
      <c r="N524" s="48"/>
      <c r="O524" s="46"/>
      <c r="P524" s="46"/>
    </row>
    <row r="525" spans="2:16" ht="15.75" x14ac:dyDescent="0.25">
      <c r="B525" s="41"/>
      <c r="C525" s="42"/>
      <c r="D525" s="39"/>
      <c r="E525" s="40"/>
      <c r="F525" s="30"/>
      <c r="G525" s="25"/>
      <c r="H525" s="81"/>
      <c r="I525" s="43"/>
      <c r="J525" s="29"/>
      <c r="K525" s="24"/>
      <c r="L525" s="24"/>
      <c r="N525" s="48"/>
      <c r="O525" s="46"/>
      <c r="P525" s="46"/>
    </row>
    <row r="526" spans="2:16" ht="15.75" x14ac:dyDescent="0.25">
      <c r="B526" s="41"/>
      <c r="C526" s="42"/>
      <c r="D526" s="39"/>
      <c r="E526" s="40"/>
      <c r="F526" s="30"/>
      <c r="G526" s="25"/>
      <c r="H526" s="81"/>
      <c r="I526" s="43"/>
      <c r="J526" s="29"/>
      <c r="K526" s="24"/>
      <c r="L526" s="24"/>
      <c r="N526" s="48"/>
      <c r="O526" s="46"/>
      <c r="P526" s="46"/>
    </row>
    <row r="527" spans="2:16" ht="15.75" x14ac:dyDescent="0.25">
      <c r="B527" s="41"/>
      <c r="C527" s="42"/>
      <c r="D527" s="39"/>
      <c r="E527" s="40"/>
      <c r="F527" s="30"/>
      <c r="G527" s="25"/>
      <c r="H527" s="81"/>
      <c r="I527" s="43"/>
      <c r="J527" s="29"/>
      <c r="K527" s="24"/>
      <c r="L527" s="24"/>
      <c r="N527" s="48"/>
      <c r="O527" s="46"/>
      <c r="P527" s="46"/>
    </row>
    <row r="528" spans="2:16" ht="15.75" x14ac:dyDescent="0.25">
      <c r="B528" s="41"/>
      <c r="C528" s="42"/>
      <c r="D528" s="39"/>
      <c r="E528" s="40"/>
      <c r="F528" s="30"/>
      <c r="G528" s="25"/>
      <c r="H528" s="81"/>
      <c r="I528" s="43"/>
      <c r="J528" s="29"/>
      <c r="K528" s="24"/>
      <c r="L528" s="24"/>
      <c r="N528" s="48"/>
      <c r="O528" s="46"/>
      <c r="P528" s="46"/>
    </row>
    <row r="529" spans="2:16" ht="15.75" x14ac:dyDescent="0.25">
      <c r="B529" s="41"/>
      <c r="C529" s="42"/>
      <c r="D529" s="39"/>
      <c r="E529" s="40"/>
      <c r="F529" s="30"/>
      <c r="G529" s="25"/>
      <c r="H529" s="81"/>
      <c r="I529" s="43"/>
      <c r="J529" s="29"/>
      <c r="K529" s="24"/>
      <c r="L529" s="24"/>
      <c r="N529" s="48"/>
      <c r="O529" s="46"/>
      <c r="P529" s="46"/>
    </row>
    <row r="530" spans="2:16" ht="15.75" x14ac:dyDescent="0.25">
      <c r="B530" s="41"/>
      <c r="C530" s="42"/>
      <c r="D530" s="39"/>
      <c r="E530" s="40"/>
      <c r="F530" s="30"/>
      <c r="G530" s="25"/>
      <c r="H530" s="81"/>
      <c r="I530" s="43"/>
      <c r="J530" s="29"/>
      <c r="K530" s="24"/>
      <c r="L530" s="24"/>
      <c r="N530" s="48"/>
      <c r="O530" s="46"/>
      <c r="P530" s="46"/>
    </row>
    <row r="531" spans="2:16" ht="15.75" x14ac:dyDescent="0.25">
      <c r="B531" s="41"/>
      <c r="C531" s="42"/>
      <c r="D531" s="39"/>
      <c r="E531" s="40"/>
      <c r="F531" s="30"/>
      <c r="G531" s="25"/>
      <c r="H531" s="81"/>
      <c r="I531" s="43"/>
      <c r="J531" s="29"/>
      <c r="K531" s="24"/>
      <c r="L531" s="24"/>
      <c r="N531" s="48"/>
      <c r="O531" s="46"/>
      <c r="P531" s="46"/>
    </row>
    <row r="532" spans="2:16" ht="15.75" x14ac:dyDescent="0.25">
      <c r="B532" s="41"/>
      <c r="C532" s="42"/>
      <c r="D532" s="39"/>
      <c r="E532" s="40"/>
      <c r="F532" s="30"/>
      <c r="G532" s="25"/>
      <c r="H532" s="81"/>
      <c r="I532" s="43"/>
      <c r="J532" s="29"/>
      <c r="K532" s="24"/>
      <c r="L532" s="24"/>
      <c r="N532" s="48"/>
      <c r="O532" s="46"/>
      <c r="P532" s="46"/>
    </row>
    <row r="533" spans="2:16" ht="15.75" x14ac:dyDescent="0.25">
      <c r="B533" s="41"/>
      <c r="C533" s="42"/>
      <c r="D533" s="39"/>
      <c r="E533" s="40"/>
      <c r="F533" s="30"/>
      <c r="G533" s="25"/>
      <c r="H533" s="81"/>
      <c r="I533" s="43"/>
      <c r="J533" s="29"/>
      <c r="K533" s="24"/>
      <c r="L533" s="24"/>
      <c r="N533" s="48"/>
      <c r="O533" s="46"/>
      <c r="P533" s="46"/>
    </row>
    <row r="534" spans="2:16" ht="15.75" x14ac:dyDescent="0.25">
      <c r="B534" s="41"/>
      <c r="C534" s="42"/>
      <c r="D534" s="39"/>
      <c r="E534" s="40"/>
      <c r="F534" s="30"/>
      <c r="G534" s="25"/>
      <c r="H534" s="81"/>
      <c r="I534" s="43"/>
      <c r="J534" s="29"/>
      <c r="K534" s="24"/>
      <c r="L534" s="24"/>
      <c r="N534" s="48"/>
      <c r="O534" s="46"/>
      <c r="P534" s="46"/>
    </row>
    <row r="535" spans="2:16" ht="15.75" x14ac:dyDescent="0.25">
      <c r="B535" s="41"/>
      <c r="C535" s="42"/>
      <c r="D535" s="39"/>
      <c r="E535" s="40"/>
      <c r="F535" s="30"/>
      <c r="G535" s="25"/>
      <c r="H535" s="81"/>
      <c r="I535" s="43"/>
      <c r="J535" s="29"/>
      <c r="K535" s="24"/>
      <c r="L535" s="24"/>
      <c r="N535" s="48"/>
      <c r="O535" s="46"/>
      <c r="P535" s="46"/>
    </row>
    <row r="536" spans="2:16" ht="15.75" x14ac:dyDescent="0.25">
      <c r="B536" s="41"/>
      <c r="C536" s="42"/>
      <c r="D536" s="39"/>
      <c r="E536" s="40"/>
      <c r="F536" s="30"/>
      <c r="G536" s="25"/>
      <c r="H536" s="81"/>
      <c r="I536" s="43"/>
      <c r="J536" s="29"/>
      <c r="K536" s="24"/>
      <c r="L536" s="24"/>
      <c r="N536" s="48"/>
      <c r="O536" s="46"/>
      <c r="P536" s="46"/>
    </row>
    <row r="537" spans="2:16" ht="15.75" x14ac:dyDescent="0.25">
      <c r="B537" s="41"/>
      <c r="C537" s="42"/>
      <c r="D537" s="39"/>
      <c r="E537" s="40"/>
      <c r="F537" s="30"/>
      <c r="G537" s="25"/>
      <c r="H537" s="81"/>
      <c r="I537" s="43"/>
      <c r="J537" s="29"/>
      <c r="K537" s="24"/>
      <c r="L537" s="24"/>
      <c r="N537" s="48"/>
      <c r="O537" s="46"/>
      <c r="P537" s="46"/>
    </row>
    <row r="538" spans="2:16" ht="15.75" x14ac:dyDescent="0.25">
      <c r="B538" s="41"/>
      <c r="C538" s="42"/>
      <c r="D538" s="39"/>
      <c r="E538" s="40"/>
      <c r="F538" s="30"/>
      <c r="G538" s="25"/>
      <c r="H538" s="81"/>
      <c r="I538" s="43"/>
      <c r="J538" s="29"/>
      <c r="K538" s="24"/>
      <c r="L538" s="24"/>
      <c r="N538" s="48"/>
      <c r="O538" s="46"/>
      <c r="P538" s="46"/>
    </row>
    <row r="539" spans="2:16" ht="15.75" x14ac:dyDescent="0.25">
      <c r="B539" s="41"/>
      <c r="C539" s="42"/>
      <c r="D539" s="39"/>
      <c r="E539" s="40"/>
      <c r="F539" s="30"/>
      <c r="G539" s="25"/>
      <c r="H539" s="81"/>
      <c r="I539" s="43"/>
      <c r="J539" s="29"/>
      <c r="K539" s="24"/>
      <c r="L539" s="24"/>
      <c r="N539" s="48"/>
      <c r="O539" s="46"/>
      <c r="P539" s="46"/>
    </row>
    <row r="540" spans="2:16" ht="15.75" x14ac:dyDescent="0.25">
      <c r="B540" s="41"/>
      <c r="C540" s="42"/>
      <c r="D540" s="39"/>
      <c r="E540" s="40"/>
      <c r="F540" s="30"/>
      <c r="G540" s="25"/>
      <c r="H540" s="81"/>
      <c r="I540" s="43"/>
      <c r="J540" s="29"/>
      <c r="K540" s="24"/>
      <c r="L540" s="24"/>
      <c r="N540" s="48"/>
      <c r="O540" s="46"/>
      <c r="P540" s="46"/>
    </row>
    <row r="541" spans="2:16" ht="15.75" x14ac:dyDescent="0.25">
      <c r="B541" s="41"/>
      <c r="C541" s="42"/>
      <c r="D541" s="39"/>
      <c r="E541" s="40"/>
      <c r="F541" s="30"/>
      <c r="G541" s="25"/>
      <c r="H541" s="81"/>
      <c r="I541" s="43"/>
      <c r="J541" s="29"/>
      <c r="K541" s="24"/>
      <c r="L541" s="24"/>
      <c r="N541" s="48"/>
      <c r="O541" s="46"/>
      <c r="P541" s="46"/>
    </row>
    <row r="542" spans="2:16" ht="15.75" x14ac:dyDescent="0.25">
      <c r="B542" s="41"/>
      <c r="C542" s="42"/>
      <c r="D542" s="39"/>
      <c r="E542" s="40"/>
      <c r="F542" s="30"/>
      <c r="G542" s="25"/>
      <c r="H542" s="81"/>
      <c r="I542" s="43"/>
      <c r="J542" s="29"/>
      <c r="K542" s="24"/>
      <c r="L542" s="24"/>
      <c r="N542" s="48"/>
      <c r="O542" s="46"/>
      <c r="P542" s="46"/>
    </row>
    <row r="543" spans="2:16" ht="15.75" x14ac:dyDescent="0.25">
      <c r="B543" s="41"/>
      <c r="C543" s="42"/>
      <c r="D543" s="39"/>
      <c r="E543" s="40"/>
      <c r="F543" s="30"/>
      <c r="G543" s="25"/>
      <c r="H543" s="81"/>
      <c r="I543" s="43"/>
      <c r="J543" s="29"/>
      <c r="K543" s="24"/>
      <c r="L543" s="24"/>
      <c r="N543" s="48"/>
      <c r="O543" s="46"/>
      <c r="P543" s="46"/>
    </row>
    <row r="544" spans="2:16" ht="15.75" x14ac:dyDescent="0.25">
      <c r="B544" s="41"/>
      <c r="C544" s="42"/>
      <c r="D544" s="39"/>
      <c r="E544" s="40"/>
      <c r="F544" s="30"/>
      <c r="G544" s="25"/>
      <c r="H544" s="81"/>
      <c r="I544" s="43"/>
      <c r="J544" s="29"/>
      <c r="K544" s="24"/>
      <c r="L544" s="24"/>
      <c r="N544" s="48"/>
      <c r="O544" s="46"/>
      <c r="P544" s="46"/>
    </row>
    <row r="545" spans="2:16" ht="15.75" x14ac:dyDescent="0.25">
      <c r="B545" s="41"/>
      <c r="C545" s="42"/>
      <c r="D545" s="39"/>
      <c r="E545" s="40"/>
      <c r="F545" s="30"/>
      <c r="G545" s="25"/>
      <c r="H545" s="81"/>
      <c r="I545" s="43"/>
      <c r="J545" s="29"/>
      <c r="K545" s="24"/>
      <c r="L545" s="24"/>
      <c r="N545" s="48"/>
      <c r="O545" s="46"/>
      <c r="P545" s="46"/>
    </row>
    <row r="546" spans="2:16" ht="15.75" x14ac:dyDescent="0.25">
      <c r="B546" s="41"/>
      <c r="C546" s="42"/>
      <c r="D546" s="39"/>
      <c r="E546" s="40"/>
      <c r="F546" s="30"/>
      <c r="G546" s="25"/>
      <c r="H546" s="81"/>
      <c r="I546" s="43"/>
      <c r="J546" s="29"/>
      <c r="K546" s="24"/>
      <c r="L546" s="24"/>
      <c r="N546" s="48"/>
      <c r="O546" s="46"/>
      <c r="P546" s="46"/>
    </row>
    <row r="547" spans="2:16" ht="15.75" x14ac:dyDescent="0.25">
      <c r="B547" s="41"/>
      <c r="C547" s="42"/>
      <c r="D547" s="39"/>
      <c r="E547" s="40"/>
      <c r="F547" s="30"/>
      <c r="G547" s="25"/>
      <c r="H547" s="81"/>
      <c r="I547" s="43"/>
      <c r="J547" s="29"/>
      <c r="K547" s="24"/>
      <c r="L547" s="24"/>
      <c r="N547" s="48"/>
      <c r="O547" s="46"/>
      <c r="P547" s="46"/>
    </row>
    <row r="548" spans="2:16" ht="15.75" x14ac:dyDescent="0.25">
      <c r="B548" s="41"/>
      <c r="C548" s="42"/>
      <c r="D548" s="39"/>
      <c r="E548" s="40"/>
      <c r="F548" s="30"/>
      <c r="G548" s="25"/>
      <c r="H548" s="81"/>
      <c r="I548" s="43"/>
      <c r="J548" s="29"/>
      <c r="K548" s="24"/>
      <c r="L548" s="24"/>
      <c r="N548" s="48"/>
      <c r="O548" s="46"/>
      <c r="P548" s="46"/>
    </row>
    <row r="549" spans="2:16" ht="15.75" x14ac:dyDescent="0.25">
      <c r="B549" s="41"/>
      <c r="C549" s="42"/>
      <c r="D549" s="39"/>
      <c r="E549" s="40"/>
      <c r="F549" s="30"/>
      <c r="G549" s="25"/>
      <c r="H549" s="81"/>
      <c r="I549" s="43"/>
      <c r="J549" s="29"/>
      <c r="K549" s="24"/>
      <c r="L549" s="24"/>
      <c r="N549" s="48"/>
      <c r="O549" s="46"/>
      <c r="P549" s="46"/>
    </row>
    <row r="550" spans="2:16" ht="15.75" x14ac:dyDescent="0.25">
      <c r="B550" s="41"/>
      <c r="C550" s="42"/>
      <c r="D550" s="39"/>
      <c r="E550" s="40"/>
      <c r="F550" s="30"/>
      <c r="G550" s="25"/>
      <c r="H550" s="81"/>
      <c r="I550" s="43"/>
      <c r="J550" s="29"/>
      <c r="K550" s="24"/>
      <c r="L550" s="24"/>
      <c r="N550" s="48"/>
      <c r="O550" s="46"/>
      <c r="P550" s="46"/>
    </row>
    <row r="551" spans="2:16" ht="15.75" x14ac:dyDescent="0.25">
      <c r="B551" s="41"/>
      <c r="C551" s="42"/>
      <c r="D551" s="39"/>
      <c r="E551" s="40"/>
      <c r="F551" s="30"/>
      <c r="G551" s="25"/>
      <c r="H551" s="81"/>
      <c r="I551" s="43"/>
      <c r="J551" s="29"/>
      <c r="K551" s="24"/>
      <c r="L551" s="24"/>
      <c r="N551" s="48"/>
      <c r="O551" s="46"/>
      <c r="P551" s="46"/>
    </row>
    <row r="552" spans="2:16" ht="15.75" x14ac:dyDescent="0.25">
      <c r="B552" s="41"/>
      <c r="C552" s="42"/>
      <c r="D552" s="39"/>
      <c r="E552" s="40"/>
      <c r="F552" s="30"/>
      <c r="G552" s="25"/>
      <c r="H552" s="81"/>
      <c r="I552" s="43"/>
      <c r="J552" s="29"/>
      <c r="K552" s="24"/>
      <c r="L552" s="24"/>
      <c r="N552" s="48"/>
      <c r="O552" s="46"/>
      <c r="P552" s="46"/>
    </row>
    <row r="553" spans="2:16" ht="15.75" x14ac:dyDescent="0.25">
      <c r="B553" s="41"/>
      <c r="C553" s="42"/>
      <c r="D553" s="39"/>
      <c r="E553" s="40"/>
      <c r="F553" s="30"/>
      <c r="G553" s="25"/>
      <c r="H553" s="81"/>
      <c r="I553" s="43"/>
      <c r="J553" s="29"/>
      <c r="K553" s="24"/>
      <c r="L553" s="24"/>
      <c r="N553" s="48"/>
      <c r="O553" s="46"/>
      <c r="P553" s="46"/>
    </row>
    <row r="554" spans="2:16" ht="15.75" x14ac:dyDescent="0.25">
      <c r="B554" s="41"/>
      <c r="C554" s="42"/>
      <c r="D554" s="39"/>
      <c r="E554" s="40"/>
      <c r="F554" s="30"/>
      <c r="G554" s="25"/>
      <c r="H554" s="81"/>
      <c r="I554" s="43"/>
      <c r="J554" s="29"/>
      <c r="K554" s="24"/>
      <c r="L554" s="24"/>
      <c r="N554" s="48"/>
      <c r="O554" s="46"/>
      <c r="P554" s="46"/>
    </row>
    <row r="555" spans="2:16" ht="15.75" x14ac:dyDescent="0.25">
      <c r="B555" s="41"/>
      <c r="C555" s="42"/>
      <c r="D555" s="39"/>
      <c r="E555" s="40"/>
      <c r="F555" s="30"/>
      <c r="G555" s="25"/>
      <c r="H555" s="81"/>
      <c r="I555" s="43"/>
      <c r="J555" s="29"/>
      <c r="K555" s="24"/>
      <c r="L555" s="24"/>
      <c r="N555" s="48"/>
      <c r="O555" s="46"/>
      <c r="P555" s="46"/>
    </row>
    <row r="556" spans="2:16" ht="15.75" x14ac:dyDescent="0.25">
      <c r="B556" s="41"/>
      <c r="C556" s="42"/>
      <c r="D556" s="39"/>
      <c r="E556" s="40"/>
      <c r="F556" s="30"/>
      <c r="G556" s="25"/>
      <c r="H556" s="81"/>
      <c r="I556" s="43"/>
      <c r="J556" s="29"/>
      <c r="K556" s="24"/>
      <c r="L556" s="24"/>
      <c r="N556" s="48"/>
      <c r="O556" s="46"/>
      <c r="P556" s="46"/>
    </row>
    <row r="557" spans="2:16" ht="15.75" x14ac:dyDescent="0.25">
      <c r="B557" s="41"/>
      <c r="C557" s="42"/>
      <c r="D557" s="39"/>
      <c r="E557" s="40"/>
      <c r="F557" s="30"/>
      <c r="G557" s="25"/>
      <c r="H557" s="81"/>
      <c r="I557" s="43"/>
      <c r="J557" s="29"/>
      <c r="K557" s="24"/>
      <c r="L557" s="24"/>
      <c r="N557" s="48"/>
      <c r="O557" s="46"/>
      <c r="P557" s="46"/>
    </row>
    <row r="558" spans="2:16" ht="15.75" x14ac:dyDescent="0.25">
      <c r="B558" s="41"/>
      <c r="C558" s="42"/>
      <c r="D558" s="39"/>
      <c r="E558" s="40"/>
      <c r="F558" s="30"/>
      <c r="G558" s="25"/>
      <c r="H558" s="81"/>
      <c r="I558" s="43"/>
      <c r="J558" s="29"/>
      <c r="K558" s="24"/>
      <c r="L558" s="24"/>
      <c r="N558" s="48"/>
      <c r="O558" s="46"/>
      <c r="P558" s="46"/>
    </row>
    <row r="559" spans="2:16" ht="15.75" x14ac:dyDescent="0.25">
      <c r="B559" s="41"/>
      <c r="C559" s="42"/>
      <c r="D559" s="39"/>
      <c r="E559" s="40"/>
      <c r="F559" s="30"/>
      <c r="G559" s="25"/>
      <c r="H559" s="81"/>
      <c r="I559" s="43"/>
      <c r="J559" s="29"/>
      <c r="K559" s="24"/>
      <c r="L559" s="24"/>
      <c r="N559" s="48"/>
      <c r="O559" s="46"/>
      <c r="P559" s="46"/>
    </row>
    <row r="560" spans="2:16" ht="15.75" x14ac:dyDescent="0.25">
      <c r="B560" s="41"/>
      <c r="C560" s="42"/>
      <c r="D560" s="39"/>
      <c r="E560" s="40"/>
      <c r="F560" s="30"/>
      <c r="G560" s="25"/>
      <c r="H560" s="81"/>
      <c r="I560" s="43"/>
      <c r="J560" s="29"/>
      <c r="K560" s="24"/>
      <c r="L560" s="24"/>
      <c r="N560" s="48"/>
      <c r="O560" s="46"/>
      <c r="P560" s="46"/>
    </row>
    <row r="561" spans="2:16" ht="15.75" x14ac:dyDescent="0.25">
      <c r="B561" s="41"/>
      <c r="C561" s="42"/>
      <c r="D561" s="39"/>
      <c r="E561" s="40"/>
      <c r="F561" s="30"/>
      <c r="G561" s="25"/>
      <c r="H561" s="81"/>
      <c r="I561" s="43"/>
      <c r="J561" s="29"/>
      <c r="K561" s="24"/>
      <c r="L561" s="24"/>
      <c r="N561" s="48"/>
      <c r="O561" s="46"/>
      <c r="P561" s="46"/>
    </row>
    <row r="562" spans="2:16" ht="15.75" x14ac:dyDescent="0.25">
      <c r="B562" s="41"/>
      <c r="C562" s="42"/>
      <c r="D562" s="39"/>
      <c r="E562" s="40"/>
      <c r="F562" s="30"/>
      <c r="G562" s="25"/>
      <c r="H562" s="81"/>
      <c r="I562" s="43"/>
      <c r="J562" s="29"/>
      <c r="K562" s="24"/>
      <c r="L562" s="24"/>
      <c r="N562" s="48"/>
      <c r="O562" s="46"/>
      <c r="P562" s="46"/>
    </row>
    <row r="563" spans="2:16" ht="15.75" x14ac:dyDescent="0.25">
      <c r="B563" s="41"/>
      <c r="C563" s="42"/>
      <c r="D563" s="39"/>
      <c r="E563" s="40"/>
      <c r="F563" s="30"/>
      <c r="G563" s="25"/>
      <c r="H563" s="81"/>
      <c r="I563" s="43"/>
      <c r="J563" s="29"/>
      <c r="K563" s="24"/>
      <c r="L563" s="24"/>
      <c r="N563" s="48"/>
      <c r="O563" s="46"/>
      <c r="P563" s="46"/>
    </row>
    <row r="564" spans="2:16" ht="15.75" x14ac:dyDescent="0.25">
      <c r="B564" s="41"/>
      <c r="C564" s="42"/>
      <c r="D564" s="39"/>
      <c r="E564" s="40"/>
      <c r="F564" s="30"/>
      <c r="G564" s="25"/>
      <c r="H564" s="81"/>
      <c r="I564" s="43"/>
      <c r="J564" s="29"/>
      <c r="K564" s="24"/>
      <c r="L564" s="24"/>
      <c r="N564" s="48"/>
      <c r="O564" s="46"/>
      <c r="P564" s="46"/>
    </row>
    <row r="565" spans="2:16" ht="15.75" x14ac:dyDescent="0.25">
      <c r="B565" s="41"/>
      <c r="C565" s="42"/>
      <c r="D565" s="39"/>
      <c r="E565" s="40"/>
      <c r="F565" s="30"/>
      <c r="G565" s="25"/>
      <c r="H565" s="81"/>
      <c r="I565" s="43"/>
      <c r="J565" s="29"/>
      <c r="K565" s="24"/>
      <c r="L565" s="24"/>
      <c r="N565" s="48"/>
      <c r="O565" s="46"/>
      <c r="P565" s="46"/>
    </row>
    <row r="566" spans="2:16" ht="15.75" x14ac:dyDescent="0.25">
      <c r="B566" s="41"/>
      <c r="C566" s="42"/>
      <c r="D566" s="39"/>
      <c r="E566" s="40"/>
      <c r="F566" s="30"/>
      <c r="G566" s="25"/>
      <c r="H566" s="81"/>
      <c r="I566" s="43"/>
      <c r="J566" s="29"/>
      <c r="K566" s="24"/>
      <c r="L566" s="24"/>
      <c r="N566" s="48"/>
      <c r="O566" s="46"/>
      <c r="P566" s="46"/>
    </row>
    <row r="567" spans="2:16" ht="15.75" x14ac:dyDescent="0.25">
      <c r="B567" s="41"/>
      <c r="C567" s="42"/>
      <c r="D567" s="39"/>
      <c r="E567" s="40"/>
      <c r="F567" s="30"/>
      <c r="G567" s="25"/>
      <c r="H567" s="81"/>
      <c r="I567" s="43"/>
      <c r="J567" s="29"/>
      <c r="K567" s="24"/>
      <c r="L567" s="24"/>
      <c r="N567" s="48"/>
      <c r="O567" s="46"/>
      <c r="P567" s="46"/>
    </row>
    <row r="568" spans="2:16" ht="15.75" x14ac:dyDescent="0.25">
      <c r="B568" s="41"/>
      <c r="C568" s="42"/>
      <c r="D568" s="39"/>
      <c r="E568" s="40"/>
      <c r="F568" s="30"/>
      <c r="G568" s="25"/>
      <c r="H568" s="81"/>
      <c r="I568" s="43"/>
      <c r="J568" s="29"/>
      <c r="K568" s="24"/>
      <c r="L568" s="24"/>
      <c r="N568" s="48"/>
      <c r="O568" s="46"/>
      <c r="P568" s="46"/>
    </row>
    <row r="569" spans="2:16" ht="15.75" x14ac:dyDescent="0.25">
      <c r="B569" s="41"/>
      <c r="C569" s="42"/>
      <c r="D569" s="39"/>
      <c r="E569" s="40"/>
      <c r="F569" s="30"/>
      <c r="G569" s="25"/>
      <c r="H569" s="81"/>
      <c r="I569" s="43"/>
      <c r="J569" s="29"/>
      <c r="K569" s="24"/>
      <c r="L569" s="24"/>
      <c r="N569" s="48"/>
      <c r="O569" s="46"/>
      <c r="P569" s="46"/>
    </row>
    <row r="570" spans="2:16" ht="15.75" x14ac:dyDescent="0.25">
      <c r="B570" s="41"/>
      <c r="C570" s="42"/>
      <c r="D570" s="39"/>
      <c r="E570" s="40"/>
      <c r="F570" s="30"/>
      <c r="G570" s="25"/>
      <c r="H570" s="81"/>
      <c r="I570" s="43"/>
      <c r="J570" s="29"/>
      <c r="K570" s="24"/>
      <c r="L570" s="24"/>
      <c r="N570" s="48"/>
      <c r="O570" s="46"/>
      <c r="P570" s="46"/>
    </row>
    <row r="571" spans="2:16" ht="15.75" x14ac:dyDescent="0.25">
      <c r="B571" s="41"/>
      <c r="C571" s="42"/>
      <c r="D571" s="39"/>
      <c r="E571" s="40"/>
      <c r="F571" s="30"/>
      <c r="G571" s="25"/>
      <c r="H571" s="81"/>
      <c r="I571" s="43"/>
      <c r="J571" s="29"/>
      <c r="K571" s="24"/>
      <c r="L571" s="24"/>
      <c r="N571" s="48"/>
      <c r="O571" s="46"/>
      <c r="P571" s="46"/>
    </row>
    <row r="572" spans="2:16" ht="15.75" x14ac:dyDescent="0.25">
      <c r="B572" s="41"/>
      <c r="C572" s="42"/>
      <c r="D572" s="39"/>
      <c r="E572" s="40"/>
      <c r="F572" s="30"/>
      <c r="G572" s="25"/>
      <c r="H572" s="81"/>
      <c r="I572" s="43"/>
      <c r="J572" s="29"/>
      <c r="K572" s="24"/>
      <c r="L572" s="24"/>
      <c r="N572" s="48"/>
      <c r="O572" s="46"/>
      <c r="P572" s="46"/>
    </row>
    <row r="573" spans="2:16" ht="15.75" x14ac:dyDescent="0.25">
      <c r="B573" s="41"/>
      <c r="C573" s="42"/>
      <c r="D573" s="39"/>
      <c r="E573" s="40"/>
      <c r="F573" s="30"/>
      <c r="G573" s="25"/>
      <c r="H573" s="81"/>
      <c r="I573" s="43"/>
      <c r="J573" s="29"/>
      <c r="K573" s="24"/>
      <c r="L573" s="24"/>
      <c r="N573" s="48"/>
      <c r="O573" s="46"/>
      <c r="P573" s="46"/>
    </row>
    <row r="574" spans="2:16" ht="15.75" x14ac:dyDescent="0.25">
      <c r="B574" s="41"/>
      <c r="C574" s="42"/>
      <c r="D574" s="39"/>
      <c r="E574" s="40"/>
      <c r="F574" s="30"/>
      <c r="G574" s="25"/>
      <c r="H574" s="81"/>
      <c r="I574" s="43"/>
      <c r="J574" s="29"/>
      <c r="K574" s="24"/>
      <c r="L574" s="24"/>
      <c r="N574" s="48"/>
      <c r="O574" s="46"/>
      <c r="P574" s="46"/>
    </row>
    <row r="575" spans="2:16" ht="15.75" x14ac:dyDescent="0.25">
      <c r="B575" s="41"/>
      <c r="C575" s="42"/>
      <c r="D575" s="39"/>
      <c r="E575" s="40"/>
      <c r="F575" s="30"/>
      <c r="G575" s="25"/>
      <c r="H575" s="81"/>
      <c r="I575" s="43"/>
      <c r="J575" s="29"/>
      <c r="K575" s="24"/>
      <c r="L575" s="24"/>
      <c r="N575" s="48"/>
      <c r="O575" s="46"/>
      <c r="P575" s="46"/>
    </row>
    <row r="576" spans="2:16" ht="15.75" x14ac:dyDescent="0.25">
      <c r="B576" s="41"/>
      <c r="C576" s="42"/>
      <c r="D576" s="39"/>
      <c r="E576" s="40"/>
      <c r="F576" s="30"/>
      <c r="G576" s="25"/>
      <c r="H576" s="81"/>
      <c r="I576" s="43"/>
      <c r="J576" s="29"/>
      <c r="K576" s="24"/>
      <c r="L576" s="24"/>
      <c r="N576" s="48"/>
      <c r="O576" s="46"/>
      <c r="P576" s="46"/>
    </row>
    <row r="577" spans="2:16" ht="15.75" x14ac:dyDescent="0.25">
      <c r="B577" s="41"/>
      <c r="C577" s="42"/>
      <c r="D577" s="39"/>
      <c r="E577" s="40"/>
      <c r="F577" s="30"/>
      <c r="G577" s="25"/>
      <c r="H577" s="81"/>
      <c r="I577" s="43"/>
      <c r="J577" s="29"/>
      <c r="K577" s="24"/>
      <c r="L577" s="24"/>
      <c r="N577" s="48"/>
      <c r="O577" s="46"/>
      <c r="P577" s="46"/>
    </row>
    <row r="578" spans="2:16" ht="15.75" x14ac:dyDescent="0.25">
      <c r="B578" s="41"/>
      <c r="C578" s="42"/>
      <c r="D578" s="39"/>
      <c r="E578" s="40"/>
      <c r="F578" s="30"/>
      <c r="G578" s="25"/>
      <c r="H578" s="81"/>
      <c r="I578" s="43"/>
      <c r="J578" s="29"/>
      <c r="K578" s="24"/>
      <c r="L578" s="24"/>
      <c r="N578" s="48"/>
      <c r="O578" s="46"/>
      <c r="P578" s="46"/>
    </row>
    <row r="579" spans="2:16" ht="15.75" x14ac:dyDescent="0.25">
      <c r="B579" s="41"/>
      <c r="C579" s="42"/>
      <c r="D579" s="39"/>
      <c r="E579" s="40"/>
      <c r="F579" s="30"/>
      <c r="G579" s="25"/>
      <c r="H579" s="81"/>
      <c r="I579" s="43"/>
      <c r="J579" s="29"/>
      <c r="K579" s="24"/>
      <c r="L579" s="24"/>
      <c r="N579" s="48"/>
      <c r="O579" s="46"/>
      <c r="P579" s="46"/>
    </row>
    <row r="580" spans="2:16" ht="15.75" x14ac:dyDescent="0.25">
      <c r="B580" s="41"/>
      <c r="C580" s="42"/>
      <c r="D580" s="39"/>
      <c r="E580" s="40"/>
      <c r="F580" s="30"/>
      <c r="G580" s="25"/>
      <c r="H580" s="81"/>
      <c r="I580" s="43"/>
      <c r="J580" s="29"/>
      <c r="K580" s="24"/>
      <c r="L580" s="24"/>
      <c r="N580" s="48"/>
      <c r="O580" s="46"/>
      <c r="P580" s="46"/>
    </row>
    <row r="581" spans="2:16" ht="15.75" x14ac:dyDescent="0.25">
      <c r="B581" s="41"/>
      <c r="C581" s="42"/>
      <c r="D581" s="39"/>
      <c r="E581" s="40"/>
      <c r="F581" s="30"/>
      <c r="G581" s="25"/>
      <c r="H581" s="81"/>
      <c r="I581" s="43"/>
      <c r="J581" s="29"/>
      <c r="K581" s="24"/>
      <c r="L581" s="24"/>
      <c r="N581" s="48"/>
      <c r="O581" s="46"/>
      <c r="P581" s="46"/>
    </row>
    <row r="582" spans="2:16" ht="15.75" x14ac:dyDescent="0.25">
      <c r="B582" s="41"/>
      <c r="C582" s="42"/>
      <c r="D582" s="39"/>
      <c r="E582" s="40"/>
      <c r="F582" s="30"/>
      <c r="G582" s="25"/>
      <c r="H582" s="81"/>
      <c r="I582" s="43"/>
      <c r="J582" s="29"/>
      <c r="K582" s="24"/>
      <c r="L582" s="24"/>
      <c r="N582" s="48"/>
      <c r="O582" s="46"/>
      <c r="P582" s="46"/>
    </row>
    <row r="583" spans="2:16" ht="15.75" x14ac:dyDescent="0.25">
      <c r="B583" s="41"/>
      <c r="C583" s="42"/>
      <c r="D583" s="39"/>
      <c r="E583" s="40"/>
      <c r="F583" s="30"/>
      <c r="G583" s="25"/>
      <c r="H583" s="81"/>
      <c r="I583" s="43"/>
      <c r="J583" s="29"/>
      <c r="K583" s="24"/>
      <c r="L583" s="24"/>
      <c r="N583" s="48"/>
      <c r="O583" s="46"/>
      <c r="P583" s="46"/>
    </row>
    <row r="584" spans="2:16" ht="15.75" x14ac:dyDescent="0.25">
      <c r="B584" s="41"/>
      <c r="C584" s="42"/>
      <c r="D584" s="39"/>
      <c r="E584" s="40"/>
      <c r="F584" s="30"/>
      <c r="G584" s="25"/>
      <c r="H584" s="81"/>
      <c r="I584" s="43"/>
      <c r="J584" s="29"/>
      <c r="K584" s="24"/>
      <c r="L584" s="24"/>
      <c r="N584" s="48"/>
      <c r="O584" s="46"/>
      <c r="P584" s="46"/>
    </row>
    <row r="585" spans="2:16" ht="15.75" x14ac:dyDescent="0.25">
      <c r="B585" s="41"/>
      <c r="C585" s="42"/>
      <c r="D585" s="39"/>
      <c r="E585" s="40"/>
      <c r="F585" s="30"/>
      <c r="G585" s="25"/>
      <c r="H585" s="81"/>
      <c r="I585" s="43"/>
      <c r="J585" s="29"/>
      <c r="K585" s="24"/>
      <c r="L585" s="24"/>
      <c r="N585" s="48"/>
      <c r="O585" s="46"/>
      <c r="P585" s="46"/>
    </row>
    <row r="586" spans="2:16" ht="15.75" x14ac:dyDescent="0.25">
      <c r="B586" s="41"/>
      <c r="C586" s="42"/>
      <c r="D586" s="39"/>
      <c r="E586" s="40"/>
      <c r="F586" s="30"/>
      <c r="G586" s="25"/>
      <c r="H586" s="81"/>
      <c r="I586" s="43"/>
      <c r="J586" s="29"/>
      <c r="K586" s="24"/>
      <c r="L586" s="24"/>
      <c r="N586" s="48"/>
      <c r="O586" s="46"/>
      <c r="P586" s="46"/>
    </row>
    <row r="587" spans="2:16" ht="15.75" x14ac:dyDescent="0.25">
      <c r="B587" s="41"/>
      <c r="C587" s="42"/>
      <c r="D587" s="39"/>
      <c r="E587" s="40"/>
      <c r="F587" s="30"/>
      <c r="G587" s="25"/>
      <c r="H587" s="81"/>
      <c r="I587" s="43"/>
      <c r="J587" s="29"/>
      <c r="K587" s="24"/>
      <c r="L587" s="24"/>
      <c r="N587" s="48"/>
      <c r="O587" s="46"/>
      <c r="P587" s="46"/>
    </row>
    <row r="588" spans="2:16" ht="15.75" x14ac:dyDescent="0.25">
      <c r="B588" s="41"/>
      <c r="C588" s="42"/>
      <c r="D588" s="39"/>
      <c r="E588" s="40"/>
      <c r="F588" s="30"/>
      <c r="G588" s="25"/>
      <c r="H588" s="81"/>
      <c r="I588" s="43"/>
      <c r="J588" s="29"/>
      <c r="K588" s="24"/>
      <c r="L588" s="24"/>
      <c r="N588" s="48"/>
      <c r="O588" s="46"/>
      <c r="P588" s="46"/>
    </row>
    <row r="589" spans="2:16" ht="15.75" x14ac:dyDescent="0.25">
      <c r="B589" s="41"/>
      <c r="C589" s="42"/>
      <c r="D589" s="39"/>
      <c r="E589" s="40"/>
      <c r="F589" s="30"/>
      <c r="G589" s="25"/>
      <c r="H589" s="81"/>
      <c r="I589" s="43"/>
      <c r="J589" s="29"/>
      <c r="K589" s="24"/>
      <c r="L589" s="24"/>
      <c r="N589" s="48"/>
      <c r="O589" s="46"/>
      <c r="P589" s="46"/>
    </row>
    <row r="590" spans="2:16" ht="15.75" x14ac:dyDescent="0.25">
      <c r="B590" s="41"/>
      <c r="C590" s="42"/>
      <c r="D590" s="39"/>
      <c r="E590" s="40"/>
      <c r="F590" s="30"/>
      <c r="G590" s="25"/>
      <c r="H590" s="81"/>
      <c r="I590" s="43"/>
      <c r="J590" s="29"/>
      <c r="K590" s="24"/>
      <c r="L590" s="24"/>
      <c r="N590" s="48"/>
      <c r="O590" s="46"/>
      <c r="P590" s="46"/>
    </row>
    <row r="591" spans="2:16" ht="15.75" x14ac:dyDescent="0.25">
      <c r="B591" s="41"/>
      <c r="C591" s="42"/>
      <c r="D591" s="39"/>
      <c r="E591" s="40"/>
      <c r="F591" s="30"/>
      <c r="G591" s="25"/>
      <c r="H591" s="81"/>
      <c r="I591" s="43"/>
      <c r="J591" s="29"/>
      <c r="K591" s="24"/>
      <c r="L591" s="24"/>
      <c r="N591" s="48"/>
      <c r="O591" s="46"/>
      <c r="P591" s="46"/>
    </row>
    <row r="592" spans="2:16" ht="15.75" x14ac:dyDescent="0.25">
      <c r="B592" s="41"/>
      <c r="C592" s="42"/>
      <c r="D592" s="39"/>
      <c r="E592" s="40"/>
      <c r="F592" s="30"/>
      <c r="G592" s="25"/>
      <c r="H592" s="81"/>
      <c r="I592" s="43"/>
      <c r="J592" s="29"/>
      <c r="K592" s="24"/>
      <c r="L592" s="24"/>
      <c r="N592" s="48"/>
      <c r="O592" s="46"/>
      <c r="P592" s="46"/>
    </row>
    <row r="593" spans="2:16" ht="15.75" x14ac:dyDescent="0.25">
      <c r="B593" s="41"/>
      <c r="C593" s="42"/>
      <c r="D593" s="39"/>
      <c r="E593" s="40"/>
      <c r="F593" s="30"/>
      <c r="G593" s="25"/>
      <c r="H593" s="81"/>
      <c r="I593" s="43"/>
      <c r="J593" s="29"/>
      <c r="K593" s="24"/>
      <c r="L593" s="24"/>
      <c r="N593" s="48"/>
      <c r="O593" s="46"/>
      <c r="P593" s="46"/>
    </row>
    <row r="594" spans="2:16" ht="15.75" x14ac:dyDescent="0.25">
      <c r="B594" s="41"/>
      <c r="C594" s="42"/>
      <c r="D594" s="39"/>
      <c r="E594" s="40"/>
      <c r="F594" s="30"/>
      <c r="G594" s="25"/>
      <c r="H594" s="81"/>
      <c r="I594" s="43"/>
      <c r="J594" s="29"/>
      <c r="K594" s="24"/>
      <c r="L594" s="24"/>
      <c r="N594" s="48"/>
      <c r="O594" s="46"/>
      <c r="P594" s="46"/>
    </row>
    <row r="595" spans="2:16" ht="15.75" x14ac:dyDescent="0.25">
      <c r="B595" s="41"/>
      <c r="C595" s="42"/>
      <c r="D595" s="39"/>
      <c r="E595" s="40"/>
      <c r="F595" s="30"/>
      <c r="G595" s="25"/>
      <c r="H595" s="81"/>
      <c r="I595" s="43"/>
      <c r="J595" s="29"/>
      <c r="K595" s="24"/>
      <c r="L595" s="24"/>
      <c r="N595" s="48"/>
      <c r="O595" s="46"/>
      <c r="P595" s="46"/>
    </row>
    <row r="596" spans="2:16" ht="15.75" x14ac:dyDescent="0.25">
      <c r="B596" s="41"/>
      <c r="C596" s="42"/>
      <c r="D596" s="39"/>
      <c r="E596" s="40"/>
      <c r="F596" s="30"/>
      <c r="G596" s="25"/>
      <c r="H596" s="81"/>
      <c r="I596" s="43"/>
      <c r="J596" s="29"/>
      <c r="K596" s="24"/>
      <c r="L596" s="24"/>
      <c r="N596" s="48"/>
      <c r="O596" s="46"/>
      <c r="P596" s="46"/>
    </row>
    <row r="597" spans="2:16" ht="15.75" x14ac:dyDescent="0.25">
      <c r="B597" s="41"/>
      <c r="C597" s="42"/>
      <c r="D597" s="39"/>
      <c r="E597" s="40"/>
      <c r="F597" s="30"/>
      <c r="G597" s="25"/>
      <c r="H597" s="81"/>
      <c r="I597" s="43"/>
      <c r="J597" s="29"/>
      <c r="K597" s="24"/>
      <c r="L597" s="24"/>
      <c r="N597" s="48"/>
      <c r="O597" s="46"/>
      <c r="P597" s="46"/>
    </row>
    <row r="598" spans="2:16" ht="15.75" x14ac:dyDescent="0.25">
      <c r="B598" s="41"/>
      <c r="C598" s="42"/>
      <c r="D598" s="39"/>
      <c r="E598" s="40"/>
      <c r="F598" s="30"/>
      <c r="G598" s="25"/>
      <c r="H598" s="81"/>
      <c r="I598" s="43"/>
      <c r="J598" s="29"/>
      <c r="K598" s="24"/>
      <c r="L598" s="24"/>
      <c r="N598" s="48"/>
      <c r="O598" s="46"/>
      <c r="P598" s="46"/>
    </row>
    <row r="599" spans="2:16" ht="15.75" x14ac:dyDescent="0.25">
      <c r="B599" s="41"/>
      <c r="C599" s="42"/>
      <c r="D599" s="39"/>
      <c r="E599" s="40"/>
      <c r="F599" s="30"/>
      <c r="G599" s="25"/>
      <c r="H599" s="81"/>
      <c r="I599" s="43"/>
      <c r="J599" s="29"/>
      <c r="K599" s="24"/>
      <c r="L599" s="24"/>
      <c r="N599" s="48"/>
      <c r="O599" s="46"/>
      <c r="P599" s="46"/>
    </row>
    <row r="600" spans="2:16" ht="15.75" x14ac:dyDescent="0.25">
      <c r="B600" s="41"/>
      <c r="C600" s="42"/>
      <c r="D600" s="39"/>
      <c r="E600" s="40"/>
      <c r="F600" s="30"/>
      <c r="G600" s="25"/>
      <c r="H600" s="81"/>
      <c r="I600" s="43"/>
      <c r="J600" s="29"/>
      <c r="K600" s="24"/>
      <c r="L600" s="24"/>
      <c r="N600" s="48"/>
      <c r="O600" s="46"/>
      <c r="P600" s="46"/>
    </row>
    <row r="601" spans="2:16" ht="15.75" x14ac:dyDescent="0.25">
      <c r="B601" s="41"/>
      <c r="C601" s="42"/>
      <c r="D601" s="39"/>
      <c r="E601" s="40"/>
      <c r="F601" s="30"/>
      <c r="G601" s="25"/>
      <c r="H601" s="81"/>
      <c r="I601" s="43"/>
      <c r="J601" s="29"/>
      <c r="K601" s="24"/>
      <c r="L601" s="24"/>
      <c r="N601" s="48"/>
      <c r="O601" s="46"/>
      <c r="P601" s="46"/>
    </row>
    <row r="602" spans="2:16" ht="15.75" x14ac:dyDescent="0.25">
      <c r="B602" s="41"/>
      <c r="C602" s="42"/>
      <c r="D602" s="39"/>
      <c r="E602" s="40"/>
      <c r="F602" s="30"/>
      <c r="G602" s="25"/>
      <c r="H602" s="81"/>
      <c r="I602" s="43"/>
      <c r="J602" s="29"/>
      <c r="K602" s="24"/>
      <c r="L602" s="24"/>
      <c r="N602" s="48"/>
      <c r="O602" s="46"/>
      <c r="P602" s="46"/>
    </row>
    <row r="603" spans="2:16" ht="15.75" x14ac:dyDescent="0.25">
      <c r="B603" s="41"/>
      <c r="C603" s="42"/>
      <c r="D603" s="39"/>
      <c r="E603" s="40"/>
      <c r="F603" s="30"/>
      <c r="G603" s="25"/>
      <c r="H603" s="81"/>
      <c r="I603" s="43"/>
      <c r="J603" s="29"/>
      <c r="K603" s="24"/>
      <c r="L603" s="24"/>
      <c r="N603" s="48"/>
      <c r="O603" s="46"/>
      <c r="P603" s="46"/>
    </row>
    <row r="604" spans="2:16" ht="15.75" x14ac:dyDescent="0.25">
      <c r="B604" s="41"/>
      <c r="C604" s="42"/>
      <c r="D604" s="39"/>
      <c r="E604" s="40"/>
      <c r="F604" s="30"/>
      <c r="G604" s="25"/>
      <c r="H604" s="81"/>
      <c r="I604" s="43"/>
      <c r="J604" s="29"/>
      <c r="K604" s="24"/>
      <c r="L604" s="24"/>
      <c r="N604" s="48"/>
      <c r="O604" s="46"/>
      <c r="P604" s="46"/>
    </row>
    <row r="605" spans="2:16" ht="15.75" x14ac:dyDescent="0.25">
      <c r="B605" s="41"/>
      <c r="C605" s="42"/>
      <c r="D605" s="39"/>
      <c r="E605" s="40"/>
      <c r="F605" s="30"/>
      <c r="G605" s="25"/>
      <c r="H605" s="81"/>
      <c r="I605" s="43"/>
      <c r="J605" s="29"/>
      <c r="K605" s="24"/>
      <c r="L605" s="24"/>
      <c r="N605" s="48"/>
      <c r="O605" s="46"/>
      <c r="P605" s="46"/>
    </row>
    <row r="606" spans="2:16" ht="15.75" x14ac:dyDescent="0.25">
      <c r="B606" s="41"/>
      <c r="C606" s="42"/>
      <c r="D606" s="39"/>
      <c r="E606" s="40"/>
      <c r="F606" s="30"/>
      <c r="G606" s="25"/>
      <c r="H606" s="81"/>
      <c r="I606" s="43"/>
      <c r="J606" s="29"/>
      <c r="K606" s="24"/>
      <c r="L606" s="24"/>
      <c r="N606" s="48"/>
      <c r="O606" s="46"/>
      <c r="P606" s="46"/>
    </row>
    <row r="607" spans="2:16" ht="15.75" x14ac:dyDescent="0.25">
      <c r="B607" s="41"/>
      <c r="C607" s="42"/>
      <c r="D607" s="39"/>
      <c r="E607" s="40"/>
      <c r="F607" s="30"/>
      <c r="G607" s="25"/>
      <c r="H607" s="81"/>
      <c r="I607" s="43"/>
      <c r="J607" s="29"/>
      <c r="K607" s="24"/>
      <c r="L607" s="24"/>
      <c r="N607" s="48"/>
      <c r="O607" s="46"/>
      <c r="P607" s="46"/>
    </row>
    <row r="608" spans="2:16" ht="15.75" x14ac:dyDescent="0.25">
      <c r="B608" s="41"/>
      <c r="C608" s="42"/>
      <c r="D608" s="39"/>
      <c r="E608" s="40"/>
      <c r="F608" s="30"/>
      <c r="G608" s="25"/>
      <c r="H608" s="81"/>
      <c r="I608" s="43"/>
      <c r="J608" s="29"/>
      <c r="K608" s="24"/>
      <c r="L608" s="24"/>
      <c r="N608" s="48"/>
      <c r="O608" s="46"/>
      <c r="P608" s="46"/>
    </row>
    <row r="609" spans="2:16" ht="15.75" x14ac:dyDescent="0.25">
      <c r="B609" s="41"/>
      <c r="C609" s="42"/>
      <c r="D609" s="39"/>
      <c r="E609" s="40"/>
      <c r="F609" s="30"/>
      <c r="G609" s="25"/>
      <c r="H609" s="81"/>
      <c r="I609" s="43"/>
      <c r="J609" s="29"/>
      <c r="K609" s="24"/>
      <c r="L609" s="24"/>
      <c r="N609" s="48"/>
      <c r="O609" s="46"/>
      <c r="P609" s="46"/>
    </row>
    <row r="610" spans="2:16" ht="15.75" x14ac:dyDescent="0.25">
      <c r="B610" s="41"/>
      <c r="C610" s="42"/>
      <c r="D610" s="39"/>
      <c r="E610" s="40"/>
      <c r="F610" s="30"/>
      <c r="G610" s="25"/>
      <c r="H610" s="81"/>
      <c r="I610" s="43"/>
      <c r="J610" s="29"/>
      <c r="K610" s="24"/>
      <c r="L610" s="24"/>
      <c r="N610" s="48"/>
      <c r="O610" s="46"/>
      <c r="P610" s="46"/>
    </row>
    <row r="611" spans="2:16" ht="15.75" x14ac:dyDescent="0.25">
      <c r="B611" s="41"/>
      <c r="C611" s="42"/>
      <c r="D611" s="39"/>
      <c r="E611" s="40"/>
      <c r="F611" s="30"/>
      <c r="G611" s="25"/>
      <c r="H611" s="81"/>
      <c r="I611" s="43"/>
      <c r="J611" s="29"/>
      <c r="K611" s="24"/>
      <c r="L611" s="24"/>
      <c r="N611" s="48"/>
      <c r="O611" s="46"/>
      <c r="P611" s="46"/>
    </row>
    <row r="612" spans="2:16" ht="15.75" x14ac:dyDescent="0.25">
      <c r="B612" s="41"/>
      <c r="C612" s="42"/>
      <c r="D612" s="39"/>
      <c r="E612" s="40"/>
      <c r="F612" s="30"/>
      <c r="G612" s="25"/>
      <c r="H612" s="81"/>
      <c r="I612" s="43"/>
      <c r="J612" s="29"/>
      <c r="K612" s="24"/>
      <c r="L612" s="24"/>
      <c r="N612" s="48"/>
      <c r="O612" s="46"/>
      <c r="P612" s="46"/>
    </row>
    <row r="613" spans="2:16" ht="15.75" x14ac:dyDescent="0.25">
      <c r="B613" s="41"/>
      <c r="C613" s="42"/>
      <c r="D613" s="39"/>
      <c r="E613" s="40"/>
      <c r="F613" s="30"/>
      <c r="G613" s="25"/>
      <c r="H613" s="81"/>
      <c r="I613" s="43"/>
      <c r="J613" s="29"/>
      <c r="K613" s="24"/>
      <c r="L613" s="24"/>
      <c r="N613" s="48"/>
      <c r="O613" s="46"/>
      <c r="P613" s="46"/>
    </row>
    <row r="614" spans="2:16" ht="15.75" x14ac:dyDescent="0.25">
      <c r="B614" s="41"/>
      <c r="C614" s="42"/>
      <c r="D614" s="39"/>
      <c r="E614" s="40"/>
      <c r="F614" s="30"/>
      <c r="G614" s="25"/>
      <c r="H614" s="81"/>
      <c r="I614" s="43"/>
      <c r="J614" s="29"/>
      <c r="K614" s="24"/>
      <c r="L614" s="24"/>
      <c r="N614" s="48"/>
      <c r="O614" s="46"/>
      <c r="P614" s="46"/>
    </row>
    <row r="615" spans="2:16" ht="15.75" x14ac:dyDescent="0.25">
      <c r="B615" s="41"/>
      <c r="C615" s="42"/>
      <c r="D615" s="39"/>
      <c r="E615" s="40"/>
      <c r="F615" s="30"/>
      <c r="G615" s="25"/>
      <c r="H615" s="81"/>
      <c r="I615" s="43"/>
      <c r="J615" s="29"/>
      <c r="K615" s="24"/>
      <c r="L615" s="24"/>
      <c r="N615" s="48"/>
      <c r="O615" s="46"/>
      <c r="P615" s="46"/>
    </row>
    <row r="616" spans="2:16" ht="15.75" x14ac:dyDescent="0.25">
      <c r="B616" s="41"/>
      <c r="C616" s="42"/>
      <c r="D616" s="39"/>
      <c r="E616" s="40"/>
      <c r="F616" s="30"/>
      <c r="G616" s="25"/>
      <c r="H616" s="81"/>
      <c r="I616" s="43"/>
      <c r="J616" s="29"/>
      <c r="K616" s="24"/>
      <c r="L616" s="24"/>
      <c r="N616" s="48"/>
      <c r="O616" s="46"/>
      <c r="P616" s="46"/>
    </row>
    <row r="617" spans="2:16" ht="15.75" x14ac:dyDescent="0.25">
      <c r="B617" s="41"/>
      <c r="C617" s="42"/>
      <c r="D617" s="39"/>
      <c r="E617" s="40"/>
      <c r="F617" s="30"/>
      <c r="G617" s="25"/>
      <c r="H617" s="81"/>
      <c r="I617" s="43"/>
      <c r="J617" s="29"/>
      <c r="K617" s="24"/>
      <c r="L617" s="24"/>
      <c r="N617" s="48"/>
      <c r="O617" s="46"/>
      <c r="P617" s="46"/>
    </row>
    <row r="618" spans="2:16" ht="15.75" x14ac:dyDescent="0.25">
      <c r="B618" s="41"/>
      <c r="C618" s="42"/>
      <c r="D618" s="39"/>
      <c r="E618" s="40"/>
      <c r="F618" s="30"/>
      <c r="G618" s="25"/>
      <c r="H618" s="81"/>
      <c r="I618" s="43"/>
      <c r="J618" s="29"/>
      <c r="K618" s="24"/>
      <c r="L618" s="24"/>
      <c r="N618" s="48"/>
      <c r="O618" s="46"/>
      <c r="P618" s="46"/>
    </row>
    <row r="619" spans="2:16" ht="15.75" x14ac:dyDescent="0.25">
      <c r="B619" s="41"/>
      <c r="C619" s="42"/>
      <c r="D619" s="39"/>
      <c r="E619" s="40"/>
      <c r="F619" s="30"/>
      <c r="G619" s="25"/>
      <c r="H619" s="81"/>
      <c r="I619" s="43"/>
      <c r="J619" s="29"/>
      <c r="K619" s="24"/>
      <c r="L619" s="24"/>
      <c r="N619" s="48"/>
      <c r="O619" s="46"/>
      <c r="P619" s="46"/>
    </row>
    <row r="620" spans="2:16" ht="15.75" x14ac:dyDescent="0.25">
      <c r="B620" s="41"/>
      <c r="C620" s="42"/>
      <c r="D620" s="39"/>
      <c r="E620" s="40"/>
      <c r="F620" s="30"/>
      <c r="G620" s="25"/>
      <c r="H620" s="81"/>
      <c r="I620" s="43"/>
      <c r="J620" s="29"/>
      <c r="K620" s="24"/>
      <c r="L620" s="24"/>
      <c r="N620" s="48"/>
      <c r="O620" s="46"/>
      <c r="P620" s="46"/>
    </row>
    <row r="621" spans="2:16" ht="15.75" x14ac:dyDescent="0.25">
      <c r="B621" s="41"/>
      <c r="C621" s="42"/>
      <c r="D621" s="39"/>
      <c r="E621" s="40"/>
      <c r="F621" s="30"/>
      <c r="G621" s="25"/>
      <c r="H621" s="81"/>
      <c r="I621" s="43"/>
      <c r="J621" s="29"/>
      <c r="K621" s="24"/>
      <c r="L621" s="24"/>
      <c r="N621" s="48"/>
      <c r="O621" s="46"/>
      <c r="P621" s="46"/>
    </row>
    <row r="622" spans="2:16" ht="15.75" x14ac:dyDescent="0.25">
      <c r="B622" s="41"/>
      <c r="C622" s="42"/>
      <c r="D622" s="39"/>
      <c r="E622" s="40"/>
      <c r="F622" s="30"/>
      <c r="G622" s="25"/>
      <c r="H622" s="81"/>
      <c r="I622" s="43"/>
      <c r="J622" s="29"/>
      <c r="K622" s="24"/>
      <c r="L622" s="24"/>
      <c r="N622" s="48"/>
      <c r="O622" s="46"/>
      <c r="P622" s="46"/>
    </row>
    <row r="623" spans="2:16" ht="15.75" x14ac:dyDescent="0.25">
      <c r="B623" s="41"/>
      <c r="C623" s="42"/>
      <c r="D623" s="39"/>
      <c r="E623" s="40"/>
      <c r="F623" s="30"/>
      <c r="G623" s="25"/>
      <c r="H623" s="81"/>
      <c r="I623" s="43"/>
      <c r="J623" s="29"/>
      <c r="K623" s="24"/>
      <c r="L623" s="24"/>
      <c r="N623" s="48"/>
      <c r="O623" s="46"/>
      <c r="P623" s="46"/>
    </row>
    <row r="624" spans="2:16" ht="15.75" x14ac:dyDescent="0.25">
      <c r="B624" s="41"/>
      <c r="C624" s="42"/>
      <c r="D624" s="39"/>
      <c r="E624" s="40"/>
      <c r="F624" s="30"/>
      <c r="G624" s="25"/>
      <c r="H624" s="81"/>
      <c r="I624" s="43"/>
      <c r="J624" s="29"/>
      <c r="K624" s="24"/>
      <c r="L624" s="24"/>
      <c r="N624" s="48"/>
      <c r="O624" s="46"/>
      <c r="P624" s="46"/>
    </row>
    <row r="625" spans="2:16" ht="15.75" x14ac:dyDescent="0.25">
      <c r="B625" s="41"/>
      <c r="C625" s="42"/>
      <c r="D625" s="39"/>
      <c r="E625" s="40"/>
      <c r="F625" s="30"/>
      <c r="G625" s="25"/>
      <c r="H625" s="81"/>
      <c r="I625" s="43"/>
      <c r="J625" s="29"/>
      <c r="K625" s="24"/>
      <c r="L625" s="24"/>
      <c r="N625" s="48"/>
      <c r="O625" s="46"/>
      <c r="P625" s="46"/>
    </row>
    <row r="626" spans="2:16" ht="15.75" x14ac:dyDescent="0.25">
      <c r="B626" s="41"/>
      <c r="C626" s="42"/>
      <c r="D626" s="39"/>
      <c r="E626" s="40"/>
      <c r="F626" s="30"/>
      <c r="G626" s="25"/>
      <c r="H626" s="81"/>
      <c r="I626" s="43"/>
      <c r="J626" s="29"/>
      <c r="K626" s="24"/>
      <c r="L626" s="24"/>
      <c r="N626" s="48"/>
      <c r="O626" s="46"/>
      <c r="P626" s="46"/>
    </row>
    <row r="627" spans="2:16" ht="15.75" x14ac:dyDescent="0.25">
      <c r="B627" s="41"/>
      <c r="C627" s="42"/>
      <c r="D627" s="39"/>
      <c r="E627" s="40"/>
      <c r="F627" s="30"/>
      <c r="G627" s="25"/>
      <c r="H627" s="81"/>
      <c r="I627" s="43"/>
      <c r="J627" s="29"/>
      <c r="K627" s="24"/>
      <c r="L627" s="24"/>
      <c r="N627" s="48"/>
      <c r="O627" s="46"/>
      <c r="P627" s="46"/>
    </row>
    <row r="628" spans="2:16" ht="15.75" x14ac:dyDescent="0.25">
      <c r="B628" s="41"/>
      <c r="C628" s="42"/>
      <c r="D628" s="39"/>
      <c r="E628" s="40"/>
      <c r="F628" s="30"/>
      <c r="G628" s="25"/>
      <c r="H628" s="81"/>
      <c r="I628" s="43"/>
      <c r="J628" s="29"/>
      <c r="K628" s="24"/>
      <c r="L628" s="24"/>
      <c r="N628" s="48"/>
      <c r="O628" s="46"/>
      <c r="P628" s="46"/>
    </row>
    <row r="629" spans="2:16" ht="15.75" x14ac:dyDescent="0.25">
      <c r="B629" s="41"/>
      <c r="C629" s="42"/>
      <c r="D629" s="39"/>
      <c r="E629" s="40"/>
      <c r="F629" s="30"/>
      <c r="G629" s="25"/>
      <c r="H629" s="81"/>
      <c r="I629" s="43"/>
      <c r="J629" s="29"/>
      <c r="K629" s="24"/>
      <c r="L629" s="24"/>
      <c r="N629" s="48"/>
      <c r="O629" s="46"/>
      <c r="P629" s="46"/>
    </row>
    <row r="630" spans="2:16" ht="15.75" x14ac:dyDescent="0.25">
      <c r="B630" s="41"/>
      <c r="C630" s="42"/>
      <c r="D630" s="39"/>
      <c r="E630" s="40"/>
      <c r="F630" s="30"/>
      <c r="G630" s="25"/>
      <c r="H630" s="81"/>
      <c r="I630" s="43"/>
      <c r="J630" s="29"/>
      <c r="K630" s="24"/>
      <c r="L630" s="24"/>
      <c r="N630" s="48"/>
      <c r="O630" s="46"/>
      <c r="P630" s="46"/>
    </row>
    <row r="631" spans="2:16" ht="15.75" x14ac:dyDescent="0.25">
      <c r="B631" s="41"/>
      <c r="C631" s="42"/>
      <c r="D631" s="39"/>
      <c r="E631" s="40"/>
      <c r="F631" s="30"/>
      <c r="G631" s="25"/>
      <c r="H631" s="81"/>
      <c r="I631" s="43"/>
      <c r="J631" s="29"/>
      <c r="K631" s="24"/>
      <c r="L631" s="24"/>
      <c r="N631" s="48"/>
      <c r="O631" s="46"/>
      <c r="P631" s="46"/>
    </row>
    <row r="632" spans="2:16" ht="15.75" x14ac:dyDescent="0.25">
      <c r="B632" s="41"/>
      <c r="C632" s="42"/>
      <c r="D632" s="39"/>
      <c r="E632" s="40"/>
      <c r="F632" s="30"/>
      <c r="G632" s="25"/>
      <c r="H632" s="81"/>
      <c r="I632" s="43"/>
      <c r="J632" s="29"/>
      <c r="K632" s="24"/>
      <c r="L632" s="24"/>
      <c r="N632" s="48"/>
      <c r="O632" s="46"/>
      <c r="P632" s="46"/>
    </row>
    <row r="633" spans="2:16" ht="15.75" x14ac:dyDescent="0.25">
      <c r="B633" s="41"/>
      <c r="C633" s="42"/>
      <c r="D633" s="39"/>
      <c r="E633" s="40"/>
      <c r="F633" s="30"/>
      <c r="G633" s="25"/>
      <c r="H633" s="81"/>
      <c r="I633" s="43"/>
      <c r="J633" s="29"/>
      <c r="K633" s="24"/>
      <c r="L633" s="24"/>
      <c r="N633" s="48"/>
      <c r="O633" s="46"/>
      <c r="P633" s="46"/>
    </row>
    <row r="634" spans="2:16" ht="15.75" x14ac:dyDescent="0.25">
      <c r="B634" s="41"/>
      <c r="C634" s="42"/>
      <c r="D634" s="39"/>
      <c r="E634" s="40"/>
      <c r="F634" s="30"/>
      <c r="G634" s="25"/>
      <c r="H634" s="81"/>
      <c r="I634" s="43"/>
      <c r="J634" s="29"/>
      <c r="K634" s="24"/>
      <c r="L634" s="24"/>
      <c r="N634" s="48"/>
      <c r="O634" s="46"/>
      <c r="P634" s="46"/>
    </row>
    <row r="635" spans="2:16" ht="15.75" x14ac:dyDescent="0.25">
      <c r="B635" s="41"/>
      <c r="C635" s="42"/>
      <c r="D635" s="39"/>
      <c r="E635" s="40"/>
      <c r="F635" s="30"/>
      <c r="G635" s="25"/>
      <c r="H635" s="81"/>
      <c r="I635" s="43"/>
      <c r="J635" s="29"/>
      <c r="K635" s="24"/>
      <c r="L635" s="24"/>
      <c r="N635" s="48"/>
      <c r="O635" s="46"/>
      <c r="P635" s="46"/>
    </row>
    <row r="636" spans="2:16" ht="15.75" x14ac:dyDescent="0.25">
      <c r="B636" s="41"/>
      <c r="C636" s="42"/>
      <c r="D636" s="39"/>
      <c r="E636" s="40"/>
      <c r="F636" s="30"/>
      <c r="G636" s="25"/>
      <c r="H636" s="81"/>
      <c r="I636" s="43"/>
      <c r="J636" s="29"/>
      <c r="K636" s="24"/>
      <c r="L636" s="24"/>
      <c r="N636" s="48"/>
      <c r="O636" s="46"/>
      <c r="P636" s="46"/>
    </row>
    <row r="637" spans="2:16" ht="15.75" x14ac:dyDescent="0.25">
      <c r="B637" s="41"/>
      <c r="C637" s="42"/>
      <c r="D637" s="39"/>
      <c r="E637" s="40"/>
      <c r="F637" s="30"/>
      <c r="G637" s="25"/>
      <c r="H637" s="81"/>
      <c r="I637" s="43"/>
      <c r="J637" s="29"/>
      <c r="K637" s="24"/>
      <c r="L637" s="24"/>
      <c r="N637" s="48"/>
      <c r="O637" s="46"/>
      <c r="P637" s="46"/>
    </row>
    <row r="638" spans="2:16" ht="15.75" x14ac:dyDescent="0.25">
      <c r="B638" s="41"/>
      <c r="C638" s="42"/>
      <c r="D638" s="39"/>
      <c r="E638" s="40"/>
      <c r="F638" s="30"/>
      <c r="G638" s="25"/>
      <c r="H638" s="81"/>
      <c r="I638" s="43"/>
      <c r="J638" s="29"/>
      <c r="K638" s="24"/>
      <c r="L638" s="24"/>
      <c r="N638" s="48"/>
      <c r="O638" s="46"/>
      <c r="P638" s="46"/>
    </row>
    <row r="639" spans="2:16" ht="15.75" x14ac:dyDescent="0.25">
      <c r="B639" s="41"/>
      <c r="C639" s="42"/>
      <c r="D639" s="39"/>
      <c r="E639" s="40"/>
      <c r="F639" s="30"/>
      <c r="G639" s="25"/>
      <c r="H639" s="81"/>
      <c r="I639" s="43"/>
      <c r="J639" s="29"/>
      <c r="K639" s="24"/>
      <c r="L639" s="24"/>
      <c r="N639" s="48"/>
      <c r="O639" s="46"/>
      <c r="P639" s="46"/>
    </row>
    <row r="640" spans="2:16" ht="15.75" x14ac:dyDescent="0.25">
      <c r="B640" s="41"/>
      <c r="C640" s="42"/>
      <c r="D640" s="39"/>
      <c r="E640" s="40"/>
      <c r="F640" s="30"/>
      <c r="G640" s="25"/>
      <c r="H640" s="81"/>
      <c r="I640" s="43"/>
      <c r="J640" s="29"/>
      <c r="K640" s="24"/>
      <c r="L640" s="24"/>
      <c r="N640" s="48"/>
      <c r="O640" s="46"/>
      <c r="P640" s="46"/>
    </row>
    <row r="641" spans="2:16" ht="15.75" x14ac:dyDescent="0.25">
      <c r="B641" s="41"/>
      <c r="C641" s="42"/>
      <c r="D641" s="39"/>
      <c r="E641" s="40"/>
      <c r="F641" s="30"/>
      <c r="G641" s="25"/>
      <c r="H641" s="81"/>
      <c r="I641" s="43"/>
      <c r="J641" s="29"/>
      <c r="K641" s="24"/>
      <c r="L641" s="24"/>
      <c r="N641" s="48"/>
      <c r="O641" s="46"/>
      <c r="P641" s="46"/>
    </row>
    <row r="642" spans="2:16" ht="15.75" x14ac:dyDescent="0.25">
      <c r="B642" s="41"/>
      <c r="C642" s="42"/>
      <c r="D642" s="39"/>
      <c r="E642" s="40"/>
      <c r="F642" s="30"/>
      <c r="G642" s="25"/>
      <c r="H642" s="81"/>
      <c r="I642" s="43"/>
      <c r="J642" s="29"/>
      <c r="K642" s="24"/>
      <c r="L642" s="24"/>
      <c r="N642" s="48"/>
      <c r="O642" s="46"/>
      <c r="P642" s="46"/>
    </row>
    <row r="643" spans="2:16" ht="15.75" x14ac:dyDescent="0.25">
      <c r="B643" s="41"/>
      <c r="C643" s="42"/>
      <c r="D643" s="39"/>
      <c r="E643" s="40"/>
      <c r="F643" s="30"/>
      <c r="G643" s="25"/>
      <c r="H643" s="81"/>
      <c r="I643" s="43"/>
      <c r="J643" s="29"/>
      <c r="K643" s="24"/>
      <c r="L643" s="24"/>
      <c r="N643" s="48"/>
      <c r="O643" s="46"/>
      <c r="P643" s="46"/>
    </row>
    <row r="644" spans="2:16" ht="15.75" x14ac:dyDescent="0.25">
      <c r="B644" s="41"/>
      <c r="C644" s="42"/>
      <c r="D644" s="39"/>
      <c r="E644" s="40"/>
      <c r="F644" s="30"/>
      <c r="G644" s="25"/>
      <c r="H644" s="81"/>
      <c r="I644" s="43"/>
      <c r="J644" s="29"/>
      <c r="K644" s="24"/>
      <c r="L644" s="24"/>
      <c r="N644" s="48"/>
      <c r="O644" s="46"/>
      <c r="P644" s="46"/>
    </row>
    <row r="645" spans="2:16" ht="15.75" x14ac:dyDescent="0.25">
      <c r="B645" s="41"/>
      <c r="C645" s="42"/>
      <c r="D645" s="39"/>
      <c r="E645" s="40"/>
      <c r="F645" s="30"/>
      <c r="G645" s="25"/>
      <c r="H645" s="81"/>
      <c r="I645" s="43"/>
      <c r="J645" s="29"/>
      <c r="K645" s="24"/>
      <c r="L645" s="24"/>
      <c r="N645" s="48"/>
      <c r="O645" s="46"/>
      <c r="P645" s="46"/>
    </row>
    <row r="646" spans="2:16" ht="15.75" x14ac:dyDescent="0.25">
      <c r="B646" s="41"/>
      <c r="C646" s="42"/>
      <c r="D646" s="39"/>
      <c r="E646" s="40"/>
      <c r="F646" s="30"/>
      <c r="G646" s="25"/>
      <c r="H646" s="81"/>
      <c r="I646" s="43"/>
      <c r="J646" s="29"/>
      <c r="K646" s="24"/>
      <c r="L646" s="24"/>
      <c r="N646" s="48"/>
      <c r="O646" s="46"/>
      <c r="P646" s="46"/>
    </row>
    <row r="647" spans="2:16" ht="15.75" x14ac:dyDescent="0.25">
      <c r="B647" s="41"/>
      <c r="C647" s="42"/>
      <c r="D647" s="39"/>
      <c r="E647" s="40"/>
      <c r="F647" s="30"/>
      <c r="G647" s="25"/>
      <c r="H647" s="81"/>
      <c r="I647" s="43"/>
      <c r="J647" s="29"/>
      <c r="K647" s="24"/>
      <c r="L647" s="24"/>
      <c r="N647" s="48"/>
      <c r="O647" s="46"/>
      <c r="P647" s="46"/>
    </row>
    <row r="648" spans="2:16" ht="15.75" x14ac:dyDescent="0.25">
      <c r="B648" s="41"/>
      <c r="C648" s="42"/>
      <c r="D648" s="39"/>
      <c r="E648" s="40"/>
      <c r="F648" s="30"/>
      <c r="G648" s="25"/>
      <c r="H648" s="81"/>
      <c r="I648" s="43"/>
      <c r="J648" s="29"/>
      <c r="K648" s="24"/>
      <c r="L648" s="24"/>
      <c r="N648" s="48"/>
      <c r="O648" s="46"/>
      <c r="P648" s="46"/>
    </row>
    <row r="649" spans="2:16" ht="15.75" x14ac:dyDescent="0.25">
      <c r="B649" s="41"/>
      <c r="C649" s="42"/>
      <c r="D649" s="39"/>
      <c r="E649" s="40"/>
      <c r="F649" s="30"/>
      <c r="G649" s="25"/>
      <c r="H649" s="81"/>
      <c r="I649" s="43"/>
      <c r="J649" s="29"/>
      <c r="K649" s="24"/>
      <c r="L649" s="24"/>
      <c r="N649" s="48"/>
      <c r="O649" s="46"/>
      <c r="P649" s="46"/>
    </row>
    <row r="650" spans="2:16" ht="15.75" x14ac:dyDescent="0.25">
      <c r="B650" s="41"/>
      <c r="C650" s="42"/>
      <c r="D650" s="39"/>
      <c r="E650" s="40"/>
      <c r="F650" s="30"/>
      <c r="G650" s="25"/>
      <c r="H650" s="81"/>
      <c r="I650" s="43"/>
      <c r="J650" s="29"/>
      <c r="K650" s="24"/>
      <c r="L650" s="24"/>
      <c r="N650" s="48"/>
      <c r="O650" s="46"/>
      <c r="P650" s="46"/>
    </row>
    <row r="651" spans="2:16" ht="15.75" x14ac:dyDescent="0.25">
      <c r="B651" s="41"/>
      <c r="C651" s="42"/>
      <c r="D651" s="39"/>
      <c r="E651" s="40"/>
      <c r="F651" s="30"/>
      <c r="G651" s="25"/>
      <c r="H651" s="81"/>
      <c r="I651" s="43"/>
      <c r="J651" s="29"/>
      <c r="K651" s="24"/>
      <c r="L651" s="24"/>
      <c r="N651" s="48"/>
      <c r="O651" s="46"/>
      <c r="P651" s="46"/>
    </row>
    <row r="652" spans="2:16" ht="15.75" x14ac:dyDescent="0.25">
      <c r="B652" s="41"/>
      <c r="C652" s="42"/>
      <c r="D652" s="39"/>
      <c r="E652" s="40"/>
      <c r="F652" s="30"/>
      <c r="G652" s="25"/>
      <c r="H652" s="81"/>
      <c r="I652" s="43"/>
      <c r="J652" s="29"/>
      <c r="K652" s="24"/>
      <c r="L652" s="24"/>
      <c r="N652" s="48"/>
      <c r="O652" s="46"/>
      <c r="P652" s="46"/>
    </row>
    <row r="653" spans="2:16" ht="15.75" x14ac:dyDescent="0.25">
      <c r="B653" s="41"/>
      <c r="C653" s="42"/>
      <c r="D653" s="39"/>
      <c r="E653" s="40"/>
      <c r="F653" s="30"/>
      <c r="G653" s="25"/>
      <c r="H653" s="81"/>
      <c r="I653" s="43"/>
      <c r="J653" s="29"/>
      <c r="K653" s="24"/>
      <c r="L653" s="24"/>
      <c r="N653" s="48"/>
      <c r="O653" s="46"/>
      <c r="P653" s="46"/>
    </row>
    <row r="654" spans="2:16" ht="15.75" x14ac:dyDescent="0.25">
      <c r="B654" s="41"/>
      <c r="C654" s="42"/>
      <c r="D654" s="39"/>
      <c r="E654" s="40"/>
      <c r="F654" s="30"/>
      <c r="G654" s="25"/>
      <c r="H654" s="81"/>
      <c r="I654" s="43"/>
      <c r="J654" s="29"/>
      <c r="K654" s="24"/>
      <c r="L654" s="24"/>
      <c r="N654" s="48"/>
      <c r="O654" s="46"/>
      <c r="P654" s="46"/>
    </row>
    <row r="655" spans="2:16" ht="15.75" x14ac:dyDescent="0.25">
      <c r="B655" s="41"/>
      <c r="C655" s="42"/>
      <c r="D655" s="39"/>
      <c r="E655" s="40"/>
      <c r="F655" s="30"/>
      <c r="G655" s="25"/>
      <c r="H655" s="81"/>
      <c r="I655" s="43"/>
      <c r="J655" s="29"/>
      <c r="K655" s="24"/>
      <c r="L655" s="24"/>
      <c r="N655" s="48"/>
      <c r="O655" s="46"/>
      <c r="P655" s="46"/>
    </row>
    <row r="656" spans="2:16" ht="15.75" x14ac:dyDescent="0.25">
      <c r="B656" s="41"/>
      <c r="C656" s="42"/>
      <c r="D656" s="39"/>
      <c r="E656" s="40"/>
      <c r="F656" s="30"/>
      <c r="G656" s="25"/>
      <c r="H656" s="81"/>
      <c r="I656" s="43"/>
      <c r="J656" s="29"/>
      <c r="K656" s="24"/>
      <c r="L656" s="24"/>
      <c r="N656" s="48"/>
      <c r="O656" s="46"/>
      <c r="P656" s="46"/>
    </row>
    <row r="657" spans="2:16" ht="15.75" x14ac:dyDescent="0.25">
      <c r="B657" s="41"/>
      <c r="C657" s="42"/>
      <c r="D657" s="39"/>
      <c r="E657" s="40"/>
      <c r="F657" s="30"/>
      <c r="G657" s="25"/>
      <c r="H657" s="81"/>
      <c r="I657" s="43"/>
      <c r="J657" s="29"/>
      <c r="K657" s="24"/>
      <c r="L657" s="24"/>
      <c r="N657" s="48"/>
      <c r="O657" s="46"/>
      <c r="P657" s="46"/>
    </row>
    <row r="658" spans="2:16" ht="15.75" x14ac:dyDescent="0.25">
      <c r="B658" s="41"/>
      <c r="C658" s="42"/>
      <c r="D658" s="39"/>
      <c r="E658" s="40"/>
      <c r="F658" s="30"/>
      <c r="G658" s="25"/>
      <c r="H658" s="81"/>
      <c r="I658" s="43"/>
      <c r="J658" s="29"/>
      <c r="K658" s="24"/>
      <c r="L658" s="24"/>
      <c r="N658" s="48"/>
      <c r="O658" s="46"/>
      <c r="P658" s="46"/>
    </row>
    <row r="659" spans="2:16" ht="15.75" x14ac:dyDescent="0.25">
      <c r="B659" s="41"/>
      <c r="C659" s="42"/>
      <c r="D659" s="39"/>
      <c r="E659" s="40"/>
      <c r="F659" s="30"/>
      <c r="G659" s="25"/>
      <c r="H659" s="81"/>
      <c r="I659" s="43"/>
      <c r="J659" s="29"/>
      <c r="K659" s="24"/>
      <c r="L659" s="24"/>
      <c r="N659" s="48"/>
      <c r="O659" s="46"/>
      <c r="P659" s="46"/>
    </row>
    <row r="660" spans="2:16" ht="15.75" x14ac:dyDescent="0.25">
      <c r="B660" s="41"/>
      <c r="C660" s="42"/>
      <c r="D660" s="39"/>
      <c r="E660" s="40"/>
      <c r="F660" s="30"/>
      <c r="G660" s="25"/>
      <c r="H660" s="81"/>
      <c r="I660" s="43"/>
      <c r="J660" s="29"/>
      <c r="K660" s="24"/>
      <c r="L660" s="24"/>
      <c r="N660" s="48"/>
      <c r="O660" s="46"/>
      <c r="P660" s="46"/>
    </row>
    <row r="661" spans="2:16" ht="15.75" x14ac:dyDescent="0.25">
      <c r="B661" s="41"/>
      <c r="C661" s="42"/>
      <c r="D661" s="39"/>
      <c r="E661" s="40"/>
      <c r="F661" s="30"/>
      <c r="G661" s="25"/>
      <c r="H661" s="81"/>
      <c r="I661" s="43"/>
      <c r="J661" s="29"/>
      <c r="K661" s="24"/>
      <c r="L661" s="24"/>
      <c r="N661" s="48"/>
      <c r="O661" s="46"/>
      <c r="P661" s="46"/>
    </row>
    <row r="662" spans="2:16" ht="15.75" x14ac:dyDescent="0.25">
      <c r="B662" s="41"/>
      <c r="C662" s="42"/>
      <c r="D662" s="39"/>
      <c r="E662" s="40"/>
      <c r="F662" s="30"/>
      <c r="G662" s="25"/>
      <c r="H662" s="81"/>
      <c r="I662" s="43"/>
      <c r="J662" s="29"/>
      <c r="K662" s="24"/>
      <c r="L662" s="24"/>
      <c r="N662" s="48"/>
      <c r="O662" s="46"/>
      <c r="P662" s="46"/>
    </row>
    <row r="663" spans="2:16" ht="15.75" x14ac:dyDescent="0.25">
      <c r="B663" s="41"/>
      <c r="C663" s="42"/>
      <c r="D663" s="39"/>
      <c r="E663" s="40"/>
      <c r="F663" s="30"/>
      <c r="G663" s="25"/>
      <c r="H663" s="81"/>
      <c r="I663" s="43"/>
      <c r="J663" s="29"/>
      <c r="K663" s="24"/>
      <c r="L663" s="24"/>
      <c r="N663" s="48"/>
      <c r="O663" s="46"/>
      <c r="P663" s="46"/>
    </row>
    <row r="664" spans="2:16" ht="15.75" x14ac:dyDescent="0.25">
      <c r="B664" s="41"/>
      <c r="C664" s="42"/>
      <c r="D664" s="39"/>
      <c r="E664" s="40"/>
      <c r="F664" s="30"/>
      <c r="G664" s="25"/>
      <c r="H664" s="81"/>
      <c r="I664" s="43"/>
      <c r="J664" s="29"/>
      <c r="K664" s="24"/>
      <c r="L664" s="24"/>
      <c r="N664" s="48"/>
      <c r="O664" s="46"/>
      <c r="P664" s="46"/>
    </row>
    <row r="665" spans="2:16" ht="15.75" x14ac:dyDescent="0.25">
      <c r="B665" s="41"/>
      <c r="C665" s="42"/>
      <c r="D665" s="39"/>
      <c r="E665" s="40"/>
      <c r="F665" s="30"/>
      <c r="G665" s="25"/>
      <c r="H665" s="81"/>
      <c r="I665" s="43"/>
      <c r="J665" s="29"/>
      <c r="K665" s="24"/>
      <c r="L665" s="24"/>
      <c r="N665" s="48"/>
      <c r="O665" s="46"/>
      <c r="P665" s="46"/>
    </row>
    <row r="666" spans="2:16" ht="15.75" x14ac:dyDescent="0.25">
      <c r="B666" s="41"/>
      <c r="C666" s="42"/>
      <c r="D666" s="39"/>
      <c r="E666" s="40"/>
      <c r="F666" s="30"/>
      <c r="G666" s="25"/>
      <c r="H666" s="81"/>
      <c r="I666" s="43"/>
      <c r="J666" s="29"/>
      <c r="K666" s="24"/>
      <c r="L666" s="24"/>
      <c r="N666" s="48"/>
      <c r="O666" s="46"/>
      <c r="P666" s="46"/>
    </row>
    <row r="667" spans="2:16" ht="15.75" x14ac:dyDescent="0.25">
      <c r="B667" s="41"/>
      <c r="C667" s="42"/>
      <c r="D667" s="39"/>
      <c r="E667" s="40"/>
      <c r="F667" s="30"/>
      <c r="G667" s="25"/>
      <c r="H667" s="81"/>
      <c r="I667" s="43"/>
      <c r="J667" s="29"/>
      <c r="K667" s="24"/>
      <c r="L667" s="24"/>
      <c r="N667" s="48"/>
      <c r="O667" s="46"/>
      <c r="P667" s="46"/>
    </row>
    <row r="668" spans="2:16" ht="15.75" x14ac:dyDescent="0.25">
      <c r="B668" s="41"/>
      <c r="C668" s="42"/>
      <c r="D668" s="39"/>
      <c r="E668" s="40"/>
      <c r="F668" s="30"/>
      <c r="G668" s="25"/>
      <c r="H668" s="81"/>
      <c r="I668" s="43"/>
      <c r="J668" s="29"/>
      <c r="K668" s="24"/>
      <c r="L668" s="24"/>
      <c r="N668" s="48"/>
      <c r="O668" s="46"/>
      <c r="P668" s="46"/>
    </row>
    <row r="669" spans="2:16" ht="15.75" x14ac:dyDescent="0.25">
      <c r="B669" s="41"/>
      <c r="C669" s="42"/>
      <c r="D669" s="39"/>
      <c r="E669" s="40"/>
      <c r="F669" s="30"/>
      <c r="G669" s="25"/>
      <c r="H669" s="81"/>
      <c r="I669" s="43"/>
      <c r="J669" s="29"/>
      <c r="K669" s="24"/>
      <c r="L669" s="24"/>
      <c r="N669" s="48"/>
      <c r="O669" s="46"/>
      <c r="P669" s="46"/>
    </row>
    <row r="670" spans="2:16" ht="15.75" x14ac:dyDescent="0.25">
      <c r="B670" s="41"/>
      <c r="C670" s="42"/>
      <c r="D670" s="39"/>
      <c r="E670" s="40"/>
      <c r="F670" s="30"/>
      <c r="G670" s="25"/>
      <c r="H670" s="81"/>
      <c r="I670" s="43"/>
      <c r="J670" s="29"/>
      <c r="K670" s="24"/>
      <c r="L670" s="24"/>
      <c r="N670" s="48"/>
      <c r="O670" s="46"/>
      <c r="P670" s="46"/>
    </row>
    <row r="671" spans="2:16" ht="15.75" x14ac:dyDescent="0.25">
      <c r="B671" s="41"/>
      <c r="C671" s="42"/>
      <c r="D671" s="39"/>
      <c r="E671" s="40"/>
      <c r="F671" s="30"/>
      <c r="G671" s="25"/>
      <c r="H671" s="81"/>
      <c r="I671" s="43"/>
      <c r="J671" s="29"/>
      <c r="K671" s="24"/>
      <c r="L671" s="24"/>
      <c r="N671" s="48"/>
      <c r="O671" s="46"/>
      <c r="P671" s="46"/>
    </row>
    <row r="672" spans="2:16" ht="15.75" x14ac:dyDescent="0.25">
      <c r="B672" s="41"/>
      <c r="C672" s="42"/>
      <c r="D672" s="39"/>
      <c r="E672" s="40"/>
      <c r="F672" s="30"/>
      <c r="G672" s="25"/>
      <c r="H672" s="81"/>
      <c r="I672" s="43"/>
      <c r="J672" s="29"/>
      <c r="K672" s="24"/>
      <c r="L672" s="24"/>
      <c r="N672" s="48"/>
      <c r="O672" s="46"/>
      <c r="P672" s="46"/>
    </row>
    <row r="673" spans="2:16" ht="15.75" x14ac:dyDescent="0.25">
      <c r="B673" s="41"/>
      <c r="C673" s="42"/>
      <c r="D673" s="39"/>
      <c r="E673" s="40"/>
      <c r="F673" s="30"/>
      <c r="G673" s="25"/>
      <c r="H673" s="81"/>
      <c r="I673" s="43"/>
      <c r="J673" s="29"/>
      <c r="K673" s="24"/>
      <c r="L673" s="24"/>
      <c r="N673" s="48"/>
      <c r="O673" s="46"/>
      <c r="P673" s="46"/>
    </row>
    <row r="674" spans="2:16" ht="15.75" x14ac:dyDescent="0.25">
      <c r="B674" s="41"/>
      <c r="C674" s="42"/>
      <c r="D674" s="39"/>
      <c r="E674" s="40"/>
      <c r="F674" s="30"/>
      <c r="G674" s="25"/>
      <c r="H674" s="81"/>
      <c r="I674" s="43"/>
      <c r="J674" s="29"/>
      <c r="K674" s="24"/>
      <c r="L674" s="24"/>
      <c r="N674" s="48"/>
      <c r="O674" s="46"/>
      <c r="P674" s="46"/>
    </row>
    <row r="675" spans="2:16" ht="15.75" x14ac:dyDescent="0.25">
      <c r="B675" s="41"/>
      <c r="C675" s="42"/>
      <c r="D675" s="39"/>
      <c r="E675" s="40"/>
      <c r="F675" s="30"/>
      <c r="G675" s="25"/>
      <c r="H675" s="81"/>
      <c r="I675" s="43"/>
      <c r="J675" s="29"/>
      <c r="K675" s="24"/>
      <c r="L675" s="24"/>
      <c r="N675" s="48"/>
      <c r="O675" s="46"/>
      <c r="P675" s="46"/>
    </row>
    <row r="676" spans="2:16" ht="15.75" x14ac:dyDescent="0.25">
      <c r="B676" s="41"/>
      <c r="C676" s="42"/>
      <c r="D676" s="39"/>
      <c r="E676" s="40"/>
      <c r="F676" s="30"/>
      <c r="G676" s="25"/>
      <c r="H676" s="81"/>
      <c r="I676" s="43"/>
      <c r="J676" s="29"/>
      <c r="K676" s="24"/>
      <c r="L676" s="24"/>
      <c r="N676" s="48"/>
      <c r="O676" s="46"/>
      <c r="P676" s="46"/>
    </row>
    <row r="677" spans="2:16" ht="15.75" x14ac:dyDescent="0.25">
      <c r="B677" s="41"/>
      <c r="C677" s="42"/>
      <c r="D677" s="39"/>
      <c r="E677" s="40"/>
      <c r="F677" s="30"/>
      <c r="G677" s="25"/>
      <c r="H677" s="81"/>
      <c r="I677" s="43"/>
      <c r="J677" s="29"/>
      <c r="K677" s="24"/>
      <c r="L677" s="24"/>
      <c r="N677" s="48"/>
      <c r="O677" s="46"/>
      <c r="P677" s="46"/>
    </row>
    <row r="678" spans="2:16" ht="15.75" x14ac:dyDescent="0.25">
      <c r="B678" s="41"/>
      <c r="C678" s="42"/>
      <c r="D678" s="39"/>
      <c r="E678" s="40"/>
      <c r="F678" s="30"/>
      <c r="G678" s="25"/>
      <c r="H678" s="81"/>
      <c r="I678" s="43"/>
      <c r="J678" s="29"/>
      <c r="K678" s="24"/>
      <c r="L678" s="24"/>
      <c r="N678" s="48"/>
      <c r="O678" s="46"/>
      <c r="P678" s="46"/>
    </row>
    <row r="679" spans="2:16" ht="15.75" x14ac:dyDescent="0.25">
      <c r="B679" s="41"/>
      <c r="C679" s="42"/>
      <c r="D679" s="39"/>
      <c r="E679" s="40"/>
      <c r="F679" s="30"/>
      <c r="G679" s="25"/>
      <c r="H679" s="81"/>
      <c r="I679" s="43"/>
      <c r="J679" s="29"/>
      <c r="K679" s="24"/>
      <c r="L679" s="24"/>
      <c r="N679" s="48"/>
      <c r="O679" s="46"/>
      <c r="P679" s="46"/>
    </row>
    <row r="680" spans="2:16" ht="15.75" x14ac:dyDescent="0.25">
      <c r="B680" s="41"/>
      <c r="C680" s="42"/>
      <c r="D680" s="39"/>
      <c r="E680" s="40"/>
      <c r="F680" s="30"/>
      <c r="G680" s="25"/>
      <c r="H680" s="81"/>
      <c r="I680" s="43"/>
      <c r="J680" s="29"/>
      <c r="K680" s="24"/>
      <c r="L680" s="24"/>
      <c r="N680" s="48"/>
      <c r="O680" s="46"/>
      <c r="P680" s="46"/>
    </row>
    <row r="681" spans="2:16" ht="15.75" x14ac:dyDescent="0.25">
      <c r="B681" s="41"/>
      <c r="C681" s="42"/>
      <c r="D681" s="39"/>
      <c r="E681" s="40"/>
      <c r="F681" s="30"/>
      <c r="G681" s="25"/>
      <c r="H681" s="81"/>
      <c r="I681" s="43"/>
      <c r="J681" s="29"/>
      <c r="K681" s="24"/>
      <c r="L681" s="24"/>
      <c r="N681" s="48"/>
      <c r="O681" s="46"/>
      <c r="P681" s="46"/>
    </row>
    <row r="682" spans="2:16" ht="15.75" x14ac:dyDescent="0.25">
      <c r="B682" s="41"/>
      <c r="C682" s="42"/>
      <c r="D682" s="39"/>
      <c r="E682" s="40"/>
      <c r="F682" s="30"/>
      <c r="G682" s="25"/>
      <c r="H682" s="81"/>
      <c r="I682" s="43"/>
      <c r="J682" s="29"/>
      <c r="K682" s="24"/>
      <c r="L682" s="24"/>
      <c r="N682" s="48"/>
      <c r="O682" s="46"/>
      <c r="P682" s="46"/>
    </row>
    <row r="683" spans="2:16" ht="15.75" x14ac:dyDescent="0.25">
      <c r="B683" s="41"/>
      <c r="C683" s="42"/>
      <c r="D683" s="39"/>
      <c r="E683" s="40"/>
      <c r="F683" s="30"/>
      <c r="G683" s="25"/>
      <c r="H683" s="81"/>
      <c r="I683" s="43"/>
      <c r="J683" s="29"/>
      <c r="K683" s="24"/>
      <c r="L683" s="24"/>
      <c r="N683" s="48"/>
      <c r="O683" s="46"/>
      <c r="P683" s="46"/>
    </row>
    <row r="684" spans="2:16" ht="15.75" x14ac:dyDescent="0.25">
      <c r="B684" s="41"/>
      <c r="C684" s="42"/>
      <c r="D684" s="39"/>
      <c r="E684" s="40"/>
      <c r="F684" s="30"/>
      <c r="G684" s="25"/>
      <c r="H684" s="81"/>
      <c r="I684" s="43"/>
      <c r="J684" s="29"/>
      <c r="K684" s="24"/>
      <c r="L684" s="24"/>
      <c r="N684" s="48"/>
      <c r="O684" s="46"/>
      <c r="P684" s="46"/>
    </row>
    <row r="685" spans="2:16" ht="15.75" x14ac:dyDescent="0.25">
      <c r="B685" s="41"/>
      <c r="C685" s="42"/>
      <c r="D685" s="39"/>
      <c r="E685" s="40"/>
      <c r="F685" s="30"/>
      <c r="G685" s="25"/>
      <c r="H685" s="81"/>
      <c r="I685" s="43"/>
      <c r="J685" s="29"/>
      <c r="K685" s="24"/>
      <c r="L685" s="24"/>
      <c r="N685" s="48"/>
      <c r="O685" s="46"/>
      <c r="P685" s="46"/>
    </row>
    <row r="686" spans="2:16" ht="15.75" x14ac:dyDescent="0.25">
      <c r="B686" s="41"/>
      <c r="C686" s="42"/>
      <c r="D686" s="39"/>
      <c r="E686" s="40"/>
      <c r="F686" s="30"/>
      <c r="G686" s="25"/>
      <c r="H686" s="81"/>
      <c r="I686" s="43"/>
      <c r="J686" s="29"/>
      <c r="K686" s="24"/>
      <c r="L686" s="24"/>
      <c r="N686" s="48"/>
      <c r="O686" s="46"/>
      <c r="P686" s="46"/>
    </row>
    <row r="687" spans="2:16" ht="15.75" x14ac:dyDescent="0.25">
      <c r="B687" s="41"/>
      <c r="C687" s="42"/>
      <c r="D687" s="39"/>
      <c r="E687" s="40"/>
      <c r="F687" s="30"/>
      <c r="G687" s="25"/>
      <c r="H687" s="81"/>
      <c r="I687" s="43"/>
      <c r="J687" s="29"/>
      <c r="K687" s="24"/>
      <c r="L687" s="24"/>
      <c r="N687" s="48"/>
      <c r="O687" s="46"/>
      <c r="P687" s="46"/>
    </row>
    <row r="688" spans="2:16" ht="15.75" x14ac:dyDescent="0.25">
      <c r="B688" s="41"/>
      <c r="C688" s="42"/>
      <c r="D688" s="39"/>
      <c r="E688" s="40"/>
      <c r="F688" s="30"/>
      <c r="G688" s="25"/>
      <c r="H688" s="81"/>
      <c r="I688" s="43"/>
      <c r="J688" s="29"/>
      <c r="K688" s="24"/>
      <c r="L688" s="24"/>
      <c r="N688" s="48"/>
      <c r="O688" s="46"/>
      <c r="P688" s="46"/>
    </row>
    <row r="689" spans="2:16" ht="15.75" x14ac:dyDescent="0.25">
      <c r="B689" s="41"/>
      <c r="C689" s="42"/>
      <c r="D689" s="39"/>
      <c r="E689" s="40"/>
      <c r="F689" s="30"/>
      <c r="G689" s="25"/>
      <c r="H689" s="81"/>
      <c r="I689" s="43"/>
      <c r="J689" s="29"/>
      <c r="K689" s="24"/>
      <c r="L689" s="24"/>
      <c r="N689" s="48"/>
      <c r="O689" s="46"/>
      <c r="P689" s="46"/>
    </row>
    <row r="690" spans="2:16" ht="15.75" x14ac:dyDescent="0.25">
      <c r="B690" s="41"/>
      <c r="C690" s="42"/>
      <c r="D690" s="39"/>
      <c r="E690" s="40"/>
      <c r="F690" s="30"/>
      <c r="G690" s="25"/>
      <c r="H690" s="81"/>
      <c r="I690" s="43"/>
      <c r="J690" s="29"/>
      <c r="K690" s="24"/>
      <c r="L690" s="24"/>
      <c r="N690" s="48"/>
      <c r="O690" s="46"/>
      <c r="P690" s="46"/>
    </row>
    <row r="691" spans="2:16" ht="15.75" x14ac:dyDescent="0.25">
      <c r="B691" s="41"/>
      <c r="C691" s="42"/>
      <c r="D691" s="39"/>
      <c r="E691" s="40"/>
      <c r="F691" s="30"/>
      <c r="G691" s="25"/>
      <c r="H691" s="81"/>
      <c r="I691" s="43"/>
      <c r="J691" s="29"/>
      <c r="K691" s="24"/>
      <c r="L691" s="24"/>
      <c r="N691" s="48"/>
      <c r="O691" s="46"/>
      <c r="P691" s="46"/>
    </row>
    <row r="692" spans="2:16" ht="15.75" x14ac:dyDescent="0.25">
      <c r="B692" s="41"/>
      <c r="C692" s="42"/>
      <c r="D692" s="39"/>
      <c r="E692" s="40"/>
      <c r="F692" s="30"/>
      <c r="G692" s="25"/>
      <c r="H692" s="81"/>
      <c r="I692" s="43"/>
      <c r="J692" s="29"/>
      <c r="K692" s="24"/>
      <c r="L692" s="24"/>
      <c r="N692" s="48"/>
      <c r="O692" s="46"/>
      <c r="P692" s="46"/>
    </row>
    <row r="693" spans="2:16" ht="15.75" x14ac:dyDescent="0.25">
      <c r="B693" s="41"/>
      <c r="C693" s="42"/>
      <c r="D693" s="39"/>
      <c r="E693" s="40"/>
      <c r="F693" s="30"/>
      <c r="G693" s="25"/>
      <c r="H693" s="81"/>
      <c r="I693" s="43"/>
      <c r="J693" s="29"/>
      <c r="K693" s="24"/>
      <c r="L693" s="24"/>
      <c r="N693" s="48"/>
      <c r="O693" s="46"/>
      <c r="P693" s="46"/>
    </row>
    <row r="694" spans="2:16" ht="15.75" x14ac:dyDescent="0.25">
      <c r="B694" s="41"/>
      <c r="C694" s="42"/>
      <c r="D694" s="39"/>
      <c r="E694" s="40"/>
      <c r="F694" s="30"/>
      <c r="G694" s="25"/>
      <c r="H694" s="81"/>
      <c r="I694" s="43"/>
      <c r="J694" s="29"/>
      <c r="K694" s="24"/>
      <c r="L694" s="24"/>
      <c r="N694" s="48"/>
      <c r="O694" s="46"/>
      <c r="P694" s="46"/>
    </row>
    <row r="695" spans="2:16" ht="15.75" x14ac:dyDescent="0.25">
      <c r="B695" s="41"/>
      <c r="C695" s="42"/>
      <c r="D695" s="39"/>
      <c r="E695" s="40"/>
      <c r="F695" s="30"/>
      <c r="G695" s="25"/>
      <c r="H695" s="81"/>
      <c r="I695" s="43"/>
      <c r="J695" s="29"/>
      <c r="K695" s="24"/>
      <c r="L695" s="24"/>
      <c r="N695" s="48"/>
      <c r="O695" s="46"/>
      <c r="P695" s="46"/>
    </row>
    <row r="696" spans="2:16" ht="15.75" x14ac:dyDescent="0.25">
      <c r="B696" s="41"/>
      <c r="C696" s="42"/>
      <c r="D696" s="39"/>
      <c r="E696" s="40"/>
      <c r="F696" s="30"/>
      <c r="G696" s="25"/>
      <c r="H696" s="81"/>
      <c r="I696" s="43"/>
      <c r="J696" s="29"/>
      <c r="K696" s="24"/>
      <c r="L696" s="24"/>
      <c r="N696" s="48"/>
      <c r="O696" s="46"/>
      <c r="P696" s="46"/>
    </row>
    <row r="697" spans="2:16" ht="15.75" x14ac:dyDescent="0.25">
      <c r="B697" s="41"/>
      <c r="C697" s="42"/>
      <c r="D697" s="39"/>
      <c r="E697" s="40"/>
      <c r="F697" s="30"/>
      <c r="G697" s="25"/>
      <c r="H697" s="81"/>
      <c r="I697" s="43"/>
      <c r="J697" s="29"/>
      <c r="K697" s="24"/>
      <c r="L697" s="24"/>
      <c r="N697" s="48"/>
      <c r="O697" s="46"/>
      <c r="P697" s="46"/>
    </row>
    <row r="698" spans="2:16" ht="15.75" x14ac:dyDescent="0.25">
      <c r="B698" s="41"/>
      <c r="C698" s="42"/>
      <c r="D698" s="39"/>
      <c r="E698" s="40"/>
      <c r="F698" s="30"/>
      <c r="G698" s="25"/>
      <c r="H698" s="81"/>
      <c r="I698" s="43"/>
      <c r="J698" s="29"/>
      <c r="K698" s="24"/>
      <c r="L698" s="24"/>
      <c r="N698" s="48"/>
      <c r="O698" s="46"/>
      <c r="P698" s="46"/>
    </row>
    <row r="699" spans="2:16" ht="15.75" x14ac:dyDescent="0.25">
      <c r="B699" s="41"/>
      <c r="C699" s="42"/>
      <c r="D699" s="39"/>
      <c r="E699" s="40"/>
      <c r="F699" s="30"/>
      <c r="G699" s="25"/>
      <c r="H699" s="81"/>
      <c r="I699" s="43"/>
      <c r="J699" s="29"/>
      <c r="K699" s="24"/>
      <c r="L699" s="24"/>
      <c r="N699" s="48"/>
      <c r="O699" s="46"/>
      <c r="P699" s="46"/>
    </row>
    <row r="700" spans="2:16" ht="15.75" x14ac:dyDescent="0.25">
      <c r="B700" s="41"/>
      <c r="C700" s="42"/>
      <c r="D700" s="39"/>
      <c r="E700" s="40"/>
      <c r="F700" s="30"/>
      <c r="G700" s="25"/>
      <c r="H700" s="81"/>
      <c r="I700" s="43"/>
      <c r="J700" s="29"/>
      <c r="K700" s="24"/>
      <c r="L700" s="24"/>
      <c r="N700" s="48"/>
      <c r="O700" s="46"/>
      <c r="P700" s="46"/>
    </row>
    <row r="701" spans="2:16" ht="15.75" x14ac:dyDescent="0.25">
      <c r="B701" s="41"/>
      <c r="C701" s="42"/>
      <c r="D701" s="39"/>
      <c r="E701" s="40"/>
      <c r="F701" s="30"/>
      <c r="G701" s="25"/>
      <c r="H701" s="81"/>
      <c r="I701" s="43"/>
      <c r="J701" s="29"/>
      <c r="K701" s="24"/>
      <c r="L701" s="24"/>
      <c r="N701" s="48"/>
      <c r="O701" s="46"/>
      <c r="P701" s="46"/>
    </row>
    <row r="702" spans="2:16" ht="15.75" x14ac:dyDescent="0.25">
      <c r="B702" s="41"/>
      <c r="C702" s="42"/>
      <c r="D702" s="39"/>
      <c r="E702" s="40"/>
      <c r="F702" s="30"/>
      <c r="G702" s="25"/>
      <c r="H702" s="81"/>
      <c r="I702" s="43"/>
      <c r="J702" s="29"/>
      <c r="K702" s="24"/>
      <c r="L702" s="24"/>
      <c r="N702" s="48"/>
      <c r="O702" s="46"/>
      <c r="P702" s="46"/>
    </row>
    <row r="703" spans="2:16" ht="15.75" x14ac:dyDescent="0.25">
      <c r="B703" s="41"/>
      <c r="C703" s="42"/>
      <c r="D703" s="39"/>
      <c r="E703" s="40"/>
      <c r="F703" s="30"/>
      <c r="G703" s="25"/>
      <c r="H703" s="81"/>
      <c r="I703" s="43"/>
      <c r="J703" s="29"/>
      <c r="K703" s="24"/>
      <c r="L703" s="24"/>
      <c r="N703" s="48"/>
      <c r="O703" s="46"/>
      <c r="P703" s="46"/>
    </row>
    <row r="704" spans="2:16" ht="15.75" x14ac:dyDescent="0.25">
      <c r="B704" s="41"/>
      <c r="C704" s="42"/>
      <c r="D704" s="39"/>
      <c r="E704" s="40"/>
      <c r="F704" s="30"/>
      <c r="G704" s="25"/>
      <c r="H704" s="81"/>
      <c r="I704" s="43"/>
      <c r="J704" s="29"/>
      <c r="K704" s="24"/>
      <c r="L704" s="24"/>
      <c r="N704" s="48"/>
      <c r="O704" s="46"/>
      <c r="P704" s="46"/>
    </row>
    <row r="705" spans="2:16" ht="15.75" x14ac:dyDescent="0.25">
      <c r="B705" s="41"/>
      <c r="C705" s="42"/>
      <c r="D705" s="39"/>
      <c r="E705" s="40"/>
      <c r="F705" s="30"/>
      <c r="G705" s="25"/>
      <c r="H705" s="81"/>
      <c r="I705" s="43"/>
      <c r="J705" s="29"/>
      <c r="K705" s="24"/>
      <c r="L705" s="24"/>
      <c r="N705" s="48"/>
      <c r="O705" s="46"/>
      <c r="P705" s="46"/>
    </row>
    <row r="706" spans="2:16" ht="15.75" x14ac:dyDescent="0.25">
      <c r="B706" s="41"/>
      <c r="C706" s="42"/>
      <c r="D706" s="39"/>
      <c r="E706" s="40"/>
      <c r="F706" s="30"/>
      <c r="G706" s="25"/>
      <c r="H706" s="81"/>
      <c r="I706" s="43"/>
      <c r="J706" s="29"/>
      <c r="K706" s="24"/>
      <c r="L706" s="24"/>
      <c r="N706" s="48"/>
      <c r="O706" s="46"/>
      <c r="P706" s="46"/>
    </row>
    <row r="707" spans="2:16" ht="15.75" x14ac:dyDescent="0.25">
      <c r="B707" s="41"/>
      <c r="C707" s="42"/>
      <c r="D707" s="39"/>
      <c r="E707" s="40"/>
      <c r="F707" s="30"/>
      <c r="G707" s="25"/>
      <c r="H707" s="81"/>
      <c r="I707" s="43"/>
      <c r="J707" s="29"/>
      <c r="K707" s="24"/>
      <c r="L707" s="24"/>
      <c r="N707" s="48"/>
      <c r="O707" s="46"/>
      <c r="P707" s="46"/>
    </row>
    <row r="708" spans="2:16" ht="15.75" x14ac:dyDescent="0.25">
      <c r="B708" s="41"/>
      <c r="C708" s="42"/>
      <c r="D708" s="39"/>
      <c r="E708" s="40"/>
      <c r="F708" s="30"/>
      <c r="G708" s="25"/>
      <c r="H708" s="81"/>
      <c r="I708" s="43"/>
      <c r="J708" s="29"/>
      <c r="K708" s="24"/>
      <c r="L708" s="24"/>
      <c r="N708" s="48"/>
      <c r="O708" s="46"/>
      <c r="P708" s="46"/>
    </row>
    <row r="709" spans="2:16" ht="15.75" x14ac:dyDescent="0.25">
      <c r="B709" s="41"/>
      <c r="C709" s="42"/>
      <c r="D709" s="39"/>
      <c r="E709" s="40"/>
      <c r="F709" s="30"/>
      <c r="G709" s="25"/>
      <c r="H709" s="81"/>
      <c r="I709" s="43"/>
      <c r="J709" s="29"/>
      <c r="K709" s="24"/>
      <c r="L709" s="24"/>
      <c r="N709" s="48"/>
      <c r="O709" s="46"/>
      <c r="P709" s="46"/>
    </row>
    <row r="710" spans="2:16" ht="15.75" x14ac:dyDescent="0.25">
      <c r="B710" s="41"/>
      <c r="C710" s="42"/>
      <c r="D710" s="39"/>
      <c r="E710" s="40"/>
      <c r="F710" s="30"/>
      <c r="G710" s="25"/>
      <c r="H710" s="81"/>
      <c r="I710" s="43"/>
      <c r="J710" s="29"/>
      <c r="K710" s="24"/>
      <c r="L710" s="24"/>
      <c r="N710" s="48"/>
      <c r="O710" s="46"/>
      <c r="P710" s="46"/>
    </row>
    <row r="711" spans="2:16" ht="15.75" x14ac:dyDescent="0.25">
      <c r="B711" s="41"/>
      <c r="C711" s="42"/>
      <c r="D711" s="39"/>
      <c r="E711" s="40"/>
      <c r="F711" s="30"/>
      <c r="G711" s="25"/>
      <c r="H711" s="81"/>
      <c r="I711" s="43"/>
      <c r="J711" s="29"/>
      <c r="K711" s="24"/>
      <c r="L711" s="24"/>
      <c r="N711" s="48"/>
      <c r="O711" s="46"/>
      <c r="P711" s="46"/>
    </row>
    <row r="712" spans="2:16" ht="15.75" x14ac:dyDescent="0.25">
      <c r="B712" s="41"/>
      <c r="C712" s="42"/>
      <c r="D712" s="39"/>
      <c r="E712" s="40"/>
      <c r="F712" s="30"/>
      <c r="G712" s="25"/>
      <c r="H712" s="81"/>
      <c r="I712" s="43"/>
      <c r="J712" s="29"/>
      <c r="K712" s="24"/>
      <c r="L712" s="24"/>
      <c r="N712" s="48"/>
      <c r="O712" s="46"/>
      <c r="P712" s="46"/>
    </row>
    <row r="713" spans="2:16" ht="15.75" x14ac:dyDescent="0.25">
      <c r="B713" s="41"/>
      <c r="C713" s="42"/>
      <c r="D713" s="39"/>
      <c r="E713" s="40"/>
      <c r="F713" s="30"/>
      <c r="G713" s="25"/>
      <c r="H713" s="81"/>
      <c r="I713" s="43"/>
      <c r="J713" s="29"/>
      <c r="K713" s="24"/>
      <c r="L713" s="24"/>
      <c r="N713" s="48"/>
      <c r="O713" s="46"/>
      <c r="P713" s="46"/>
    </row>
    <row r="714" spans="2:16" ht="15.75" x14ac:dyDescent="0.25">
      <c r="B714" s="41"/>
      <c r="C714" s="42"/>
      <c r="D714" s="39"/>
      <c r="E714" s="40"/>
      <c r="F714" s="30"/>
      <c r="G714" s="25"/>
      <c r="H714" s="81"/>
      <c r="I714" s="43"/>
      <c r="J714" s="29"/>
      <c r="K714" s="24"/>
      <c r="L714" s="24"/>
      <c r="N714" s="48"/>
      <c r="O714" s="46"/>
      <c r="P714" s="46"/>
    </row>
    <row r="715" spans="2:16" ht="15.75" x14ac:dyDescent="0.25">
      <c r="B715" s="41"/>
      <c r="C715" s="42"/>
      <c r="D715" s="39"/>
      <c r="E715" s="40"/>
      <c r="F715" s="30"/>
      <c r="G715" s="25"/>
      <c r="H715" s="81"/>
      <c r="I715" s="43"/>
      <c r="J715" s="29"/>
      <c r="K715" s="24"/>
      <c r="L715" s="24"/>
      <c r="N715" s="48"/>
      <c r="O715" s="46"/>
      <c r="P715" s="46"/>
    </row>
    <row r="716" spans="2:16" ht="15.75" x14ac:dyDescent="0.25">
      <c r="B716" s="41"/>
      <c r="C716" s="42"/>
      <c r="D716" s="39"/>
      <c r="E716" s="40"/>
      <c r="F716" s="30"/>
      <c r="G716" s="25"/>
      <c r="H716" s="81"/>
      <c r="I716" s="43"/>
      <c r="J716" s="29"/>
      <c r="K716" s="24"/>
      <c r="L716" s="24"/>
      <c r="N716" s="48"/>
      <c r="O716" s="46"/>
      <c r="P716" s="46"/>
    </row>
    <row r="717" spans="2:16" ht="15.75" x14ac:dyDescent="0.25">
      <c r="B717" s="41"/>
      <c r="C717" s="42"/>
      <c r="D717" s="39"/>
      <c r="E717" s="40"/>
      <c r="F717" s="30"/>
      <c r="G717" s="25"/>
      <c r="H717" s="81"/>
      <c r="I717" s="43"/>
      <c r="J717" s="29"/>
      <c r="K717" s="24"/>
      <c r="L717" s="24"/>
      <c r="N717" s="48"/>
      <c r="O717" s="46"/>
      <c r="P717" s="46"/>
    </row>
    <row r="718" spans="2:16" ht="15.75" x14ac:dyDescent="0.25">
      <c r="B718" s="41"/>
      <c r="C718" s="42"/>
      <c r="D718" s="39"/>
      <c r="E718" s="40"/>
      <c r="F718" s="30"/>
      <c r="G718" s="25"/>
      <c r="H718" s="81"/>
      <c r="I718" s="43"/>
      <c r="J718" s="29"/>
      <c r="K718" s="24"/>
      <c r="L718" s="24"/>
      <c r="N718" s="48"/>
      <c r="O718" s="46"/>
      <c r="P718" s="46"/>
    </row>
    <row r="719" spans="2:16" ht="15.75" x14ac:dyDescent="0.25">
      <c r="B719" s="41"/>
      <c r="C719" s="42"/>
      <c r="D719" s="39"/>
      <c r="E719" s="40"/>
      <c r="F719" s="30"/>
      <c r="G719" s="25"/>
      <c r="H719" s="81"/>
      <c r="I719" s="43"/>
      <c r="J719" s="29"/>
      <c r="K719" s="24"/>
      <c r="L719" s="24"/>
      <c r="N719" s="48"/>
      <c r="O719" s="46"/>
      <c r="P719" s="46"/>
    </row>
    <row r="720" spans="2:16" ht="15.75" x14ac:dyDescent="0.25">
      <c r="B720" s="41"/>
      <c r="C720" s="42"/>
      <c r="D720" s="39"/>
      <c r="E720" s="40"/>
      <c r="F720" s="30"/>
      <c r="G720" s="25"/>
      <c r="H720" s="81"/>
      <c r="I720" s="43"/>
      <c r="J720" s="29"/>
      <c r="K720" s="24"/>
      <c r="L720" s="24"/>
      <c r="N720" s="48"/>
      <c r="O720" s="46"/>
      <c r="P720" s="46"/>
    </row>
    <row r="721" spans="2:16" ht="15.75" x14ac:dyDescent="0.25">
      <c r="B721" s="41"/>
      <c r="C721" s="42"/>
      <c r="D721" s="39"/>
      <c r="E721" s="40"/>
      <c r="F721" s="30"/>
      <c r="G721" s="25"/>
      <c r="H721" s="81"/>
      <c r="I721" s="43"/>
      <c r="J721" s="29"/>
      <c r="K721" s="24"/>
      <c r="L721" s="24"/>
      <c r="N721" s="48"/>
      <c r="O721" s="46"/>
      <c r="P721" s="46"/>
    </row>
    <row r="722" spans="2:16" ht="15.75" x14ac:dyDescent="0.25">
      <c r="B722" s="41"/>
      <c r="C722" s="42"/>
      <c r="D722" s="39"/>
      <c r="E722" s="40"/>
      <c r="F722" s="30"/>
      <c r="G722" s="25"/>
      <c r="H722" s="81"/>
      <c r="I722" s="43"/>
      <c r="J722" s="29"/>
      <c r="K722" s="24"/>
      <c r="L722" s="24"/>
      <c r="N722" s="48"/>
      <c r="O722" s="46"/>
      <c r="P722" s="46"/>
    </row>
    <row r="723" spans="2:16" ht="15.75" x14ac:dyDescent="0.25">
      <c r="B723" s="41"/>
      <c r="C723" s="42"/>
      <c r="D723" s="39"/>
      <c r="E723" s="40"/>
      <c r="F723" s="30"/>
      <c r="G723" s="25"/>
      <c r="H723" s="81"/>
      <c r="I723" s="43"/>
      <c r="J723" s="29"/>
      <c r="K723" s="24"/>
      <c r="L723" s="24"/>
      <c r="N723" s="48"/>
      <c r="O723" s="46"/>
      <c r="P723" s="46"/>
    </row>
    <row r="724" spans="2:16" ht="15.75" x14ac:dyDescent="0.25">
      <c r="B724" s="41"/>
      <c r="C724" s="42"/>
      <c r="D724" s="39"/>
      <c r="E724" s="40"/>
      <c r="F724" s="30"/>
      <c r="G724" s="25"/>
      <c r="H724" s="81"/>
      <c r="I724" s="43"/>
      <c r="J724" s="29"/>
      <c r="K724" s="24"/>
      <c r="L724" s="24"/>
      <c r="N724" s="48"/>
      <c r="O724" s="46"/>
      <c r="P724" s="46"/>
    </row>
    <row r="725" spans="2:16" ht="15.75" x14ac:dyDescent="0.25">
      <c r="B725" s="41"/>
      <c r="C725" s="42"/>
      <c r="D725" s="39"/>
      <c r="E725" s="40"/>
      <c r="F725" s="30"/>
      <c r="G725" s="25"/>
      <c r="H725" s="81"/>
      <c r="I725" s="43"/>
      <c r="J725" s="29"/>
      <c r="K725" s="24"/>
      <c r="L725" s="24"/>
      <c r="N725" s="48"/>
      <c r="O725" s="46"/>
      <c r="P725" s="46"/>
    </row>
    <row r="726" spans="2:16" ht="15.75" x14ac:dyDescent="0.25">
      <c r="B726" s="41"/>
      <c r="C726" s="42"/>
      <c r="D726" s="39"/>
      <c r="E726" s="40"/>
      <c r="F726" s="30"/>
      <c r="G726" s="25"/>
      <c r="H726" s="81"/>
      <c r="I726" s="43"/>
      <c r="J726" s="29"/>
      <c r="K726" s="24"/>
      <c r="L726" s="24"/>
      <c r="N726" s="48"/>
      <c r="O726" s="46"/>
      <c r="P726" s="46"/>
    </row>
    <row r="727" spans="2:16" ht="15.75" x14ac:dyDescent="0.25">
      <c r="B727" s="41"/>
      <c r="C727" s="42"/>
      <c r="D727" s="39"/>
      <c r="E727" s="40"/>
      <c r="F727" s="30"/>
      <c r="G727" s="25"/>
      <c r="H727" s="81"/>
      <c r="I727" s="43"/>
      <c r="J727" s="29"/>
      <c r="K727" s="24"/>
      <c r="L727" s="24"/>
      <c r="N727" s="48"/>
      <c r="O727" s="46"/>
      <c r="P727" s="46"/>
    </row>
    <row r="728" spans="2:16" ht="15.75" x14ac:dyDescent="0.25">
      <c r="B728" s="41"/>
      <c r="C728" s="42"/>
      <c r="D728" s="39"/>
      <c r="E728" s="40"/>
      <c r="F728" s="30"/>
      <c r="G728" s="25"/>
      <c r="H728" s="81"/>
      <c r="I728" s="43"/>
      <c r="J728" s="29"/>
      <c r="K728" s="24"/>
      <c r="L728" s="24"/>
      <c r="N728" s="48"/>
      <c r="O728" s="46"/>
      <c r="P728" s="46"/>
    </row>
    <row r="729" spans="2:16" ht="15.75" x14ac:dyDescent="0.25">
      <c r="B729" s="41"/>
      <c r="C729" s="42"/>
      <c r="D729" s="39"/>
      <c r="E729" s="40"/>
      <c r="F729" s="30"/>
      <c r="G729" s="25"/>
      <c r="H729" s="81"/>
      <c r="I729" s="43"/>
      <c r="J729" s="29"/>
      <c r="K729" s="24"/>
      <c r="L729" s="24"/>
      <c r="N729" s="48"/>
      <c r="O729" s="46"/>
      <c r="P729" s="46"/>
    </row>
    <row r="730" spans="2:16" ht="15.75" x14ac:dyDescent="0.25">
      <c r="B730" s="41"/>
      <c r="C730" s="42"/>
      <c r="D730" s="39"/>
      <c r="E730" s="40"/>
      <c r="F730" s="30"/>
      <c r="G730" s="25"/>
      <c r="H730" s="81"/>
      <c r="I730" s="43"/>
      <c r="J730" s="29"/>
      <c r="K730" s="24"/>
      <c r="L730" s="24"/>
      <c r="N730" s="48"/>
      <c r="O730" s="46"/>
      <c r="P730" s="46"/>
    </row>
    <row r="731" spans="2:16" ht="15.75" x14ac:dyDescent="0.25">
      <c r="B731" s="41"/>
      <c r="C731" s="42"/>
      <c r="D731" s="39"/>
      <c r="E731" s="40"/>
      <c r="F731" s="30"/>
      <c r="G731" s="25"/>
      <c r="H731" s="81"/>
      <c r="I731" s="43"/>
      <c r="J731" s="29"/>
      <c r="K731" s="24"/>
      <c r="L731" s="24"/>
      <c r="N731" s="48"/>
      <c r="O731" s="46"/>
      <c r="P731" s="46"/>
    </row>
    <row r="732" spans="2:16" ht="15.75" x14ac:dyDescent="0.25">
      <c r="B732" s="41"/>
      <c r="C732" s="42"/>
      <c r="D732" s="39"/>
      <c r="E732" s="40"/>
      <c r="F732" s="30"/>
      <c r="G732" s="25"/>
      <c r="H732" s="81"/>
      <c r="I732" s="43"/>
      <c r="J732" s="29"/>
      <c r="K732" s="24"/>
      <c r="L732" s="24"/>
      <c r="N732" s="48"/>
      <c r="O732" s="46"/>
      <c r="P732" s="46"/>
    </row>
    <row r="733" spans="2:16" ht="15.75" x14ac:dyDescent="0.25">
      <c r="B733" s="41"/>
      <c r="C733" s="42"/>
      <c r="D733" s="39"/>
      <c r="E733" s="40"/>
      <c r="F733" s="30"/>
      <c r="G733" s="25"/>
      <c r="H733" s="81"/>
      <c r="I733" s="43"/>
      <c r="J733" s="29"/>
      <c r="K733" s="24"/>
      <c r="L733" s="24"/>
      <c r="N733" s="48"/>
      <c r="O733" s="46"/>
      <c r="P733" s="46"/>
    </row>
    <row r="734" spans="2:16" ht="15.75" x14ac:dyDescent="0.25">
      <c r="B734" s="41"/>
      <c r="C734" s="42"/>
      <c r="D734" s="39"/>
      <c r="E734" s="40"/>
      <c r="F734" s="30"/>
      <c r="G734" s="25"/>
      <c r="H734" s="81"/>
      <c r="I734" s="43"/>
      <c r="J734" s="29"/>
      <c r="K734" s="24"/>
      <c r="L734" s="24"/>
      <c r="N734" s="48"/>
      <c r="O734" s="46"/>
      <c r="P734" s="46"/>
    </row>
    <row r="735" spans="2:16" ht="15.75" x14ac:dyDescent="0.25">
      <c r="B735" s="41"/>
      <c r="C735" s="42"/>
      <c r="D735" s="39"/>
      <c r="E735" s="40"/>
      <c r="F735" s="30"/>
      <c r="G735" s="25"/>
      <c r="H735" s="81"/>
      <c r="I735" s="43"/>
      <c r="J735" s="29"/>
      <c r="K735" s="24"/>
      <c r="L735" s="24"/>
      <c r="N735" s="48"/>
      <c r="O735" s="46"/>
      <c r="P735" s="46"/>
    </row>
    <row r="736" spans="2:16" ht="15.75" x14ac:dyDescent="0.25">
      <c r="B736" s="41"/>
      <c r="C736" s="42"/>
      <c r="D736" s="39"/>
      <c r="E736" s="40"/>
      <c r="F736" s="30"/>
      <c r="G736" s="25"/>
      <c r="H736" s="81"/>
      <c r="I736" s="43"/>
      <c r="J736" s="29"/>
      <c r="K736" s="24"/>
      <c r="L736" s="24"/>
      <c r="N736" s="48"/>
      <c r="O736" s="46"/>
      <c r="P736" s="46"/>
    </row>
    <row r="737" spans="2:16" ht="15.75" x14ac:dyDescent="0.25">
      <c r="B737" s="41"/>
      <c r="C737" s="42"/>
      <c r="D737" s="39"/>
      <c r="E737" s="40"/>
      <c r="F737" s="30"/>
      <c r="G737" s="25"/>
      <c r="H737" s="81"/>
      <c r="I737" s="43"/>
      <c r="J737" s="29"/>
      <c r="K737" s="24"/>
      <c r="L737" s="24"/>
      <c r="N737" s="48"/>
      <c r="O737" s="46"/>
      <c r="P737" s="46"/>
    </row>
    <row r="738" spans="2:16" ht="15.75" x14ac:dyDescent="0.25">
      <c r="B738" s="41"/>
      <c r="C738" s="42"/>
      <c r="D738" s="39"/>
      <c r="E738" s="40"/>
      <c r="F738" s="30"/>
      <c r="G738" s="25"/>
      <c r="H738" s="81"/>
      <c r="I738" s="43"/>
      <c r="J738" s="29"/>
      <c r="K738" s="24"/>
      <c r="L738" s="24"/>
      <c r="N738" s="48"/>
      <c r="O738" s="46"/>
      <c r="P738" s="46"/>
    </row>
    <row r="739" spans="2:16" ht="15.75" x14ac:dyDescent="0.25">
      <c r="B739" s="41"/>
      <c r="C739" s="42"/>
      <c r="D739" s="39"/>
      <c r="E739" s="40"/>
      <c r="F739" s="30"/>
      <c r="G739" s="25"/>
      <c r="H739" s="81"/>
      <c r="I739" s="43"/>
      <c r="J739" s="29"/>
      <c r="K739" s="24"/>
      <c r="L739" s="24"/>
      <c r="N739" s="48"/>
      <c r="O739" s="46"/>
      <c r="P739" s="46"/>
    </row>
    <row r="740" spans="2:16" ht="15.75" x14ac:dyDescent="0.25">
      <c r="B740" s="41"/>
      <c r="C740" s="42"/>
      <c r="D740" s="39"/>
      <c r="E740" s="40"/>
      <c r="F740" s="30"/>
      <c r="G740" s="25"/>
      <c r="H740" s="81"/>
      <c r="I740" s="43"/>
      <c r="J740" s="29"/>
      <c r="K740" s="24"/>
      <c r="L740" s="24"/>
      <c r="N740" s="48"/>
      <c r="O740" s="46"/>
      <c r="P740" s="46"/>
    </row>
    <row r="741" spans="2:16" ht="15.75" x14ac:dyDescent="0.25">
      <c r="B741" s="41"/>
      <c r="C741" s="42"/>
      <c r="D741" s="39"/>
      <c r="E741" s="40"/>
      <c r="F741" s="30"/>
      <c r="G741" s="25"/>
      <c r="H741" s="81"/>
      <c r="I741" s="43"/>
      <c r="J741" s="29"/>
      <c r="K741" s="24"/>
      <c r="L741" s="24"/>
      <c r="N741" s="48"/>
      <c r="O741" s="46"/>
      <c r="P741" s="46"/>
    </row>
    <row r="742" spans="2:16" ht="15.75" x14ac:dyDescent="0.25">
      <c r="B742" s="41"/>
      <c r="C742" s="42"/>
      <c r="D742" s="39"/>
      <c r="E742" s="40"/>
      <c r="F742" s="30"/>
      <c r="G742" s="25"/>
      <c r="H742" s="81"/>
      <c r="I742" s="43"/>
      <c r="J742" s="29"/>
      <c r="K742" s="24"/>
      <c r="L742" s="24"/>
      <c r="N742" s="48"/>
      <c r="O742" s="46"/>
      <c r="P742" s="46"/>
    </row>
    <row r="743" spans="2:16" ht="15.75" x14ac:dyDescent="0.25">
      <c r="B743" s="41"/>
      <c r="C743" s="42"/>
      <c r="D743" s="39"/>
      <c r="E743" s="40"/>
      <c r="F743" s="30"/>
      <c r="G743" s="25"/>
      <c r="H743" s="81"/>
      <c r="I743" s="43"/>
      <c r="J743" s="29"/>
      <c r="K743" s="24"/>
      <c r="L743" s="24"/>
      <c r="N743" s="48"/>
      <c r="O743" s="46"/>
      <c r="P743" s="46"/>
    </row>
    <row r="744" spans="2:16" ht="15.75" x14ac:dyDescent="0.25">
      <c r="B744" s="41"/>
      <c r="C744" s="42"/>
      <c r="D744" s="39"/>
      <c r="E744" s="40"/>
      <c r="F744" s="30"/>
      <c r="G744" s="25"/>
      <c r="H744" s="81"/>
      <c r="I744" s="43"/>
      <c r="J744" s="29"/>
      <c r="K744" s="24"/>
      <c r="L744" s="24"/>
      <c r="N744" s="48"/>
      <c r="O744" s="46"/>
      <c r="P744" s="46"/>
    </row>
    <row r="745" spans="2:16" ht="15.75" x14ac:dyDescent="0.25">
      <c r="B745" s="41"/>
      <c r="C745" s="42"/>
      <c r="D745" s="39"/>
      <c r="E745" s="40"/>
      <c r="F745" s="30"/>
      <c r="G745" s="25"/>
      <c r="H745" s="81"/>
      <c r="I745" s="43"/>
      <c r="J745" s="29"/>
      <c r="K745" s="24"/>
      <c r="L745" s="24"/>
      <c r="N745" s="48"/>
      <c r="O745" s="46"/>
      <c r="P745" s="46"/>
    </row>
    <row r="746" spans="2:16" ht="15.75" x14ac:dyDescent="0.25">
      <c r="B746" s="41"/>
      <c r="C746" s="42"/>
      <c r="D746" s="39"/>
      <c r="E746" s="40"/>
      <c r="F746" s="30"/>
      <c r="G746" s="25"/>
      <c r="H746" s="81"/>
      <c r="I746" s="43"/>
      <c r="J746" s="29"/>
      <c r="K746" s="24"/>
      <c r="L746" s="24"/>
      <c r="N746" s="48"/>
      <c r="O746" s="46"/>
      <c r="P746" s="46"/>
    </row>
    <row r="747" spans="2:16" ht="15.75" x14ac:dyDescent="0.25">
      <c r="B747" s="41"/>
      <c r="C747" s="42"/>
      <c r="D747" s="39"/>
      <c r="E747" s="40"/>
      <c r="F747" s="30"/>
      <c r="G747" s="25"/>
      <c r="H747" s="81"/>
      <c r="I747" s="43"/>
      <c r="J747" s="29"/>
      <c r="K747" s="24"/>
      <c r="L747" s="24"/>
      <c r="N747" s="48"/>
      <c r="O747" s="46"/>
      <c r="P747" s="46"/>
    </row>
    <row r="748" spans="2:16" ht="15.75" x14ac:dyDescent="0.25">
      <c r="B748" s="41"/>
      <c r="C748" s="42"/>
      <c r="D748" s="39"/>
      <c r="E748" s="40"/>
      <c r="F748" s="30"/>
      <c r="G748" s="25"/>
      <c r="H748" s="81"/>
      <c r="I748" s="43"/>
      <c r="J748" s="29"/>
      <c r="K748" s="24"/>
      <c r="L748" s="24"/>
      <c r="N748" s="48"/>
      <c r="O748" s="46"/>
      <c r="P748" s="46"/>
    </row>
    <row r="749" spans="2:16" ht="15.75" x14ac:dyDescent="0.25">
      <c r="B749" s="41"/>
      <c r="C749" s="42"/>
      <c r="D749" s="39"/>
      <c r="E749" s="40"/>
      <c r="F749" s="30"/>
      <c r="G749" s="25"/>
      <c r="H749" s="81"/>
      <c r="I749" s="43"/>
      <c r="J749" s="29"/>
      <c r="K749" s="24"/>
      <c r="L749" s="24"/>
      <c r="N749" s="48"/>
      <c r="O749" s="46"/>
      <c r="P749" s="46"/>
    </row>
    <row r="750" spans="2:16" ht="15.75" x14ac:dyDescent="0.25">
      <c r="B750" s="41"/>
      <c r="C750" s="42"/>
      <c r="D750" s="39"/>
      <c r="E750" s="40"/>
      <c r="F750" s="30"/>
      <c r="G750" s="25"/>
      <c r="H750" s="81"/>
      <c r="I750" s="43"/>
      <c r="J750" s="29"/>
      <c r="K750" s="24"/>
      <c r="L750" s="24"/>
      <c r="N750" s="48"/>
      <c r="O750" s="46"/>
      <c r="P750" s="46"/>
    </row>
    <row r="751" spans="2:16" ht="15.75" x14ac:dyDescent="0.25">
      <c r="B751" s="41"/>
      <c r="C751" s="42"/>
      <c r="D751" s="39"/>
      <c r="E751" s="40"/>
      <c r="F751" s="30"/>
      <c r="G751" s="25"/>
      <c r="H751" s="81"/>
      <c r="I751" s="43"/>
      <c r="J751" s="29"/>
      <c r="K751" s="24"/>
      <c r="L751" s="24"/>
      <c r="N751" s="48"/>
      <c r="O751" s="46"/>
      <c r="P751" s="46"/>
    </row>
    <row r="752" spans="2:16" ht="15.75" x14ac:dyDescent="0.25">
      <c r="B752" s="41"/>
      <c r="C752" s="42"/>
      <c r="D752" s="39"/>
      <c r="E752" s="40"/>
      <c r="F752" s="30"/>
      <c r="G752" s="25"/>
      <c r="H752" s="81"/>
      <c r="I752" s="43"/>
      <c r="J752" s="29"/>
      <c r="K752" s="24"/>
      <c r="L752" s="24"/>
      <c r="N752" s="48"/>
      <c r="O752" s="46"/>
      <c r="P752" s="46"/>
    </row>
    <row r="753" spans="2:16" ht="15.75" x14ac:dyDescent="0.25">
      <c r="B753" s="41"/>
      <c r="C753" s="42"/>
      <c r="D753" s="39"/>
      <c r="E753" s="40"/>
      <c r="F753" s="30"/>
      <c r="G753" s="25"/>
      <c r="H753" s="81"/>
      <c r="I753" s="43"/>
      <c r="J753" s="29"/>
      <c r="K753" s="24"/>
      <c r="L753" s="24"/>
      <c r="N753" s="48"/>
      <c r="O753" s="46"/>
      <c r="P753" s="46"/>
    </row>
    <row r="754" spans="2:16" ht="15.75" x14ac:dyDescent="0.25">
      <c r="B754" s="41"/>
      <c r="C754" s="42"/>
      <c r="D754" s="39"/>
      <c r="E754" s="40"/>
      <c r="F754" s="30"/>
      <c r="G754" s="25"/>
      <c r="H754" s="81"/>
      <c r="I754" s="43"/>
      <c r="J754" s="29"/>
      <c r="K754" s="24"/>
      <c r="L754" s="24"/>
      <c r="N754" s="48"/>
      <c r="O754" s="46"/>
      <c r="P754" s="46"/>
    </row>
    <row r="755" spans="2:16" ht="15.75" x14ac:dyDescent="0.25">
      <c r="B755" s="41"/>
      <c r="C755" s="42"/>
      <c r="D755" s="39"/>
      <c r="E755" s="40"/>
      <c r="F755" s="30"/>
      <c r="G755" s="25"/>
      <c r="H755" s="81"/>
      <c r="I755" s="43"/>
      <c r="J755" s="29"/>
      <c r="K755" s="24"/>
      <c r="L755" s="24"/>
      <c r="N755" s="48"/>
      <c r="O755" s="46"/>
      <c r="P755" s="46"/>
    </row>
    <row r="756" spans="2:16" ht="15.75" x14ac:dyDescent="0.25">
      <c r="B756" s="41"/>
      <c r="C756" s="42"/>
      <c r="D756" s="39"/>
      <c r="E756" s="40"/>
      <c r="F756" s="30"/>
      <c r="G756" s="25"/>
      <c r="H756" s="81"/>
      <c r="I756" s="43"/>
      <c r="J756" s="29"/>
      <c r="K756" s="24"/>
      <c r="L756" s="24"/>
      <c r="N756" s="48"/>
      <c r="O756" s="46"/>
      <c r="P756" s="46"/>
    </row>
    <row r="757" spans="2:16" ht="15.75" x14ac:dyDescent="0.25">
      <c r="B757" s="41"/>
      <c r="C757" s="42"/>
      <c r="D757" s="39"/>
      <c r="E757" s="40"/>
      <c r="F757" s="30"/>
      <c r="G757" s="25"/>
      <c r="H757" s="81"/>
      <c r="I757" s="43"/>
      <c r="J757" s="29"/>
      <c r="K757" s="24"/>
      <c r="L757" s="24"/>
      <c r="N757" s="48"/>
      <c r="O757" s="46"/>
      <c r="P757" s="46"/>
    </row>
    <row r="758" spans="2:16" ht="15.75" x14ac:dyDescent="0.25">
      <c r="B758" s="41"/>
      <c r="C758" s="42"/>
      <c r="D758" s="39"/>
      <c r="E758" s="40"/>
      <c r="F758" s="30"/>
      <c r="G758" s="25"/>
      <c r="H758" s="81"/>
      <c r="I758" s="43"/>
      <c r="J758" s="29"/>
      <c r="K758" s="24"/>
      <c r="L758" s="24"/>
      <c r="N758" s="48"/>
      <c r="O758" s="46"/>
      <c r="P758" s="46"/>
    </row>
    <row r="759" spans="2:16" ht="15.75" x14ac:dyDescent="0.25">
      <c r="B759" s="41"/>
      <c r="C759" s="42"/>
      <c r="D759" s="39"/>
      <c r="E759" s="40"/>
      <c r="F759" s="30"/>
      <c r="G759" s="25"/>
      <c r="H759" s="81"/>
      <c r="I759" s="43"/>
      <c r="J759" s="29"/>
      <c r="K759" s="24"/>
      <c r="L759" s="24"/>
      <c r="N759" s="48"/>
      <c r="O759" s="46"/>
      <c r="P759" s="46"/>
    </row>
    <row r="760" spans="2:16" ht="15.75" x14ac:dyDescent="0.25">
      <c r="B760" s="41"/>
      <c r="C760" s="42"/>
      <c r="D760" s="39"/>
      <c r="E760" s="40"/>
      <c r="F760" s="30"/>
      <c r="G760" s="25"/>
      <c r="H760" s="81"/>
      <c r="I760" s="43"/>
      <c r="J760" s="29"/>
      <c r="K760" s="24"/>
      <c r="L760" s="24"/>
      <c r="N760" s="48"/>
      <c r="O760" s="46"/>
      <c r="P760" s="46"/>
    </row>
    <row r="761" spans="2:16" ht="15.75" x14ac:dyDescent="0.25">
      <c r="B761" s="41"/>
      <c r="C761" s="42"/>
      <c r="D761" s="39"/>
      <c r="E761" s="40"/>
      <c r="F761" s="30"/>
      <c r="G761" s="25"/>
      <c r="H761" s="81"/>
      <c r="I761" s="43"/>
      <c r="J761" s="29"/>
      <c r="K761" s="24"/>
      <c r="L761" s="24"/>
      <c r="N761" s="48"/>
      <c r="O761" s="46"/>
      <c r="P761" s="46"/>
    </row>
    <row r="762" spans="2:16" ht="15.75" x14ac:dyDescent="0.25">
      <c r="B762" s="41"/>
      <c r="C762" s="42"/>
      <c r="D762" s="39"/>
      <c r="E762" s="40"/>
      <c r="F762" s="30"/>
      <c r="G762" s="25"/>
      <c r="H762" s="81"/>
      <c r="I762" s="43"/>
      <c r="J762" s="29"/>
      <c r="K762" s="24"/>
      <c r="L762" s="24"/>
      <c r="N762" s="48"/>
      <c r="O762" s="46"/>
      <c r="P762" s="46"/>
    </row>
    <row r="763" spans="2:16" ht="15.75" x14ac:dyDescent="0.25">
      <c r="B763" s="41"/>
      <c r="C763" s="42"/>
      <c r="D763" s="39"/>
      <c r="E763" s="40"/>
      <c r="F763" s="30"/>
      <c r="G763" s="25"/>
      <c r="H763" s="81"/>
      <c r="I763" s="43"/>
      <c r="J763" s="29"/>
      <c r="K763" s="24"/>
      <c r="L763" s="24"/>
      <c r="N763" s="48"/>
      <c r="O763" s="46"/>
      <c r="P763" s="46"/>
    </row>
    <row r="764" spans="2:16" ht="15.75" x14ac:dyDescent="0.25">
      <c r="B764" s="41"/>
      <c r="C764" s="42"/>
      <c r="D764" s="39"/>
      <c r="E764" s="40"/>
      <c r="F764" s="30"/>
      <c r="G764" s="25"/>
      <c r="H764" s="81"/>
      <c r="I764" s="43"/>
      <c r="J764" s="29"/>
      <c r="K764" s="24"/>
      <c r="L764" s="24"/>
      <c r="N764" s="48"/>
      <c r="O764" s="46"/>
      <c r="P764" s="46"/>
    </row>
    <row r="765" spans="2:16" ht="15.75" x14ac:dyDescent="0.25">
      <c r="B765" s="41"/>
      <c r="C765" s="42"/>
      <c r="D765" s="39"/>
      <c r="E765" s="40"/>
      <c r="F765" s="30"/>
      <c r="G765" s="25"/>
      <c r="H765" s="81"/>
      <c r="I765" s="43"/>
      <c r="J765" s="29"/>
      <c r="K765" s="24"/>
      <c r="L765" s="24"/>
      <c r="N765" s="48"/>
      <c r="O765" s="46"/>
      <c r="P765" s="46"/>
    </row>
    <row r="766" spans="2:16" ht="15.75" x14ac:dyDescent="0.25">
      <c r="B766" s="41"/>
      <c r="C766" s="42"/>
      <c r="D766" s="39"/>
      <c r="E766" s="40"/>
      <c r="F766" s="30"/>
      <c r="G766" s="25"/>
      <c r="H766" s="81"/>
      <c r="I766" s="43"/>
      <c r="J766" s="29"/>
      <c r="K766" s="24"/>
      <c r="L766" s="24"/>
      <c r="N766" s="48"/>
      <c r="O766" s="46"/>
      <c r="P766" s="46"/>
    </row>
    <row r="767" spans="2:16" ht="15.75" x14ac:dyDescent="0.25">
      <c r="B767" s="41"/>
      <c r="C767" s="42"/>
      <c r="D767" s="39"/>
      <c r="E767" s="40"/>
      <c r="F767" s="30"/>
      <c r="G767" s="25"/>
      <c r="H767" s="81"/>
      <c r="I767" s="43"/>
      <c r="J767" s="29"/>
      <c r="K767" s="24"/>
      <c r="L767" s="24"/>
      <c r="N767" s="48"/>
      <c r="O767" s="46"/>
      <c r="P767" s="46"/>
    </row>
    <row r="768" spans="2:16" ht="15.75" x14ac:dyDescent="0.25">
      <c r="B768" s="41"/>
      <c r="C768" s="42"/>
      <c r="D768" s="39"/>
      <c r="E768" s="40"/>
      <c r="F768" s="30"/>
      <c r="G768" s="25"/>
      <c r="H768" s="81"/>
      <c r="I768" s="43"/>
      <c r="J768" s="29"/>
      <c r="K768" s="24"/>
      <c r="L768" s="24"/>
      <c r="N768" s="48"/>
      <c r="O768" s="46"/>
      <c r="P768" s="46"/>
    </row>
    <row r="769" spans="2:16" ht="15.75" x14ac:dyDescent="0.25">
      <c r="B769" s="41"/>
      <c r="C769" s="42"/>
      <c r="D769" s="39"/>
      <c r="E769" s="40"/>
      <c r="F769" s="30"/>
      <c r="G769" s="25"/>
      <c r="H769" s="81"/>
      <c r="I769" s="43"/>
      <c r="J769" s="29"/>
      <c r="K769" s="24"/>
      <c r="L769" s="24"/>
      <c r="N769" s="48"/>
      <c r="O769" s="46"/>
      <c r="P769" s="46"/>
    </row>
    <row r="770" spans="2:16" ht="15.75" x14ac:dyDescent="0.25">
      <c r="B770" s="41"/>
      <c r="C770" s="42"/>
      <c r="D770" s="39"/>
      <c r="E770" s="40"/>
      <c r="F770" s="30"/>
      <c r="G770" s="25"/>
      <c r="H770" s="81"/>
      <c r="I770" s="43"/>
      <c r="J770" s="29"/>
      <c r="K770" s="24"/>
      <c r="L770" s="24"/>
      <c r="N770" s="48"/>
      <c r="O770" s="46"/>
      <c r="P770" s="46"/>
    </row>
    <row r="771" spans="2:16" ht="15.75" x14ac:dyDescent="0.25">
      <c r="B771" s="41"/>
      <c r="C771" s="42"/>
      <c r="D771" s="39"/>
      <c r="E771" s="40"/>
      <c r="F771" s="30"/>
      <c r="G771" s="25"/>
      <c r="H771" s="81"/>
      <c r="I771" s="43"/>
      <c r="J771" s="29"/>
      <c r="K771" s="24"/>
      <c r="L771" s="24"/>
      <c r="N771" s="48"/>
      <c r="O771" s="46"/>
      <c r="P771" s="46"/>
    </row>
    <row r="772" spans="2:16" ht="15.75" x14ac:dyDescent="0.25">
      <c r="B772" s="41"/>
      <c r="C772" s="42"/>
      <c r="D772" s="39"/>
      <c r="E772" s="40"/>
      <c r="F772" s="30"/>
      <c r="G772" s="25"/>
      <c r="H772" s="81"/>
      <c r="I772" s="43"/>
      <c r="J772" s="29"/>
      <c r="K772" s="24"/>
      <c r="L772" s="24"/>
      <c r="N772" s="48"/>
      <c r="O772" s="46"/>
      <c r="P772" s="46"/>
    </row>
    <row r="773" spans="2:16" ht="15.75" x14ac:dyDescent="0.25">
      <c r="B773" s="41"/>
      <c r="C773" s="42"/>
      <c r="D773" s="39"/>
      <c r="E773" s="40"/>
      <c r="F773" s="30"/>
      <c r="G773" s="25"/>
      <c r="H773" s="81"/>
      <c r="I773" s="43"/>
      <c r="J773" s="29"/>
      <c r="K773" s="24"/>
      <c r="L773" s="24"/>
      <c r="N773" s="48"/>
      <c r="O773" s="46"/>
      <c r="P773" s="46"/>
    </row>
    <row r="774" spans="2:16" ht="15.75" x14ac:dyDescent="0.25">
      <c r="B774" s="41"/>
      <c r="C774" s="42"/>
      <c r="D774" s="39"/>
      <c r="E774" s="40"/>
      <c r="F774" s="30"/>
      <c r="G774" s="25"/>
      <c r="H774" s="81"/>
      <c r="I774" s="43"/>
      <c r="J774" s="29"/>
      <c r="K774" s="24"/>
      <c r="L774" s="24"/>
      <c r="N774" s="48"/>
      <c r="O774" s="46"/>
      <c r="P774" s="46"/>
    </row>
    <row r="775" spans="2:16" ht="15.75" x14ac:dyDescent="0.25">
      <c r="B775" s="41"/>
      <c r="C775" s="42"/>
      <c r="D775" s="39"/>
      <c r="E775" s="40"/>
      <c r="F775" s="30"/>
      <c r="G775" s="25"/>
      <c r="H775" s="81"/>
      <c r="I775" s="43"/>
      <c r="J775" s="29"/>
      <c r="K775" s="24"/>
      <c r="L775" s="24"/>
      <c r="N775" s="48"/>
      <c r="O775" s="46"/>
      <c r="P775" s="46"/>
    </row>
    <row r="776" spans="2:16" ht="15.75" x14ac:dyDescent="0.25">
      <c r="B776" s="41"/>
      <c r="C776" s="42"/>
      <c r="D776" s="39"/>
      <c r="E776" s="40"/>
      <c r="F776" s="30"/>
      <c r="G776" s="25"/>
      <c r="H776" s="81"/>
      <c r="I776" s="43"/>
      <c r="J776" s="29"/>
      <c r="K776" s="24"/>
      <c r="L776" s="24"/>
      <c r="N776" s="48"/>
      <c r="O776" s="46"/>
      <c r="P776" s="46"/>
    </row>
    <row r="777" spans="2:16" ht="15.75" x14ac:dyDescent="0.25">
      <c r="B777" s="41"/>
      <c r="C777" s="42"/>
      <c r="D777" s="39"/>
      <c r="E777" s="40"/>
      <c r="F777" s="30"/>
      <c r="G777" s="25"/>
      <c r="H777" s="81"/>
      <c r="I777" s="43"/>
      <c r="J777" s="29"/>
      <c r="K777" s="24"/>
      <c r="L777" s="24"/>
      <c r="N777" s="48"/>
      <c r="O777" s="46"/>
      <c r="P777" s="46"/>
    </row>
    <row r="778" spans="2:16" ht="15.75" x14ac:dyDescent="0.25">
      <c r="B778" s="41"/>
      <c r="C778" s="42"/>
      <c r="D778" s="39"/>
      <c r="E778" s="40"/>
      <c r="F778" s="30"/>
      <c r="G778" s="25"/>
      <c r="H778" s="81"/>
      <c r="I778" s="43"/>
      <c r="J778" s="29"/>
      <c r="K778" s="24"/>
      <c r="L778" s="24"/>
      <c r="N778" s="48"/>
      <c r="O778" s="46"/>
      <c r="P778" s="46"/>
    </row>
    <row r="779" spans="2:16" ht="15.75" x14ac:dyDescent="0.25">
      <c r="B779" s="41"/>
      <c r="C779" s="42"/>
      <c r="D779" s="39"/>
      <c r="E779" s="40"/>
      <c r="F779" s="30"/>
      <c r="G779" s="25"/>
      <c r="H779" s="81"/>
      <c r="I779" s="43"/>
      <c r="J779" s="29"/>
      <c r="K779" s="24"/>
      <c r="L779" s="24"/>
      <c r="N779" s="48"/>
      <c r="O779" s="46"/>
      <c r="P779" s="46"/>
    </row>
    <row r="780" spans="2:16" ht="15.75" x14ac:dyDescent="0.25">
      <c r="B780" s="41"/>
      <c r="C780" s="42"/>
      <c r="D780" s="39"/>
      <c r="E780" s="40"/>
      <c r="F780" s="30"/>
      <c r="G780" s="25"/>
      <c r="H780" s="81"/>
      <c r="I780" s="43"/>
      <c r="J780" s="29"/>
      <c r="K780" s="24"/>
      <c r="L780" s="24"/>
      <c r="N780" s="48"/>
      <c r="O780" s="46"/>
      <c r="P780" s="46"/>
    </row>
    <row r="781" spans="2:16" ht="15.75" x14ac:dyDescent="0.25">
      <c r="B781" s="41"/>
      <c r="C781" s="42"/>
      <c r="D781" s="39"/>
      <c r="E781" s="40"/>
      <c r="F781" s="30"/>
      <c r="G781" s="25"/>
      <c r="H781" s="81"/>
      <c r="I781" s="43"/>
      <c r="J781" s="29"/>
      <c r="K781" s="24"/>
      <c r="L781" s="24"/>
      <c r="N781" s="48"/>
      <c r="O781" s="46"/>
      <c r="P781" s="46"/>
    </row>
    <row r="782" spans="2:16" ht="15.75" x14ac:dyDescent="0.25">
      <c r="B782" s="41"/>
      <c r="C782" s="42"/>
      <c r="D782" s="39"/>
      <c r="E782" s="40"/>
      <c r="F782" s="30"/>
      <c r="G782" s="25"/>
      <c r="H782" s="81"/>
      <c r="I782" s="43"/>
      <c r="J782" s="29"/>
      <c r="K782" s="24"/>
      <c r="L782" s="24"/>
      <c r="N782" s="48"/>
      <c r="O782" s="46"/>
      <c r="P782" s="46"/>
    </row>
    <row r="783" spans="2:16" ht="15.75" x14ac:dyDescent="0.25">
      <c r="B783" s="41"/>
      <c r="C783" s="42"/>
      <c r="D783" s="39"/>
      <c r="E783" s="40"/>
      <c r="F783" s="30"/>
      <c r="G783" s="25"/>
      <c r="H783" s="81"/>
      <c r="I783" s="43"/>
      <c r="J783" s="29"/>
      <c r="K783" s="24"/>
      <c r="L783" s="24"/>
      <c r="N783" s="48"/>
      <c r="O783" s="46"/>
      <c r="P783" s="46"/>
    </row>
    <row r="784" spans="2:16" ht="15.75" x14ac:dyDescent="0.25">
      <c r="B784" s="41"/>
      <c r="C784" s="42"/>
      <c r="D784" s="39"/>
      <c r="E784" s="40"/>
      <c r="F784" s="30"/>
      <c r="G784" s="25"/>
      <c r="H784" s="81"/>
      <c r="I784" s="43"/>
      <c r="J784" s="29"/>
      <c r="K784" s="24"/>
      <c r="L784" s="24"/>
      <c r="N784" s="48"/>
      <c r="O784" s="46"/>
      <c r="P784" s="46"/>
    </row>
    <row r="785" spans="2:16" ht="15.75" x14ac:dyDescent="0.25">
      <c r="B785" s="41"/>
      <c r="C785" s="42"/>
      <c r="D785" s="39"/>
      <c r="E785" s="40"/>
      <c r="F785" s="30"/>
      <c r="G785" s="25"/>
      <c r="H785" s="81"/>
      <c r="I785" s="43"/>
      <c r="J785" s="29"/>
      <c r="K785" s="24"/>
      <c r="L785" s="24"/>
      <c r="N785" s="48"/>
      <c r="O785" s="46"/>
      <c r="P785" s="46"/>
    </row>
    <row r="786" spans="2:16" ht="15.75" x14ac:dyDescent="0.25">
      <c r="B786" s="41"/>
      <c r="C786" s="42"/>
      <c r="D786" s="39"/>
      <c r="E786" s="40"/>
      <c r="F786" s="30"/>
      <c r="G786" s="25"/>
      <c r="H786" s="81"/>
      <c r="I786" s="43"/>
      <c r="J786" s="29"/>
      <c r="K786" s="24"/>
      <c r="L786" s="24"/>
      <c r="N786" s="48"/>
      <c r="O786" s="46"/>
      <c r="P786" s="46"/>
    </row>
    <row r="787" spans="2:16" ht="15.75" x14ac:dyDescent="0.25">
      <c r="B787" s="41"/>
      <c r="C787" s="42"/>
      <c r="D787" s="39"/>
      <c r="E787" s="40"/>
      <c r="F787" s="30"/>
      <c r="G787" s="25"/>
      <c r="H787" s="81"/>
      <c r="I787" s="43"/>
      <c r="J787" s="29"/>
      <c r="K787" s="24"/>
      <c r="L787" s="24"/>
      <c r="N787" s="48"/>
      <c r="O787" s="46"/>
      <c r="P787" s="46"/>
    </row>
    <row r="788" spans="2:16" ht="15.75" x14ac:dyDescent="0.25">
      <c r="B788" s="41"/>
      <c r="C788" s="42"/>
      <c r="D788" s="39"/>
      <c r="E788" s="40"/>
      <c r="F788" s="30"/>
      <c r="G788" s="25"/>
      <c r="H788" s="81"/>
      <c r="I788" s="43"/>
      <c r="J788" s="29"/>
      <c r="K788" s="24"/>
      <c r="L788" s="24"/>
      <c r="N788" s="48"/>
      <c r="O788" s="46"/>
      <c r="P788" s="46"/>
    </row>
    <row r="789" spans="2:16" ht="15.75" x14ac:dyDescent="0.25">
      <c r="B789" s="41"/>
      <c r="C789" s="42"/>
      <c r="D789" s="39"/>
      <c r="E789" s="40"/>
      <c r="F789" s="30"/>
      <c r="G789" s="25"/>
      <c r="H789" s="81"/>
      <c r="I789" s="43"/>
      <c r="J789" s="29"/>
      <c r="K789" s="24"/>
      <c r="L789" s="24"/>
      <c r="N789" s="48"/>
      <c r="O789" s="46"/>
      <c r="P789" s="46"/>
    </row>
    <row r="790" spans="2:16" ht="15.75" x14ac:dyDescent="0.25">
      <c r="B790" s="41"/>
      <c r="C790" s="42"/>
      <c r="D790" s="39"/>
      <c r="E790" s="40"/>
      <c r="F790" s="30"/>
      <c r="G790" s="25"/>
      <c r="H790" s="81"/>
      <c r="I790" s="43"/>
      <c r="J790" s="29"/>
      <c r="K790" s="24"/>
      <c r="L790" s="24"/>
      <c r="N790" s="48"/>
      <c r="O790" s="46"/>
      <c r="P790" s="46"/>
    </row>
    <row r="791" spans="2:16" ht="15.75" x14ac:dyDescent="0.25">
      <c r="B791" s="41"/>
      <c r="C791" s="42"/>
      <c r="D791" s="39"/>
      <c r="E791" s="40"/>
      <c r="F791" s="30"/>
      <c r="G791" s="25"/>
      <c r="H791" s="81"/>
      <c r="I791" s="43"/>
      <c r="J791" s="29"/>
      <c r="K791" s="24"/>
      <c r="L791" s="24"/>
      <c r="N791" s="48"/>
      <c r="O791" s="46"/>
      <c r="P791" s="46"/>
    </row>
    <row r="792" spans="2:16" ht="15.75" x14ac:dyDescent="0.25">
      <c r="B792" s="41"/>
      <c r="C792" s="42"/>
      <c r="D792" s="39"/>
      <c r="E792" s="40"/>
      <c r="F792" s="30"/>
      <c r="G792" s="25"/>
      <c r="H792" s="81"/>
      <c r="I792" s="43"/>
      <c r="J792" s="29"/>
      <c r="K792" s="24"/>
      <c r="L792" s="24"/>
      <c r="N792" s="48"/>
      <c r="O792" s="46"/>
      <c r="P792" s="46"/>
    </row>
    <row r="793" spans="2:16" ht="15.75" x14ac:dyDescent="0.25">
      <c r="B793" s="41"/>
      <c r="C793" s="42"/>
      <c r="D793" s="39"/>
      <c r="E793" s="40"/>
      <c r="F793" s="30"/>
      <c r="G793" s="25"/>
      <c r="H793" s="81"/>
      <c r="I793" s="43"/>
      <c r="J793" s="29"/>
      <c r="K793" s="24"/>
      <c r="L793" s="24"/>
      <c r="N793" s="48"/>
      <c r="O793" s="46"/>
      <c r="P793" s="46"/>
    </row>
    <row r="794" spans="2:16" ht="15.75" x14ac:dyDescent="0.25">
      <c r="B794" s="41"/>
      <c r="C794" s="42"/>
      <c r="D794" s="39"/>
      <c r="E794" s="40"/>
      <c r="F794" s="30"/>
      <c r="G794" s="25"/>
      <c r="H794" s="81"/>
      <c r="I794" s="43"/>
      <c r="J794" s="29"/>
      <c r="K794" s="24"/>
      <c r="L794" s="24"/>
      <c r="N794" s="48"/>
      <c r="O794" s="46"/>
      <c r="P794" s="46"/>
    </row>
    <row r="795" spans="2:16" ht="15.75" x14ac:dyDescent="0.25">
      <c r="B795" s="41"/>
      <c r="C795" s="42"/>
      <c r="D795" s="39"/>
      <c r="E795" s="40"/>
      <c r="F795" s="30"/>
      <c r="G795" s="25"/>
      <c r="H795" s="81"/>
      <c r="I795" s="43"/>
      <c r="J795" s="29"/>
      <c r="K795" s="24"/>
      <c r="L795" s="24"/>
      <c r="N795" s="48"/>
      <c r="O795" s="46"/>
      <c r="P795" s="46"/>
    </row>
    <row r="796" spans="2:16" ht="15.75" x14ac:dyDescent="0.25">
      <c r="B796" s="41"/>
      <c r="C796" s="42"/>
      <c r="D796" s="39"/>
      <c r="E796" s="40"/>
      <c r="F796" s="30"/>
      <c r="G796" s="25"/>
      <c r="H796" s="81"/>
      <c r="I796" s="43"/>
      <c r="J796" s="29"/>
      <c r="K796" s="24"/>
      <c r="L796" s="24"/>
      <c r="N796" s="48"/>
      <c r="O796" s="46"/>
      <c r="P796" s="46"/>
    </row>
    <row r="797" spans="2:16" ht="15.75" x14ac:dyDescent="0.25">
      <c r="B797" s="41"/>
      <c r="C797" s="42"/>
      <c r="D797" s="39"/>
      <c r="E797" s="40"/>
      <c r="F797" s="30"/>
      <c r="G797" s="25"/>
      <c r="H797" s="81"/>
      <c r="I797" s="43"/>
      <c r="J797" s="29"/>
      <c r="K797" s="24"/>
      <c r="L797" s="24"/>
      <c r="N797" s="48"/>
      <c r="O797" s="46"/>
      <c r="P797" s="46"/>
    </row>
    <row r="798" spans="2:16" ht="15.75" x14ac:dyDescent="0.25">
      <c r="B798" s="41"/>
      <c r="C798" s="42"/>
      <c r="D798" s="39"/>
      <c r="E798" s="40"/>
      <c r="F798" s="30"/>
      <c r="G798" s="25"/>
      <c r="H798" s="81"/>
      <c r="I798" s="43"/>
      <c r="J798" s="29"/>
      <c r="K798" s="24"/>
      <c r="L798" s="24"/>
      <c r="N798" s="48"/>
      <c r="O798" s="46"/>
      <c r="P798" s="46"/>
    </row>
    <row r="799" spans="2:16" ht="15.75" x14ac:dyDescent="0.25">
      <c r="B799" s="41"/>
      <c r="C799" s="42"/>
      <c r="D799" s="39"/>
      <c r="E799" s="40"/>
      <c r="F799" s="30"/>
      <c r="G799" s="25"/>
      <c r="H799" s="81"/>
      <c r="I799" s="43"/>
      <c r="J799" s="29"/>
      <c r="K799" s="24"/>
      <c r="L799" s="24"/>
      <c r="N799" s="48"/>
      <c r="O799" s="46"/>
      <c r="P799" s="46"/>
    </row>
    <row r="800" spans="2:16" ht="15.75" x14ac:dyDescent="0.25">
      <c r="B800" s="41"/>
      <c r="C800" s="42"/>
      <c r="D800" s="39"/>
      <c r="E800" s="40"/>
      <c r="F800" s="30"/>
      <c r="G800" s="25"/>
      <c r="H800" s="81"/>
      <c r="I800" s="43"/>
      <c r="J800" s="29"/>
      <c r="K800" s="24"/>
      <c r="L800" s="24"/>
      <c r="N800" s="48"/>
      <c r="O800" s="46"/>
      <c r="P800" s="46"/>
    </row>
    <row r="801" spans="2:16" ht="15.75" x14ac:dyDescent="0.25">
      <c r="B801" s="41"/>
      <c r="C801" s="42"/>
      <c r="D801" s="39"/>
      <c r="E801" s="40"/>
      <c r="F801" s="30"/>
      <c r="G801" s="25"/>
      <c r="H801" s="81"/>
      <c r="I801" s="43"/>
      <c r="J801" s="29"/>
      <c r="K801" s="24"/>
      <c r="L801" s="24"/>
      <c r="N801" s="48"/>
      <c r="O801" s="46"/>
      <c r="P801" s="46"/>
    </row>
    <row r="802" spans="2:16" ht="15.75" x14ac:dyDescent="0.25">
      <c r="B802" s="41"/>
      <c r="C802" s="42"/>
      <c r="D802" s="39"/>
      <c r="E802" s="40"/>
      <c r="F802" s="30"/>
      <c r="G802" s="25"/>
      <c r="H802" s="81"/>
      <c r="I802" s="43"/>
      <c r="J802" s="29"/>
      <c r="K802" s="24"/>
      <c r="L802" s="24"/>
      <c r="N802" s="48"/>
      <c r="O802" s="46"/>
      <c r="P802" s="46"/>
    </row>
    <row r="803" spans="2:16" ht="15.75" x14ac:dyDescent="0.25">
      <c r="B803" s="41"/>
      <c r="C803" s="42"/>
      <c r="D803" s="39"/>
      <c r="E803" s="40"/>
      <c r="F803" s="30"/>
      <c r="G803" s="25"/>
      <c r="H803" s="81"/>
      <c r="I803" s="43"/>
      <c r="J803" s="29"/>
      <c r="K803" s="24"/>
      <c r="L803" s="24"/>
      <c r="N803" s="48"/>
      <c r="O803" s="46"/>
      <c r="P803" s="46"/>
    </row>
    <row r="804" spans="2:16" ht="15.75" x14ac:dyDescent="0.25">
      <c r="B804" s="41"/>
      <c r="C804" s="42"/>
      <c r="D804" s="39"/>
      <c r="E804" s="40"/>
      <c r="F804" s="30"/>
      <c r="G804" s="25"/>
      <c r="H804" s="81"/>
      <c r="I804" s="43"/>
      <c r="J804" s="29"/>
      <c r="K804" s="24"/>
      <c r="L804" s="24"/>
      <c r="N804" s="48"/>
      <c r="O804" s="46"/>
      <c r="P804" s="46"/>
    </row>
    <row r="805" spans="2:16" ht="15.75" x14ac:dyDescent="0.25">
      <c r="B805" s="41"/>
      <c r="C805" s="42"/>
      <c r="D805" s="39"/>
      <c r="E805" s="40"/>
      <c r="F805" s="30"/>
      <c r="G805" s="25"/>
      <c r="H805" s="81"/>
      <c r="I805" s="43"/>
      <c r="J805" s="29"/>
      <c r="K805" s="24"/>
      <c r="L805" s="24"/>
      <c r="N805" s="48"/>
      <c r="O805" s="46"/>
      <c r="P805" s="46"/>
    </row>
    <row r="806" spans="2:16" ht="15.75" x14ac:dyDescent="0.25">
      <c r="B806" s="41"/>
      <c r="C806" s="42"/>
      <c r="D806" s="39"/>
      <c r="E806" s="40"/>
      <c r="F806" s="30"/>
      <c r="G806" s="25"/>
      <c r="H806" s="81"/>
      <c r="I806" s="43"/>
      <c r="J806" s="29"/>
      <c r="K806" s="24"/>
      <c r="L806" s="24"/>
      <c r="N806" s="48"/>
      <c r="O806" s="46"/>
      <c r="P806" s="46"/>
    </row>
    <row r="807" spans="2:16" ht="15.75" x14ac:dyDescent="0.25">
      <c r="B807" s="41"/>
      <c r="C807" s="42"/>
      <c r="D807" s="39"/>
      <c r="E807" s="40"/>
      <c r="F807" s="30"/>
      <c r="G807" s="25"/>
      <c r="H807" s="81"/>
      <c r="I807" s="43"/>
      <c r="J807" s="29"/>
      <c r="K807" s="24"/>
      <c r="L807" s="24"/>
      <c r="N807" s="48"/>
      <c r="O807" s="46"/>
      <c r="P807" s="46"/>
    </row>
    <row r="808" spans="2:16" ht="15.75" x14ac:dyDescent="0.25">
      <c r="B808" s="41"/>
      <c r="C808" s="42"/>
      <c r="D808" s="39"/>
      <c r="E808" s="40"/>
      <c r="F808" s="30"/>
      <c r="G808" s="25"/>
      <c r="H808" s="81"/>
      <c r="I808" s="43"/>
      <c r="J808" s="29"/>
      <c r="K808" s="24"/>
      <c r="L808" s="24"/>
      <c r="N808" s="48"/>
      <c r="O808" s="46"/>
      <c r="P808" s="46"/>
    </row>
    <row r="809" spans="2:16" ht="15.75" x14ac:dyDescent="0.25">
      <c r="B809" s="41"/>
      <c r="C809" s="42"/>
      <c r="D809" s="39"/>
      <c r="E809" s="40"/>
      <c r="F809" s="30"/>
      <c r="G809" s="25"/>
      <c r="H809" s="81"/>
      <c r="I809" s="43"/>
      <c r="J809" s="29"/>
      <c r="K809" s="24"/>
      <c r="L809" s="24"/>
      <c r="N809" s="48"/>
      <c r="O809" s="46"/>
      <c r="P809" s="46"/>
    </row>
    <row r="810" spans="2:16" ht="15.75" x14ac:dyDescent="0.25">
      <c r="B810" s="41"/>
      <c r="C810" s="42"/>
      <c r="D810" s="39"/>
      <c r="E810" s="40"/>
      <c r="F810" s="30"/>
      <c r="G810" s="25"/>
      <c r="H810" s="81"/>
      <c r="I810" s="43"/>
      <c r="J810" s="29"/>
      <c r="K810" s="24"/>
      <c r="L810" s="24"/>
      <c r="N810" s="48"/>
      <c r="O810" s="46"/>
      <c r="P810" s="46"/>
    </row>
    <row r="811" spans="2:16" ht="15.75" x14ac:dyDescent="0.25">
      <c r="B811" s="41"/>
      <c r="C811" s="42"/>
      <c r="D811" s="39"/>
      <c r="E811" s="40"/>
      <c r="F811" s="30"/>
      <c r="G811" s="25"/>
      <c r="H811" s="81"/>
      <c r="I811" s="43"/>
      <c r="J811" s="29"/>
      <c r="K811" s="24"/>
      <c r="L811" s="24"/>
      <c r="N811" s="48"/>
      <c r="O811" s="46"/>
      <c r="P811" s="46"/>
    </row>
    <row r="812" spans="2:16" ht="15.75" x14ac:dyDescent="0.25">
      <c r="B812" s="41"/>
      <c r="C812" s="42"/>
      <c r="D812" s="39"/>
      <c r="E812" s="40"/>
      <c r="F812" s="30"/>
      <c r="G812" s="25"/>
      <c r="H812" s="81"/>
      <c r="I812" s="43"/>
      <c r="J812" s="29"/>
      <c r="K812" s="24"/>
      <c r="L812" s="24"/>
      <c r="N812" s="48"/>
      <c r="O812" s="46"/>
      <c r="P812" s="46"/>
    </row>
    <row r="813" spans="2:16" ht="15.75" x14ac:dyDescent="0.25">
      <c r="B813" s="41"/>
      <c r="C813" s="42"/>
      <c r="D813" s="39"/>
      <c r="E813" s="40"/>
      <c r="F813" s="30"/>
      <c r="G813" s="25"/>
      <c r="H813" s="81"/>
      <c r="I813" s="43"/>
      <c r="J813" s="29"/>
      <c r="K813" s="24"/>
      <c r="L813" s="24"/>
      <c r="N813" s="48"/>
      <c r="O813" s="46"/>
      <c r="P813" s="46"/>
    </row>
    <row r="814" spans="2:16" ht="15.75" x14ac:dyDescent="0.25">
      <c r="B814" s="41"/>
      <c r="C814" s="42"/>
      <c r="D814" s="39"/>
      <c r="E814" s="40"/>
      <c r="F814" s="30"/>
      <c r="G814" s="25"/>
      <c r="H814" s="81"/>
      <c r="I814" s="43"/>
      <c r="J814" s="29"/>
      <c r="K814" s="24"/>
      <c r="L814" s="24"/>
      <c r="N814" s="48"/>
      <c r="O814" s="46"/>
      <c r="P814" s="46"/>
    </row>
    <row r="815" spans="2:16" ht="15.75" x14ac:dyDescent="0.25">
      <c r="B815" s="41"/>
      <c r="C815" s="42"/>
      <c r="D815" s="39"/>
      <c r="E815" s="40"/>
      <c r="F815" s="30"/>
      <c r="G815" s="25"/>
      <c r="H815" s="81"/>
      <c r="I815" s="43"/>
      <c r="J815" s="29"/>
      <c r="K815" s="24"/>
      <c r="L815" s="24"/>
      <c r="N815" s="48"/>
      <c r="O815" s="46"/>
      <c r="P815" s="46"/>
    </row>
    <row r="816" spans="2:16" ht="15.75" x14ac:dyDescent="0.25">
      <c r="B816" s="41"/>
      <c r="C816" s="42"/>
      <c r="D816" s="39"/>
      <c r="E816" s="40"/>
      <c r="F816" s="30"/>
      <c r="G816" s="25"/>
      <c r="H816" s="81"/>
      <c r="I816" s="43"/>
      <c r="J816" s="29"/>
      <c r="K816" s="24"/>
      <c r="L816" s="24"/>
      <c r="N816" s="48"/>
      <c r="O816" s="46"/>
      <c r="P816" s="46"/>
    </row>
    <row r="817" spans="2:16" ht="15.75" x14ac:dyDescent="0.25">
      <c r="B817" s="41"/>
      <c r="C817" s="42"/>
      <c r="D817" s="39"/>
      <c r="E817" s="40"/>
      <c r="F817" s="30"/>
      <c r="G817" s="25"/>
      <c r="H817" s="81"/>
      <c r="I817" s="43"/>
      <c r="J817" s="29"/>
      <c r="K817" s="24"/>
      <c r="L817" s="24"/>
      <c r="N817" s="48"/>
      <c r="O817" s="46"/>
      <c r="P817" s="46"/>
    </row>
    <row r="818" spans="2:16" ht="15.75" x14ac:dyDescent="0.25">
      <c r="B818" s="41"/>
      <c r="C818" s="42"/>
      <c r="D818" s="39"/>
      <c r="E818" s="40"/>
      <c r="F818" s="30"/>
      <c r="G818" s="25"/>
      <c r="H818" s="81"/>
      <c r="I818" s="43"/>
      <c r="J818" s="29"/>
      <c r="K818" s="24"/>
      <c r="L818" s="24"/>
      <c r="N818" s="48"/>
      <c r="O818" s="46"/>
      <c r="P818" s="46"/>
    </row>
    <row r="819" spans="2:16" ht="15.75" x14ac:dyDescent="0.25">
      <c r="B819" s="41"/>
      <c r="C819" s="42"/>
      <c r="D819" s="39"/>
      <c r="E819" s="40"/>
      <c r="F819" s="30"/>
      <c r="G819" s="25"/>
      <c r="H819" s="81"/>
      <c r="I819" s="43"/>
      <c r="J819" s="29"/>
      <c r="K819" s="24"/>
      <c r="L819" s="24"/>
      <c r="N819" s="48"/>
      <c r="O819" s="46"/>
      <c r="P819" s="46"/>
    </row>
    <row r="820" spans="2:16" ht="15.75" x14ac:dyDescent="0.25">
      <c r="B820" s="41"/>
      <c r="C820" s="42"/>
      <c r="D820" s="39"/>
      <c r="E820" s="40"/>
      <c r="F820" s="30"/>
      <c r="G820" s="25"/>
      <c r="H820" s="81"/>
      <c r="I820" s="43"/>
      <c r="J820" s="29"/>
      <c r="K820" s="24"/>
      <c r="L820" s="24"/>
      <c r="N820" s="48"/>
      <c r="O820" s="46"/>
      <c r="P820" s="46"/>
    </row>
    <row r="821" spans="2:16" ht="15.75" x14ac:dyDescent="0.25">
      <c r="B821" s="41"/>
      <c r="C821" s="42"/>
      <c r="D821" s="39"/>
      <c r="E821" s="40"/>
      <c r="F821" s="30"/>
      <c r="G821" s="25"/>
      <c r="H821" s="81"/>
      <c r="I821" s="43"/>
      <c r="J821" s="29"/>
      <c r="K821" s="24"/>
      <c r="L821" s="24"/>
      <c r="N821" s="48"/>
      <c r="O821" s="46"/>
      <c r="P821" s="46"/>
    </row>
    <row r="822" spans="2:16" ht="15.75" x14ac:dyDescent="0.25">
      <c r="B822" s="41"/>
      <c r="C822" s="42"/>
      <c r="D822" s="39"/>
      <c r="E822" s="40"/>
      <c r="F822" s="30"/>
      <c r="G822" s="25"/>
      <c r="H822" s="81"/>
      <c r="I822" s="43"/>
      <c r="J822" s="29"/>
      <c r="K822" s="24"/>
      <c r="L822" s="24"/>
      <c r="N822" s="48"/>
      <c r="O822" s="46"/>
      <c r="P822" s="46"/>
    </row>
    <row r="823" spans="2:16" ht="15.75" x14ac:dyDescent="0.25">
      <c r="B823" s="41"/>
      <c r="C823" s="42"/>
      <c r="D823" s="39"/>
      <c r="E823" s="40"/>
      <c r="F823" s="30"/>
      <c r="G823" s="25"/>
      <c r="H823" s="81"/>
      <c r="I823" s="43"/>
      <c r="J823" s="29"/>
      <c r="K823" s="24"/>
      <c r="L823" s="24"/>
      <c r="N823" s="48"/>
      <c r="O823" s="46"/>
      <c r="P823" s="46"/>
    </row>
    <row r="824" spans="2:16" ht="15.75" x14ac:dyDescent="0.25">
      <c r="B824" s="41"/>
      <c r="C824" s="42"/>
      <c r="D824" s="39"/>
      <c r="E824" s="40"/>
      <c r="F824" s="30"/>
      <c r="G824" s="25"/>
      <c r="H824" s="81"/>
      <c r="I824" s="43"/>
      <c r="J824" s="29"/>
      <c r="K824" s="24"/>
      <c r="L824" s="24"/>
      <c r="N824" s="48"/>
      <c r="O824" s="46"/>
      <c r="P824" s="46"/>
    </row>
    <row r="825" spans="2:16" ht="15.75" x14ac:dyDescent="0.25">
      <c r="B825" s="41"/>
      <c r="C825" s="42"/>
      <c r="D825" s="39"/>
      <c r="E825" s="40"/>
      <c r="F825" s="30"/>
      <c r="G825" s="25"/>
      <c r="H825" s="81"/>
      <c r="I825" s="43"/>
      <c r="J825" s="29"/>
      <c r="K825" s="24"/>
      <c r="L825" s="24"/>
      <c r="N825" s="48"/>
      <c r="O825" s="46"/>
      <c r="P825" s="46"/>
    </row>
    <row r="826" spans="2:16" ht="15.75" x14ac:dyDescent="0.25">
      <c r="B826" s="41"/>
      <c r="C826" s="42"/>
      <c r="D826" s="39"/>
      <c r="E826" s="40"/>
      <c r="F826" s="30"/>
      <c r="G826" s="25"/>
      <c r="H826" s="81"/>
      <c r="I826" s="43"/>
      <c r="J826" s="29"/>
      <c r="K826" s="24"/>
      <c r="L826" s="24"/>
      <c r="N826" s="48"/>
      <c r="O826" s="46"/>
      <c r="P826" s="46"/>
    </row>
    <row r="827" spans="2:16" ht="15.75" x14ac:dyDescent="0.25">
      <c r="B827" s="41"/>
      <c r="C827" s="42"/>
      <c r="D827" s="39"/>
      <c r="E827" s="40"/>
      <c r="F827" s="30"/>
      <c r="G827" s="25"/>
      <c r="H827" s="81"/>
      <c r="I827" s="43"/>
      <c r="J827" s="29"/>
      <c r="K827" s="24"/>
      <c r="L827" s="24"/>
      <c r="N827" s="48"/>
      <c r="O827" s="46"/>
      <c r="P827" s="46"/>
    </row>
    <row r="828" spans="2:16" ht="15.75" x14ac:dyDescent="0.25">
      <c r="B828" s="41"/>
      <c r="C828" s="42"/>
      <c r="D828" s="39"/>
      <c r="E828" s="40"/>
      <c r="F828" s="30"/>
      <c r="G828" s="25"/>
      <c r="H828" s="81"/>
      <c r="I828" s="43"/>
      <c r="J828" s="29"/>
      <c r="K828" s="24"/>
      <c r="L828" s="24"/>
      <c r="N828" s="48"/>
      <c r="O828" s="46"/>
      <c r="P828" s="46"/>
    </row>
    <row r="829" spans="2:16" ht="15.75" x14ac:dyDescent="0.25">
      <c r="B829" s="41"/>
      <c r="C829" s="42"/>
      <c r="D829" s="39"/>
      <c r="E829" s="40"/>
      <c r="F829" s="30"/>
      <c r="G829" s="25"/>
      <c r="H829" s="81"/>
      <c r="I829" s="43"/>
      <c r="J829" s="29"/>
      <c r="K829" s="24"/>
      <c r="L829" s="24"/>
      <c r="N829" s="48"/>
      <c r="O829" s="46"/>
      <c r="P829" s="46"/>
    </row>
    <row r="830" spans="2:16" ht="15.75" x14ac:dyDescent="0.25">
      <c r="B830" s="41"/>
      <c r="C830" s="42"/>
      <c r="D830" s="39"/>
      <c r="E830" s="40"/>
      <c r="F830" s="30"/>
      <c r="G830" s="25"/>
      <c r="H830" s="81"/>
      <c r="I830" s="43"/>
      <c r="J830" s="29"/>
      <c r="K830" s="24"/>
      <c r="L830" s="24"/>
      <c r="N830" s="48"/>
      <c r="O830" s="46"/>
      <c r="P830" s="46"/>
    </row>
    <row r="831" spans="2:16" ht="15.75" x14ac:dyDescent="0.25">
      <c r="B831" s="41"/>
      <c r="C831" s="42"/>
      <c r="D831" s="39"/>
      <c r="E831" s="40"/>
      <c r="F831" s="30"/>
      <c r="G831" s="25"/>
      <c r="H831" s="81"/>
      <c r="I831" s="43"/>
      <c r="J831" s="29"/>
      <c r="K831" s="24"/>
      <c r="L831" s="24"/>
      <c r="N831" s="48"/>
      <c r="O831" s="46"/>
      <c r="P831" s="46"/>
    </row>
    <row r="832" spans="2:16" ht="15.75" x14ac:dyDescent="0.25">
      <c r="B832" s="41"/>
      <c r="C832" s="42"/>
      <c r="D832" s="39"/>
      <c r="E832" s="40"/>
      <c r="F832" s="30"/>
      <c r="G832" s="25"/>
      <c r="H832" s="81"/>
      <c r="I832" s="43"/>
      <c r="J832" s="29"/>
      <c r="K832" s="24"/>
      <c r="L832" s="24"/>
      <c r="N832" s="48"/>
      <c r="O832" s="46"/>
      <c r="P832" s="46"/>
    </row>
    <row r="833" spans="2:16" ht="15.75" x14ac:dyDescent="0.25">
      <c r="B833" s="41"/>
      <c r="C833" s="42"/>
      <c r="D833" s="39"/>
      <c r="E833" s="40"/>
      <c r="F833" s="30"/>
      <c r="G833" s="25"/>
      <c r="H833" s="81"/>
      <c r="I833" s="43"/>
      <c r="J833" s="29"/>
      <c r="K833" s="24"/>
      <c r="L833" s="24"/>
      <c r="N833" s="48"/>
      <c r="O833" s="46"/>
      <c r="P833" s="46"/>
    </row>
    <row r="834" spans="2:16" ht="15.75" x14ac:dyDescent="0.25">
      <c r="B834" s="41"/>
      <c r="C834" s="42"/>
      <c r="D834" s="39"/>
      <c r="E834" s="40"/>
      <c r="F834" s="30"/>
      <c r="G834" s="25"/>
      <c r="H834" s="81"/>
      <c r="I834" s="43"/>
      <c r="J834" s="29"/>
      <c r="K834" s="24"/>
      <c r="L834" s="24"/>
      <c r="N834" s="48"/>
      <c r="O834" s="46"/>
      <c r="P834" s="46"/>
    </row>
    <row r="835" spans="2:16" ht="15.75" x14ac:dyDescent="0.25">
      <c r="B835" s="41"/>
      <c r="C835" s="42"/>
      <c r="D835" s="39"/>
      <c r="E835" s="40"/>
      <c r="F835" s="30"/>
      <c r="G835" s="25"/>
      <c r="H835" s="81"/>
      <c r="I835" s="43"/>
      <c r="J835" s="29"/>
      <c r="K835" s="24"/>
      <c r="L835" s="24"/>
      <c r="N835" s="48"/>
      <c r="O835" s="46"/>
      <c r="P835" s="46"/>
    </row>
    <row r="836" spans="2:16" ht="15.75" x14ac:dyDescent="0.25">
      <c r="B836" s="41"/>
      <c r="C836" s="42"/>
      <c r="D836" s="39"/>
      <c r="E836" s="40"/>
      <c r="F836" s="30"/>
      <c r="G836" s="25"/>
      <c r="H836" s="81"/>
      <c r="I836" s="43"/>
      <c r="J836" s="29"/>
      <c r="K836" s="24"/>
      <c r="L836" s="24"/>
      <c r="N836" s="48"/>
      <c r="O836" s="46"/>
      <c r="P836" s="46"/>
    </row>
    <row r="837" spans="2:16" ht="15.75" x14ac:dyDescent="0.25">
      <c r="B837" s="41"/>
      <c r="C837" s="42"/>
      <c r="D837" s="39"/>
      <c r="E837" s="40"/>
      <c r="F837" s="30"/>
      <c r="G837" s="25"/>
      <c r="H837" s="81"/>
      <c r="I837" s="43"/>
      <c r="J837" s="29"/>
      <c r="K837" s="24"/>
      <c r="L837" s="24"/>
      <c r="N837" s="48"/>
      <c r="O837" s="46"/>
      <c r="P837" s="46"/>
    </row>
    <row r="838" spans="2:16" ht="15.75" x14ac:dyDescent="0.25">
      <c r="B838" s="41"/>
      <c r="C838" s="42"/>
      <c r="D838" s="39"/>
      <c r="E838" s="40"/>
      <c r="F838" s="30"/>
      <c r="G838" s="25"/>
      <c r="H838" s="81"/>
      <c r="I838" s="43"/>
      <c r="J838" s="29"/>
      <c r="K838" s="24"/>
      <c r="L838" s="24"/>
      <c r="N838" s="48"/>
      <c r="O838" s="46"/>
      <c r="P838" s="46"/>
    </row>
    <row r="839" spans="2:16" ht="15.75" x14ac:dyDescent="0.25">
      <c r="B839" s="41"/>
      <c r="C839" s="42"/>
      <c r="D839" s="39"/>
      <c r="E839" s="40"/>
      <c r="F839" s="30"/>
      <c r="G839" s="25"/>
      <c r="H839" s="81"/>
      <c r="I839" s="43"/>
      <c r="J839" s="29"/>
      <c r="K839" s="24"/>
      <c r="L839" s="24"/>
      <c r="N839" s="48"/>
      <c r="O839" s="46"/>
      <c r="P839" s="46"/>
    </row>
    <row r="840" spans="2:16" ht="15.75" x14ac:dyDescent="0.25">
      <c r="B840" s="41"/>
      <c r="C840" s="42"/>
      <c r="D840" s="39"/>
      <c r="E840" s="40"/>
      <c r="F840" s="30"/>
      <c r="G840" s="25"/>
      <c r="H840" s="81"/>
      <c r="I840" s="43"/>
      <c r="J840" s="29"/>
      <c r="K840" s="24"/>
      <c r="L840" s="24"/>
      <c r="N840" s="48"/>
      <c r="O840" s="46"/>
      <c r="P840" s="46"/>
    </row>
    <row r="841" spans="2:16" ht="15.75" x14ac:dyDescent="0.25">
      <c r="B841" s="41"/>
      <c r="C841" s="42"/>
      <c r="D841" s="39"/>
      <c r="E841" s="40"/>
      <c r="F841" s="30"/>
      <c r="G841" s="25"/>
      <c r="H841" s="81"/>
      <c r="I841" s="43"/>
      <c r="J841" s="29"/>
      <c r="K841" s="24"/>
      <c r="L841" s="24"/>
      <c r="N841" s="48"/>
      <c r="O841" s="46"/>
      <c r="P841" s="46"/>
    </row>
    <row r="842" spans="2:16" ht="15.75" x14ac:dyDescent="0.25">
      <c r="B842" s="41"/>
      <c r="C842" s="42"/>
      <c r="D842" s="39"/>
      <c r="E842" s="40"/>
      <c r="F842" s="30"/>
      <c r="G842" s="25"/>
      <c r="H842" s="81"/>
      <c r="I842" s="43"/>
      <c r="J842" s="29"/>
      <c r="K842" s="24"/>
      <c r="L842" s="24"/>
      <c r="N842" s="48"/>
      <c r="O842" s="46"/>
      <c r="P842" s="46"/>
    </row>
    <row r="843" spans="2:16" ht="15.75" x14ac:dyDescent="0.25">
      <c r="B843" s="41"/>
      <c r="C843" s="42"/>
      <c r="D843" s="39"/>
      <c r="E843" s="40"/>
      <c r="F843" s="30"/>
      <c r="G843" s="25"/>
      <c r="H843" s="81"/>
      <c r="I843" s="43"/>
      <c r="J843" s="29"/>
      <c r="K843" s="24"/>
      <c r="L843" s="24"/>
      <c r="N843" s="48"/>
      <c r="O843" s="46"/>
      <c r="P843" s="46"/>
    </row>
    <row r="844" spans="2:16" ht="15.75" x14ac:dyDescent="0.25">
      <c r="B844" s="41"/>
      <c r="C844" s="42"/>
      <c r="D844" s="39"/>
      <c r="E844" s="40"/>
      <c r="F844" s="30"/>
      <c r="G844" s="25"/>
      <c r="H844" s="81"/>
      <c r="I844" s="43"/>
      <c r="J844" s="29"/>
      <c r="K844" s="24"/>
      <c r="L844" s="24"/>
      <c r="N844" s="48"/>
      <c r="O844" s="46"/>
      <c r="P844" s="46"/>
    </row>
    <row r="845" spans="2:16" ht="15.75" x14ac:dyDescent="0.25">
      <c r="B845" s="41"/>
      <c r="C845" s="42"/>
      <c r="D845" s="39"/>
      <c r="E845" s="40"/>
      <c r="F845" s="30"/>
      <c r="G845" s="25"/>
      <c r="H845" s="81"/>
      <c r="I845" s="43"/>
      <c r="J845" s="29"/>
      <c r="K845" s="24"/>
      <c r="L845" s="24"/>
      <c r="N845" s="48"/>
      <c r="O845" s="46"/>
      <c r="P845" s="46"/>
    </row>
    <row r="846" spans="2:16" ht="15.75" x14ac:dyDescent="0.25">
      <c r="B846" s="41"/>
      <c r="C846" s="42"/>
      <c r="D846" s="39"/>
      <c r="E846" s="40"/>
      <c r="F846" s="30"/>
      <c r="G846" s="25"/>
      <c r="H846" s="81"/>
      <c r="I846" s="43"/>
      <c r="J846" s="29"/>
      <c r="K846" s="24"/>
      <c r="L846" s="24"/>
      <c r="N846" s="48"/>
      <c r="O846" s="46"/>
      <c r="P846" s="46"/>
    </row>
    <row r="847" spans="2:16" ht="15.75" x14ac:dyDescent="0.25">
      <c r="B847" s="41"/>
      <c r="C847" s="42"/>
      <c r="D847" s="39"/>
      <c r="E847" s="40"/>
      <c r="F847" s="30"/>
      <c r="G847" s="25"/>
      <c r="H847" s="81"/>
      <c r="I847" s="43"/>
      <c r="J847" s="29"/>
      <c r="K847" s="24"/>
      <c r="L847" s="24"/>
      <c r="N847" s="48"/>
      <c r="O847" s="46"/>
      <c r="P847" s="46"/>
    </row>
    <row r="848" spans="2:16" ht="15.75" x14ac:dyDescent="0.25">
      <c r="B848" s="41"/>
      <c r="C848" s="42"/>
      <c r="D848" s="39"/>
      <c r="E848" s="40"/>
      <c r="F848" s="30"/>
      <c r="G848" s="25"/>
      <c r="H848" s="81"/>
      <c r="I848" s="43"/>
      <c r="J848" s="29"/>
      <c r="K848" s="24"/>
      <c r="L848" s="24"/>
      <c r="N848" s="48"/>
      <c r="O848" s="46"/>
      <c r="P848" s="46"/>
    </row>
    <row r="849" spans="2:16" ht="15.75" x14ac:dyDescent="0.25">
      <c r="B849" s="41"/>
      <c r="C849" s="42"/>
      <c r="D849" s="39"/>
      <c r="E849" s="40"/>
      <c r="F849" s="30"/>
      <c r="G849" s="25"/>
      <c r="H849" s="81"/>
      <c r="I849" s="43"/>
      <c r="J849" s="29"/>
      <c r="K849" s="24"/>
      <c r="L849" s="24"/>
      <c r="N849" s="48"/>
      <c r="O849" s="46"/>
      <c r="P849" s="46"/>
    </row>
    <row r="850" spans="2:16" ht="15.75" x14ac:dyDescent="0.25">
      <c r="B850" s="41"/>
      <c r="C850" s="42"/>
      <c r="D850" s="39"/>
      <c r="E850" s="40"/>
      <c r="F850" s="30"/>
      <c r="G850" s="25"/>
      <c r="H850" s="81"/>
      <c r="I850" s="43"/>
      <c r="J850" s="29"/>
      <c r="K850" s="24"/>
      <c r="L850" s="24"/>
      <c r="N850" s="48"/>
      <c r="O850" s="46"/>
      <c r="P850" s="46"/>
    </row>
    <row r="851" spans="2:16" ht="15.75" x14ac:dyDescent="0.25">
      <c r="B851" s="41"/>
      <c r="C851" s="42"/>
      <c r="D851" s="39"/>
      <c r="E851" s="40"/>
      <c r="F851" s="30"/>
      <c r="G851" s="25"/>
      <c r="H851" s="81"/>
      <c r="I851" s="43"/>
      <c r="J851" s="29"/>
      <c r="K851" s="24"/>
      <c r="L851" s="24"/>
      <c r="N851" s="48"/>
      <c r="O851" s="46"/>
      <c r="P851" s="46"/>
    </row>
    <row r="852" spans="2:16" ht="15.75" x14ac:dyDescent="0.25">
      <c r="B852" s="41"/>
      <c r="C852" s="42"/>
      <c r="D852" s="39"/>
      <c r="E852" s="40"/>
      <c r="F852" s="30"/>
      <c r="G852" s="25"/>
      <c r="H852" s="81"/>
      <c r="I852" s="43"/>
      <c r="J852" s="29"/>
      <c r="K852" s="24"/>
      <c r="L852" s="24"/>
      <c r="N852" s="48"/>
      <c r="O852" s="46"/>
      <c r="P852" s="46"/>
    </row>
    <row r="853" spans="2:16" ht="15.75" x14ac:dyDescent="0.25">
      <c r="B853" s="41"/>
      <c r="C853" s="42"/>
      <c r="D853" s="39"/>
      <c r="E853" s="40"/>
      <c r="F853" s="30"/>
      <c r="G853" s="25"/>
      <c r="H853" s="81"/>
      <c r="I853" s="43"/>
      <c r="J853" s="29"/>
      <c r="K853" s="24"/>
      <c r="L853" s="24"/>
      <c r="N853" s="48"/>
      <c r="O853" s="46"/>
      <c r="P853" s="46"/>
    </row>
    <row r="854" spans="2:16" ht="15.75" x14ac:dyDescent="0.25">
      <c r="B854" s="41"/>
      <c r="C854" s="42"/>
      <c r="D854" s="39"/>
      <c r="E854" s="40"/>
      <c r="F854" s="30"/>
      <c r="G854" s="25"/>
      <c r="H854" s="81"/>
      <c r="I854" s="43"/>
      <c r="J854" s="29"/>
      <c r="K854" s="24"/>
      <c r="L854" s="24"/>
      <c r="N854" s="48"/>
      <c r="O854" s="46"/>
      <c r="P854" s="46"/>
    </row>
    <row r="855" spans="2:16" ht="15.75" x14ac:dyDescent="0.25">
      <c r="B855" s="41"/>
      <c r="C855" s="42"/>
      <c r="D855" s="39"/>
      <c r="E855" s="40"/>
      <c r="F855" s="30"/>
      <c r="G855" s="25"/>
      <c r="H855" s="81"/>
      <c r="I855" s="43"/>
      <c r="J855" s="29"/>
      <c r="K855" s="24"/>
      <c r="L855" s="24"/>
      <c r="N855" s="48"/>
      <c r="O855" s="46"/>
      <c r="P855" s="46"/>
    </row>
    <row r="856" spans="2:16" ht="15.75" x14ac:dyDescent="0.25">
      <c r="B856" s="41"/>
      <c r="C856" s="42"/>
      <c r="D856" s="39"/>
      <c r="E856" s="40"/>
      <c r="F856" s="30"/>
      <c r="G856" s="25"/>
      <c r="H856" s="81"/>
      <c r="I856" s="43"/>
      <c r="J856" s="29"/>
      <c r="K856" s="24"/>
      <c r="L856" s="24"/>
      <c r="N856" s="48"/>
      <c r="O856" s="46"/>
      <c r="P856" s="46"/>
    </row>
    <row r="857" spans="2:16" ht="15.75" x14ac:dyDescent="0.25">
      <c r="B857" s="41"/>
      <c r="C857" s="42"/>
      <c r="D857" s="39"/>
      <c r="E857" s="40"/>
      <c r="F857" s="30"/>
      <c r="G857" s="25"/>
      <c r="H857" s="81"/>
      <c r="I857" s="43"/>
      <c r="J857" s="29"/>
      <c r="K857" s="24"/>
      <c r="L857" s="24"/>
      <c r="N857" s="48"/>
      <c r="O857" s="46"/>
      <c r="P857" s="46"/>
    </row>
    <row r="858" spans="2:16" ht="15.75" x14ac:dyDescent="0.25">
      <c r="B858" s="41"/>
      <c r="C858" s="42"/>
      <c r="D858" s="39"/>
      <c r="E858" s="40"/>
      <c r="F858" s="30"/>
      <c r="G858" s="25"/>
      <c r="H858" s="81"/>
      <c r="I858" s="43"/>
      <c r="J858" s="29"/>
      <c r="K858" s="24"/>
      <c r="L858" s="24"/>
      <c r="N858" s="48"/>
      <c r="O858" s="46"/>
      <c r="P858" s="46"/>
    </row>
    <row r="859" spans="2:16" ht="15.75" x14ac:dyDescent="0.25">
      <c r="B859" s="41"/>
      <c r="C859" s="42"/>
      <c r="D859" s="39"/>
      <c r="E859" s="40"/>
      <c r="F859" s="30"/>
      <c r="G859" s="25"/>
      <c r="H859" s="81"/>
      <c r="I859" s="43"/>
      <c r="J859" s="29"/>
      <c r="K859" s="24"/>
      <c r="L859" s="24"/>
      <c r="N859" s="48"/>
      <c r="O859" s="46"/>
      <c r="P859" s="46"/>
    </row>
    <row r="860" spans="2:16" ht="15.75" x14ac:dyDescent="0.25">
      <c r="B860" s="41"/>
      <c r="C860" s="42"/>
      <c r="D860" s="39"/>
      <c r="E860" s="40"/>
      <c r="F860" s="30"/>
      <c r="G860" s="25"/>
      <c r="H860" s="81"/>
      <c r="I860" s="43"/>
      <c r="J860" s="29"/>
      <c r="K860" s="24"/>
      <c r="L860" s="24"/>
      <c r="N860" s="48"/>
      <c r="O860" s="46"/>
      <c r="P860" s="46"/>
    </row>
    <row r="861" spans="2:16" ht="15.75" x14ac:dyDescent="0.25">
      <c r="B861" s="41"/>
      <c r="C861" s="42"/>
      <c r="D861" s="39"/>
      <c r="E861" s="40"/>
      <c r="F861" s="30"/>
      <c r="G861" s="25"/>
      <c r="H861" s="81"/>
      <c r="I861" s="43"/>
      <c r="J861" s="29"/>
      <c r="K861" s="24"/>
      <c r="L861" s="24"/>
      <c r="N861" s="48"/>
      <c r="O861" s="46"/>
      <c r="P861" s="46"/>
    </row>
    <row r="862" spans="2:16" ht="15.75" x14ac:dyDescent="0.25">
      <c r="B862" s="41"/>
      <c r="C862" s="42"/>
      <c r="D862" s="39"/>
      <c r="E862" s="40"/>
      <c r="F862" s="30"/>
      <c r="G862" s="25"/>
      <c r="H862" s="81"/>
      <c r="I862" s="43"/>
      <c r="J862" s="29"/>
      <c r="K862" s="24"/>
      <c r="L862" s="24"/>
      <c r="N862" s="48"/>
      <c r="O862" s="46"/>
      <c r="P862" s="46"/>
    </row>
    <row r="863" spans="2:16" ht="15.75" x14ac:dyDescent="0.25">
      <c r="B863" s="41"/>
      <c r="C863" s="42"/>
      <c r="D863" s="39"/>
      <c r="E863" s="40"/>
      <c r="F863" s="30"/>
      <c r="G863" s="25"/>
      <c r="H863" s="81"/>
      <c r="I863" s="43"/>
      <c r="J863" s="29"/>
      <c r="K863" s="24"/>
      <c r="L863" s="24"/>
      <c r="N863" s="48"/>
      <c r="O863" s="46"/>
      <c r="P863" s="46"/>
    </row>
    <row r="864" spans="2:16" ht="15.75" x14ac:dyDescent="0.25">
      <c r="B864" s="41"/>
      <c r="C864" s="42"/>
      <c r="D864" s="39"/>
      <c r="E864" s="40"/>
      <c r="F864" s="30"/>
      <c r="G864" s="25"/>
      <c r="H864" s="81"/>
      <c r="I864" s="43"/>
      <c r="J864" s="29"/>
      <c r="K864" s="24"/>
      <c r="L864" s="24"/>
      <c r="N864" s="48"/>
      <c r="O864" s="46"/>
      <c r="P864" s="46"/>
    </row>
    <row r="865" spans="2:16" ht="15.75" x14ac:dyDescent="0.25">
      <c r="B865" s="41"/>
      <c r="C865" s="42"/>
      <c r="D865" s="39"/>
      <c r="E865" s="40"/>
      <c r="F865" s="30"/>
      <c r="G865" s="25"/>
      <c r="H865" s="81"/>
      <c r="I865" s="43"/>
      <c r="J865" s="29"/>
      <c r="K865" s="24"/>
      <c r="L865" s="24"/>
      <c r="N865" s="48"/>
      <c r="O865" s="46"/>
      <c r="P865" s="46"/>
    </row>
    <row r="866" spans="2:16" ht="15.75" x14ac:dyDescent="0.25">
      <c r="B866" s="41"/>
      <c r="C866" s="42"/>
      <c r="D866" s="39"/>
      <c r="E866" s="40"/>
      <c r="F866" s="30"/>
      <c r="G866" s="25"/>
      <c r="H866" s="81"/>
      <c r="I866" s="43"/>
      <c r="J866" s="29"/>
      <c r="K866" s="24"/>
      <c r="L866" s="24"/>
      <c r="N866" s="48"/>
      <c r="O866" s="46"/>
      <c r="P866" s="46"/>
    </row>
    <row r="867" spans="2:16" ht="15.75" x14ac:dyDescent="0.25">
      <c r="B867" s="41"/>
      <c r="C867" s="42"/>
      <c r="D867" s="39"/>
      <c r="E867" s="40"/>
      <c r="F867" s="30"/>
      <c r="G867" s="25"/>
      <c r="H867" s="81"/>
      <c r="I867" s="43"/>
      <c r="J867" s="29"/>
      <c r="K867" s="24"/>
      <c r="L867" s="24"/>
      <c r="N867" s="48"/>
      <c r="O867" s="46"/>
      <c r="P867" s="46"/>
    </row>
    <row r="868" spans="2:16" ht="15.75" x14ac:dyDescent="0.25">
      <c r="B868" s="41"/>
      <c r="C868" s="42"/>
      <c r="D868" s="39"/>
      <c r="E868" s="40"/>
      <c r="F868" s="30"/>
      <c r="G868" s="25"/>
      <c r="H868" s="81"/>
      <c r="I868" s="43"/>
      <c r="J868" s="29"/>
      <c r="K868" s="24"/>
      <c r="L868" s="24"/>
      <c r="N868" s="48"/>
      <c r="O868" s="46"/>
      <c r="P868" s="46"/>
    </row>
    <row r="869" spans="2:16" ht="15.75" x14ac:dyDescent="0.25">
      <c r="B869" s="41"/>
      <c r="C869" s="42"/>
      <c r="D869" s="39"/>
      <c r="E869" s="40"/>
      <c r="F869" s="30"/>
      <c r="G869" s="25"/>
      <c r="H869" s="81"/>
      <c r="I869" s="43"/>
      <c r="J869" s="29"/>
      <c r="K869" s="24"/>
      <c r="L869" s="24"/>
      <c r="N869" s="48"/>
      <c r="O869" s="46"/>
      <c r="P869" s="46"/>
    </row>
    <row r="870" spans="2:16" ht="15.75" x14ac:dyDescent="0.25">
      <c r="B870" s="41"/>
      <c r="C870" s="42"/>
      <c r="D870" s="39"/>
      <c r="E870" s="40"/>
      <c r="F870" s="30"/>
      <c r="G870" s="25"/>
      <c r="H870" s="81"/>
      <c r="I870" s="43"/>
      <c r="J870" s="29"/>
      <c r="K870" s="24"/>
      <c r="L870" s="24"/>
      <c r="N870" s="48"/>
      <c r="O870" s="46"/>
      <c r="P870" s="46"/>
    </row>
    <row r="871" spans="2:16" ht="15.75" x14ac:dyDescent="0.25">
      <c r="B871" s="41"/>
      <c r="C871" s="42"/>
      <c r="D871" s="39"/>
      <c r="E871" s="40"/>
      <c r="F871" s="30"/>
      <c r="G871" s="25"/>
      <c r="H871" s="81"/>
      <c r="I871" s="43"/>
      <c r="J871" s="29"/>
      <c r="K871" s="24"/>
      <c r="L871" s="24"/>
      <c r="N871" s="48"/>
      <c r="O871" s="46"/>
      <c r="P871" s="46"/>
    </row>
    <row r="872" spans="2:16" ht="15.75" x14ac:dyDescent="0.25">
      <c r="B872" s="41"/>
      <c r="C872" s="42"/>
      <c r="D872" s="39"/>
      <c r="E872" s="40"/>
      <c r="F872" s="30"/>
      <c r="G872" s="25"/>
      <c r="H872" s="81"/>
      <c r="I872" s="43"/>
      <c r="J872" s="29"/>
      <c r="K872" s="24"/>
      <c r="L872" s="24"/>
      <c r="N872" s="48"/>
      <c r="O872" s="46"/>
      <c r="P872" s="46"/>
    </row>
    <row r="873" spans="2:16" ht="15.75" x14ac:dyDescent="0.25">
      <c r="B873" s="41"/>
      <c r="C873" s="42"/>
      <c r="D873" s="39"/>
      <c r="E873" s="40"/>
      <c r="F873" s="30"/>
      <c r="G873" s="25"/>
      <c r="H873" s="81"/>
      <c r="I873" s="43"/>
      <c r="J873" s="29"/>
      <c r="K873" s="24"/>
      <c r="L873" s="24"/>
      <c r="N873" s="48"/>
      <c r="O873" s="46"/>
      <c r="P873" s="46"/>
    </row>
    <row r="874" spans="2:16" ht="15.75" x14ac:dyDescent="0.25">
      <c r="B874" s="41"/>
      <c r="C874" s="42"/>
      <c r="D874" s="39"/>
      <c r="E874" s="40"/>
      <c r="F874" s="30"/>
      <c r="G874" s="25"/>
      <c r="H874" s="81"/>
      <c r="I874" s="43"/>
      <c r="J874" s="29"/>
      <c r="K874" s="24"/>
      <c r="L874" s="24"/>
      <c r="N874" s="48"/>
      <c r="O874" s="46"/>
      <c r="P874" s="46"/>
    </row>
    <row r="875" spans="2:16" ht="15.75" x14ac:dyDescent="0.25">
      <c r="B875" s="41"/>
      <c r="C875" s="42"/>
      <c r="D875" s="39"/>
      <c r="E875" s="40"/>
      <c r="F875" s="30"/>
      <c r="G875" s="25"/>
      <c r="H875" s="81"/>
      <c r="I875" s="43"/>
      <c r="J875" s="29"/>
      <c r="K875" s="24"/>
      <c r="L875" s="24"/>
      <c r="N875" s="48"/>
      <c r="O875" s="46"/>
      <c r="P875" s="46"/>
    </row>
    <row r="876" spans="2:16" ht="15.75" x14ac:dyDescent="0.25">
      <c r="B876" s="41"/>
      <c r="C876" s="42"/>
      <c r="D876" s="39"/>
      <c r="E876" s="40"/>
      <c r="F876" s="30"/>
      <c r="G876" s="25"/>
      <c r="H876" s="81"/>
      <c r="I876" s="43"/>
      <c r="J876" s="29"/>
      <c r="K876" s="24"/>
      <c r="L876" s="24"/>
      <c r="N876" s="48"/>
      <c r="O876" s="46"/>
      <c r="P876" s="46"/>
    </row>
    <row r="877" spans="2:16" ht="15.75" x14ac:dyDescent="0.25">
      <c r="B877" s="41"/>
      <c r="C877" s="42"/>
      <c r="D877" s="39"/>
      <c r="E877" s="40"/>
      <c r="F877" s="30"/>
      <c r="G877" s="25"/>
      <c r="H877" s="81"/>
      <c r="I877" s="43"/>
      <c r="J877" s="29"/>
      <c r="K877" s="24"/>
      <c r="L877" s="24"/>
      <c r="N877" s="48"/>
      <c r="O877" s="46"/>
      <c r="P877" s="46"/>
    </row>
    <row r="878" spans="2:16" ht="15.75" x14ac:dyDescent="0.25">
      <c r="B878" s="41"/>
      <c r="C878" s="42"/>
      <c r="D878" s="39"/>
      <c r="E878" s="40"/>
      <c r="F878" s="30"/>
      <c r="G878" s="25"/>
      <c r="H878" s="81"/>
      <c r="I878" s="43"/>
      <c r="J878" s="29"/>
      <c r="K878" s="24"/>
      <c r="L878" s="24"/>
      <c r="N878" s="48"/>
      <c r="O878" s="46"/>
      <c r="P878" s="46"/>
    </row>
    <row r="879" spans="2:16" ht="15.75" x14ac:dyDescent="0.25">
      <c r="B879" s="41"/>
      <c r="C879" s="42"/>
      <c r="D879" s="39"/>
      <c r="E879" s="40"/>
      <c r="F879" s="30"/>
      <c r="G879" s="25"/>
      <c r="H879" s="81"/>
      <c r="I879" s="43"/>
      <c r="J879" s="29"/>
      <c r="K879" s="24"/>
      <c r="L879" s="24"/>
      <c r="N879" s="48"/>
      <c r="O879" s="46"/>
      <c r="P879" s="46"/>
    </row>
    <row r="880" spans="2:16" ht="15.75" x14ac:dyDescent="0.25">
      <c r="B880" s="41"/>
      <c r="C880" s="42"/>
      <c r="D880" s="39"/>
      <c r="E880" s="40"/>
      <c r="F880" s="30"/>
      <c r="G880" s="25"/>
      <c r="H880" s="81"/>
      <c r="I880" s="43"/>
      <c r="J880" s="29"/>
      <c r="K880" s="24"/>
      <c r="L880" s="24"/>
      <c r="N880" s="48"/>
      <c r="O880" s="46"/>
      <c r="P880" s="46"/>
    </row>
    <row r="881" spans="2:16" ht="15.75" x14ac:dyDescent="0.25">
      <c r="B881" s="41"/>
      <c r="C881" s="42"/>
      <c r="D881" s="39"/>
      <c r="E881" s="40"/>
      <c r="F881" s="30"/>
      <c r="G881" s="25"/>
      <c r="H881" s="81"/>
      <c r="I881" s="43"/>
      <c r="J881" s="29"/>
      <c r="K881" s="24"/>
      <c r="L881" s="24"/>
      <c r="N881" s="48"/>
      <c r="O881" s="46"/>
      <c r="P881" s="46"/>
    </row>
    <row r="882" spans="2:16" ht="15.75" x14ac:dyDescent="0.25">
      <c r="B882" s="41"/>
      <c r="C882" s="42"/>
      <c r="D882" s="39"/>
      <c r="E882" s="40"/>
      <c r="F882" s="30"/>
      <c r="G882" s="25"/>
      <c r="H882" s="81"/>
      <c r="I882" s="43"/>
      <c r="J882" s="29"/>
      <c r="K882" s="24"/>
      <c r="L882" s="24"/>
      <c r="N882" s="48"/>
      <c r="O882" s="46"/>
      <c r="P882" s="46"/>
    </row>
    <row r="883" spans="2:16" ht="15.75" x14ac:dyDescent="0.25">
      <c r="B883" s="41"/>
      <c r="C883" s="42"/>
      <c r="D883" s="39"/>
      <c r="E883" s="40"/>
      <c r="F883" s="30"/>
      <c r="G883" s="25"/>
      <c r="H883" s="81"/>
      <c r="I883" s="43"/>
      <c r="J883" s="29"/>
      <c r="K883" s="24"/>
      <c r="L883" s="24"/>
      <c r="N883" s="48"/>
      <c r="O883" s="46"/>
      <c r="P883" s="46"/>
    </row>
    <row r="884" spans="2:16" ht="15.75" x14ac:dyDescent="0.25">
      <c r="B884" s="41"/>
      <c r="C884" s="42"/>
      <c r="D884" s="39"/>
      <c r="E884" s="40"/>
      <c r="F884" s="30"/>
      <c r="G884" s="25"/>
      <c r="H884" s="81"/>
      <c r="I884" s="43"/>
      <c r="J884" s="29"/>
      <c r="K884" s="24"/>
      <c r="L884" s="24"/>
      <c r="N884" s="48"/>
      <c r="O884" s="46"/>
      <c r="P884" s="46"/>
    </row>
    <row r="885" spans="2:16" ht="15.75" x14ac:dyDescent="0.25">
      <c r="B885" s="41"/>
      <c r="C885" s="42"/>
      <c r="D885" s="39"/>
      <c r="E885" s="40"/>
      <c r="F885" s="30"/>
      <c r="G885" s="25"/>
      <c r="H885" s="81"/>
      <c r="I885" s="43"/>
      <c r="J885" s="29"/>
      <c r="K885" s="24"/>
      <c r="L885" s="24"/>
      <c r="N885" s="48"/>
      <c r="O885" s="46"/>
      <c r="P885" s="46"/>
    </row>
    <row r="886" spans="2:16" ht="15.75" x14ac:dyDescent="0.25">
      <c r="B886" s="41"/>
      <c r="C886" s="42"/>
      <c r="D886" s="39"/>
      <c r="E886" s="40"/>
      <c r="F886" s="30"/>
      <c r="G886" s="25"/>
      <c r="H886" s="81"/>
      <c r="I886" s="43"/>
      <c r="J886" s="29"/>
      <c r="K886" s="24"/>
      <c r="L886" s="24"/>
      <c r="N886" s="48"/>
      <c r="O886" s="46"/>
      <c r="P886" s="46"/>
    </row>
    <row r="887" spans="2:16" ht="15.75" x14ac:dyDescent="0.25">
      <c r="B887" s="41"/>
      <c r="C887" s="42"/>
      <c r="D887" s="39"/>
      <c r="E887" s="40"/>
      <c r="F887" s="30"/>
      <c r="G887" s="25"/>
      <c r="H887" s="81"/>
      <c r="I887" s="43"/>
      <c r="J887" s="29"/>
      <c r="K887" s="24"/>
      <c r="L887" s="24"/>
      <c r="N887" s="48"/>
      <c r="O887" s="46"/>
      <c r="P887" s="46"/>
    </row>
    <row r="888" spans="2:16" ht="15.75" x14ac:dyDescent="0.25">
      <c r="B888" s="41"/>
      <c r="C888" s="42"/>
      <c r="D888" s="39"/>
      <c r="E888" s="40"/>
      <c r="F888" s="30"/>
      <c r="G888" s="25"/>
      <c r="H888" s="81"/>
      <c r="I888" s="43"/>
      <c r="J888" s="29"/>
      <c r="K888" s="24"/>
      <c r="L888" s="24"/>
      <c r="N888" s="48"/>
      <c r="O888" s="46"/>
      <c r="P888" s="46"/>
    </row>
    <row r="889" spans="2:16" ht="15.75" x14ac:dyDescent="0.25">
      <c r="B889" s="41"/>
      <c r="C889" s="42"/>
      <c r="D889" s="39"/>
      <c r="E889" s="40"/>
      <c r="F889" s="30"/>
      <c r="G889" s="25"/>
      <c r="H889" s="81"/>
      <c r="I889" s="43"/>
      <c r="J889" s="29"/>
      <c r="K889" s="24"/>
      <c r="L889" s="24"/>
      <c r="N889" s="48"/>
      <c r="O889" s="46"/>
      <c r="P889" s="46"/>
    </row>
    <row r="890" spans="2:16" ht="15.75" x14ac:dyDescent="0.25">
      <c r="B890" s="41"/>
      <c r="C890" s="42"/>
      <c r="D890" s="39"/>
      <c r="E890" s="40"/>
      <c r="F890" s="30"/>
      <c r="G890" s="25"/>
      <c r="H890" s="81"/>
      <c r="I890" s="43"/>
      <c r="J890" s="29"/>
      <c r="K890" s="24"/>
      <c r="L890" s="24"/>
      <c r="N890" s="48"/>
      <c r="O890" s="46"/>
      <c r="P890" s="46"/>
    </row>
    <row r="891" spans="2:16" ht="15.75" x14ac:dyDescent="0.25">
      <c r="B891" s="41"/>
      <c r="C891" s="42"/>
      <c r="D891" s="39"/>
      <c r="E891" s="40"/>
      <c r="F891" s="30"/>
      <c r="G891" s="25"/>
      <c r="H891" s="81"/>
      <c r="I891" s="43"/>
      <c r="J891" s="29"/>
      <c r="K891" s="24"/>
      <c r="L891" s="24"/>
      <c r="N891" s="48"/>
      <c r="O891" s="46"/>
      <c r="P891" s="46"/>
    </row>
    <row r="892" spans="2:16" ht="15.75" x14ac:dyDescent="0.25">
      <c r="B892" s="41"/>
      <c r="C892" s="42"/>
      <c r="D892" s="39"/>
      <c r="E892" s="40"/>
      <c r="F892" s="30"/>
      <c r="G892" s="25"/>
      <c r="H892" s="81"/>
      <c r="I892" s="43"/>
      <c r="J892" s="29"/>
      <c r="K892" s="24"/>
      <c r="L892" s="24"/>
      <c r="N892" s="48"/>
      <c r="O892" s="46"/>
      <c r="P892" s="46"/>
    </row>
    <row r="893" spans="2:16" ht="15.75" x14ac:dyDescent="0.25">
      <c r="B893" s="41"/>
      <c r="C893" s="42"/>
      <c r="D893" s="39"/>
      <c r="E893" s="40"/>
      <c r="F893" s="30"/>
      <c r="G893" s="25"/>
      <c r="H893" s="81"/>
      <c r="I893" s="43"/>
      <c r="J893" s="29"/>
      <c r="K893" s="24"/>
      <c r="L893" s="24"/>
      <c r="N893" s="48"/>
      <c r="O893" s="46"/>
      <c r="P893" s="46"/>
    </row>
    <row r="894" spans="2:16" ht="15.75" x14ac:dyDescent="0.25">
      <c r="B894" s="41"/>
      <c r="C894" s="42"/>
      <c r="D894" s="39"/>
      <c r="E894" s="40"/>
      <c r="F894" s="30"/>
      <c r="G894" s="25"/>
      <c r="H894" s="81"/>
      <c r="I894" s="43"/>
      <c r="J894" s="29"/>
      <c r="K894" s="24"/>
      <c r="L894" s="24"/>
      <c r="N894" s="48"/>
      <c r="O894" s="46"/>
      <c r="P894" s="46"/>
    </row>
    <row r="895" spans="2:16" ht="15.75" x14ac:dyDescent="0.25">
      <c r="B895" s="41"/>
      <c r="C895" s="42"/>
      <c r="D895" s="39"/>
      <c r="E895" s="40"/>
      <c r="F895" s="30"/>
      <c r="G895" s="25"/>
      <c r="H895" s="81"/>
      <c r="I895" s="43"/>
      <c r="J895" s="29"/>
      <c r="K895" s="24"/>
      <c r="L895" s="24"/>
      <c r="N895" s="48"/>
      <c r="O895" s="46"/>
      <c r="P895" s="46"/>
    </row>
    <row r="896" spans="2:16" ht="15.75" x14ac:dyDescent="0.25">
      <c r="B896" s="41"/>
      <c r="C896" s="42"/>
      <c r="D896" s="39"/>
      <c r="E896" s="40"/>
      <c r="F896" s="30"/>
      <c r="G896" s="25"/>
      <c r="H896" s="81"/>
      <c r="I896" s="43"/>
      <c r="J896" s="29"/>
      <c r="K896" s="24"/>
      <c r="L896" s="24"/>
      <c r="N896" s="48"/>
      <c r="O896" s="46"/>
      <c r="P896" s="46"/>
    </row>
    <row r="897" spans="2:16" ht="15.75" x14ac:dyDescent="0.25">
      <c r="B897" s="41"/>
      <c r="C897" s="42"/>
      <c r="D897" s="39"/>
      <c r="E897" s="40"/>
      <c r="F897" s="30"/>
      <c r="G897" s="25"/>
      <c r="H897" s="81"/>
      <c r="I897" s="43"/>
      <c r="J897" s="29"/>
      <c r="K897" s="24"/>
      <c r="L897" s="24"/>
      <c r="N897" s="48"/>
      <c r="O897" s="46"/>
      <c r="P897" s="46"/>
    </row>
    <row r="898" spans="2:16" ht="15.75" x14ac:dyDescent="0.25">
      <c r="B898" s="41"/>
      <c r="C898" s="42"/>
      <c r="D898" s="39"/>
      <c r="E898" s="40"/>
      <c r="F898" s="30"/>
      <c r="G898" s="25"/>
      <c r="H898" s="81"/>
      <c r="I898" s="43"/>
      <c r="J898" s="29"/>
      <c r="K898" s="24"/>
      <c r="L898" s="24"/>
      <c r="N898" s="48"/>
      <c r="O898" s="46"/>
      <c r="P898" s="46"/>
    </row>
    <row r="899" spans="2:16" ht="15.75" x14ac:dyDescent="0.25">
      <c r="B899" s="41"/>
      <c r="C899" s="42"/>
      <c r="D899" s="39"/>
      <c r="E899" s="40"/>
      <c r="F899" s="30"/>
      <c r="G899" s="25"/>
      <c r="H899" s="81"/>
      <c r="I899" s="43"/>
      <c r="J899" s="29"/>
      <c r="K899" s="24"/>
      <c r="L899" s="24"/>
      <c r="N899" s="48"/>
      <c r="O899" s="46"/>
      <c r="P899" s="46"/>
    </row>
    <row r="900" spans="2:16" ht="15.75" x14ac:dyDescent="0.25">
      <c r="B900" s="41"/>
      <c r="C900" s="42"/>
      <c r="D900" s="39"/>
      <c r="E900" s="40"/>
      <c r="F900" s="30"/>
      <c r="G900" s="25"/>
      <c r="H900" s="81"/>
      <c r="I900" s="43"/>
      <c r="J900" s="29"/>
      <c r="K900" s="24"/>
      <c r="L900" s="24"/>
      <c r="N900" s="48"/>
      <c r="O900" s="46"/>
      <c r="P900" s="46"/>
    </row>
    <row r="901" spans="2:16" ht="15.75" x14ac:dyDescent="0.25">
      <c r="B901" s="41"/>
      <c r="C901" s="42"/>
      <c r="D901" s="39"/>
      <c r="E901" s="40"/>
      <c r="F901" s="30"/>
      <c r="G901" s="25"/>
      <c r="H901" s="81"/>
      <c r="I901" s="43"/>
      <c r="J901" s="29"/>
      <c r="K901" s="24"/>
      <c r="L901" s="24"/>
      <c r="N901" s="48"/>
      <c r="O901" s="46"/>
      <c r="P901" s="46"/>
    </row>
    <row r="902" spans="2:16" ht="15.75" x14ac:dyDescent="0.25">
      <c r="B902" s="41"/>
      <c r="C902" s="42"/>
      <c r="D902" s="39"/>
      <c r="E902" s="40"/>
      <c r="F902" s="30"/>
      <c r="G902" s="25"/>
      <c r="H902" s="81"/>
      <c r="I902" s="43"/>
      <c r="J902" s="29"/>
      <c r="K902" s="24"/>
      <c r="L902" s="24"/>
      <c r="N902" s="48"/>
      <c r="O902" s="46"/>
      <c r="P902" s="46"/>
    </row>
    <row r="903" spans="2:16" ht="15.75" x14ac:dyDescent="0.25">
      <c r="B903" s="41"/>
      <c r="C903" s="42"/>
      <c r="D903" s="39"/>
      <c r="E903" s="40"/>
      <c r="F903" s="30"/>
      <c r="G903" s="25"/>
      <c r="H903" s="81"/>
      <c r="I903" s="43"/>
      <c r="J903" s="29"/>
      <c r="K903" s="24"/>
      <c r="L903" s="24"/>
      <c r="N903" s="48"/>
      <c r="O903" s="46"/>
      <c r="P903" s="46"/>
    </row>
    <row r="904" spans="2:16" ht="15.75" x14ac:dyDescent="0.25">
      <c r="B904" s="41"/>
      <c r="C904" s="42"/>
      <c r="D904" s="39"/>
      <c r="E904" s="40"/>
      <c r="F904" s="30"/>
      <c r="G904" s="25"/>
      <c r="H904" s="81"/>
      <c r="I904" s="43"/>
      <c r="J904" s="29"/>
      <c r="K904" s="24"/>
      <c r="L904" s="24"/>
      <c r="N904" s="48"/>
      <c r="O904" s="46"/>
      <c r="P904" s="46"/>
    </row>
    <row r="905" spans="2:16" ht="15.75" x14ac:dyDescent="0.25">
      <c r="B905" s="41"/>
      <c r="C905" s="42"/>
      <c r="D905" s="39"/>
      <c r="E905" s="40"/>
      <c r="F905" s="30"/>
      <c r="G905" s="25"/>
      <c r="H905" s="81"/>
      <c r="I905" s="43"/>
      <c r="J905" s="29"/>
      <c r="K905" s="24"/>
      <c r="L905" s="24"/>
      <c r="N905" s="48"/>
      <c r="O905" s="46"/>
      <c r="P905" s="46"/>
    </row>
    <row r="906" spans="2:16" ht="15.75" x14ac:dyDescent="0.25">
      <c r="B906" s="41"/>
      <c r="C906" s="42"/>
      <c r="D906" s="39"/>
      <c r="E906" s="40"/>
      <c r="F906" s="30"/>
      <c r="G906" s="25"/>
      <c r="H906" s="81"/>
      <c r="I906" s="43"/>
      <c r="J906" s="29"/>
      <c r="K906" s="24"/>
      <c r="L906" s="24"/>
      <c r="N906" s="48"/>
      <c r="O906" s="46"/>
      <c r="P906" s="46"/>
    </row>
    <row r="907" spans="2:16" ht="15.75" x14ac:dyDescent="0.25">
      <c r="B907" s="41"/>
      <c r="C907" s="42"/>
      <c r="D907" s="39"/>
      <c r="E907" s="40"/>
      <c r="F907" s="30"/>
      <c r="G907" s="25"/>
      <c r="H907" s="81"/>
      <c r="I907" s="43"/>
      <c r="J907" s="29"/>
      <c r="K907" s="24"/>
      <c r="L907" s="24"/>
      <c r="N907" s="48"/>
      <c r="O907" s="46"/>
      <c r="P907" s="46"/>
    </row>
    <row r="908" spans="2:16" ht="15.75" x14ac:dyDescent="0.25">
      <c r="B908" s="41"/>
      <c r="C908" s="42"/>
      <c r="D908" s="39"/>
      <c r="E908" s="40"/>
      <c r="F908" s="30"/>
      <c r="G908" s="25"/>
      <c r="H908" s="81"/>
      <c r="I908" s="43"/>
      <c r="J908" s="29"/>
      <c r="K908" s="24"/>
      <c r="L908" s="24"/>
      <c r="N908" s="48"/>
      <c r="O908" s="46"/>
      <c r="P908" s="46"/>
    </row>
    <row r="909" spans="2:16" ht="15.75" x14ac:dyDescent="0.25">
      <c r="B909" s="41"/>
      <c r="C909" s="42"/>
      <c r="D909" s="39"/>
      <c r="E909" s="40"/>
      <c r="F909" s="30"/>
      <c r="G909" s="25"/>
      <c r="H909" s="81"/>
      <c r="I909" s="43"/>
      <c r="J909" s="29"/>
      <c r="K909" s="24"/>
      <c r="L909" s="24"/>
      <c r="N909" s="48"/>
      <c r="O909" s="46"/>
      <c r="P909" s="46"/>
    </row>
    <row r="910" spans="2:16" ht="15.75" x14ac:dyDescent="0.25">
      <c r="B910" s="41"/>
      <c r="C910" s="42"/>
      <c r="D910" s="39"/>
      <c r="E910" s="40"/>
      <c r="F910" s="30"/>
      <c r="G910" s="25"/>
      <c r="H910" s="81"/>
      <c r="I910" s="43"/>
      <c r="J910" s="29"/>
      <c r="K910" s="24"/>
      <c r="L910" s="24"/>
      <c r="N910" s="48"/>
      <c r="O910" s="46"/>
      <c r="P910" s="46"/>
    </row>
    <row r="911" spans="2:16" ht="15.75" x14ac:dyDescent="0.25">
      <c r="B911" s="41"/>
      <c r="C911" s="42"/>
      <c r="D911" s="39"/>
      <c r="E911" s="40"/>
      <c r="F911" s="30"/>
      <c r="G911" s="25"/>
      <c r="H911" s="81"/>
      <c r="I911" s="43"/>
      <c r="J911" s="29"/>
      <c r="K911" s="24"/>
      <c r="L911" s="24"/>
      <c r="N911" s="48"/>
      <c r="O911" s="46"/>
      <c r="P911" s="46"/>
    </row>
    <row r="912" spans="2:16" ht="15.75" x14ac:dyDescent="0.25">
      <c r="B912" s="41"/>
      <c r="C912" s="42"/>
      <c r="D912" s="39"/>
      <c r="E912" s="40"/>
      <c r="F912" s="30"/>
      <c r="G912" s="25"/>
      <c r="H912" s="81"/>
      <c r="I912" s="43"/>
      <c r="J912" s="29"/>
      <c r="K912" s="24"/>
      <c r="L912" s="24"/>
      <c r="N912" s="48"/>
      <c r="O912" s="46"/>
      <c r="P912" s="46"/>
    </row>
    <row r="913" spans="2:16" ht="15.75" x14ac:dyDescent="0.25">
      <c r="B913" s="41"/>
      <c r="C913" s="42"/>
      <c r="D913" s="39"/>
      <c r="E913" s="40"/>
      <c r="F913" s="30"/>
      <c r="G913" s="25"/>
      <c r="H913" s="81"/>
      <c r="I913" s="43"/>
      <c r="J913" s="29"/>
      <c r="K913" s="24"/>
      <c r="L913" s="24"/>
      <c r="N913" s="48"/>
      <c r="O913" s="46"/>
      <c r="P913" s="46"/>
    </row>
    <row r="914" spans="2:16" ht="15.75" x14ac:dyDescent="0.25">
      <c r="B914" s="41"/>
      <c r="C914" s="42"/>
      <c r="D914" s="39"/>
      <c r="E914" s="40"/>
      <c r="F914" s="30"/>
      <c r="G914" s="25"/>
      <c r="H914" s="81"/>
      <c r="I914" s="43"/>
      <c r="J914" s="29"/>
      <c r="K914" s="24"/>
      <c r="L914" s="24"/>
      <c r="N914" s="48"/>
      <c r="O914" s="46"/>
      <c r="P914" s="46"/>
    </row>
    <row r="915" spans="2:16" ht="15.75" x14ac:dyDescent="0.25">
      <c r="B915" s="41"/>
      <c r="C915" s="42"/>
      <c r="D915" s="39"/>
      <c r="E915" s="40"/>
      <c r="F915" s="30"/>
      <c r="G915" s="25"/>
      <c r="H915" s="81"/>
      <c r="I915" s="43"/>
      <c r="J915" s="29"/>
      <c r="K915" s="24"/>
      <c r="L915" s="24"/>
      <c r="N915" s="48"/>
      <c r="O915" s="46"/>
      <c r="P915" s="46"/>
    </row>
    <row r="916" spans="2:16" ht="15.75" x14ac:dyDescent="0.25">
      <c r="B916" s="41"/>
      <c r="C916" s="42"/>
      <c r="D916" s="39"/>
      <c r="E916" s="40"/>
      <c r="F916" s="30"/>
      <c r="G916" s="25"/>
      <c r="H916" s="81"/>
      <c r="I916" s="43"/>
      <c r="J916" s="29"/>
      <c r="K916" s="24"/>
      <c r="L916" s="24"/>
      <c r="N916" s="48"/>
      <c r="O916" s="46"/>
      <c r="P916" s="46"/>
    </row>
    <row r="917" spans="2:16" ht="15.75" x14ac:dyDescent="0.25">
      <c r="B917" s="41"/>
      <c r="C917" s="42"/>
      <c r="D917" s="39"/>
      <c r="E917" s="40"/>
      <c r="F917" s="30"/>
      <c r="G917" s="25"/>
      <c r="H917" s="81"/>
      <c r="I917" s="43"/>
      <c r="J917" s="29"/>
      <c r="K917" s="24"/>
      <c r="L917" s="24"/>
      <c r="N917" s="48"/>
      <c r="O917" s="46"/>
      <c r="P917" s="46"/>
    </row>
    <row r="918" spans="2:16" ht="15.75" x14ac:dyDescent="0.25">
      <c r="B918" s="41"/>
      <c r="C918" s="42"/>
      <c r="D918" s="39"/>
      <c r="E918" s="40"/>
      <c r="F918" s="30"/>
      <c r="G918" s="25"/>
      <c r="H918" s="81"/>
      <c r="I918" s="43"/>
      <c r="J918" s="29"/>
      <c r="K918" s="24"/>
      <c r="L918" s="24"/>
      <c r="N918" s="48"/>
      <c r="O918" s="46"/>
      <c r="P918" s="46"/>
    </row>
    <row r="919" spans="2:16" ht="15.75" x14ac:dyDescent="0.25">
      <c r="B919" s="41"/>
      <c r="C919" s="42"/>
      <c r="D919" s="39"/>
      <c r="E919" s="40"/>
      <c r="F919" s="30"/>
      <c r="G919" s="25"/>
      <c r="H919" s="81"/>
      <c r="I919" s="43"/>
      <c r="J919" s="29"/>
      <c r="K919" s="24"/>
      <c r="L919" s="24"/>
      <c r="N919" s="48"/>
      <c r="O919" s="46"/>
      <c r="P919" s="46"/>
    </row>
    <row r="920" spans="2:16" ht="15.75" x14ac:dyDescent="0.25">
      <c r="B920" s="41"/>
      <c r="C920" s="42"/>
      <c r="D920" s="39"/>
      <c r="E920" s="40"/>
      <c r="F920" s="30"/>
      <c r="G920" s="25"/>
      <c r="H920" s="81"/>
      <c r="I920" s="43"/>
      <c r="J920" s="29"/>
      <c r="K920" s="24"/>
      <c r="L920" s="24"/>
      <c r="N920" s="48"/>
      <c r="O920" s="46"/>
      <c r="P920" s="46"/>
    </row>
    <row r="921" spans="2:16" ht="15.75" x14ac:dyDescent="0.25">
      <c r="B921" s="41"/>
      <c r="C921" s="42"/>
      <c r="D921" s="39"/>
      <c r="E921" s="40"/>
      <c r="F921" s="30"/>
      <c r="G921" s="25"/>
      <c r="H921" s="81"/>
      <c r="I921" s="43"/>
      <c r="J921" s="29"/>
      <c r="K921" s="24"/>
      <c r="L921" s="24"/>
      <c r="N921" s="48"/>
      <c r="O921" s="46"/>
      <c r="P921" s="46"/>
    </row>
    <row r="922" spans="2:16" ht="15.75" x14ac:dyDescent="0.25">
      <c r="B922" s="41"/>
      <c r="C922" s="42"/>
      <c r="D922" s="39"/>
      <c r="E922" s="40"/>
      <c r="F922" s="30"/>
      <c r="G922" s="25"/>
      <c r="H922" s="81"/>
      <c r="I922" s="43"/>
      <c r="J922" s="29"/>
      <c r="K922" s="24"/>
      <c r="L922" s="24"/>
      <c r="N922" s="48"/>
      <c r="O922" s="46"/>
      <c r="P922" s="46"/>
    </row>
    <row r="923" spans="2:16" ht="15.75" x14ac:dyDescent="0.25">
      <c r="B923" s="41"/>
      <c r="C923" s="42"/>
      <c r="D923" s="39"/>
      <c r="E923" s="40"/>
      <c r="F923" s="30"/>
      <c r="G923" s="25"/>
      <c r="H923" s="81"/>
      <c r="I923" s="43"/>
      <c r="J923" s="29"/>
      <c r="K923" s="24"/>
      <c r="L923" s="24"/>
      <c r="N923" s="48"/>
      <c r="O923" s="46"/>
      <c r="P923" s="46"/>
    </row>
    <row r="924" spans="2:16" ht="15.75" x14ac:dyDescent="0.25">
      <c r="B924" s="41"/>
      <c r="C924" s="42"/>
      <c r="D924" s="39"/>
      <c r="E924" s="40"/>
      <c r="F924" s="30"/>
      <c r="G924" s="25"/>
      <c r="H924" s="81"/>
      <c r="I924" s="43"/>
      <c r="J924" s="29"/>
      <c r="K924" s="24"/>
      <c r="L924" s="24"/>
      <c r="N924" s="48"/>
      <c r="O924" s="46"/>
      <c r="P924" s="46"/>
    </row>
    <row r="925" spans="2:16" ht="15.75" x14ac:dyDescent="0.25">
      <c r="B925" s="41"/>
      <c r="C925" s="42"/>
      <c r="D925" s="39"/>
      <c r="E925" s="40"/>
      <c r="F925" s="30"/>
      <c r="G925" s="25"/>
      <c r="H925" s="81"/>
      <c r="I925" s="43"/>
      <c r="J925" s="29"/>
      <c r="K925" s="24"/>
      <c r="L925" s="24"/>
      <c r="N925" s="48"/>
      <c r="O925" s="46"/>
      <c r="P925" s="46"/>
    </row>
    <row r="926" spans="2:16" ht="15.75" x14ac:dyDescent="0.25">
      <c r="B926" s="41"/>
      <c r="C926" s="42"/>
      <c r="D926" s="39"/>
      <c r="E926" s="40"/>
      <c r="F926" s="30"/>
      <c r="G926" s="25"/>
      <c r="H926" s="81"/>
      <c r="I926" s="43"/>
      <c r="J926" s="29"/>
      <c r="K926" s="24"/>
      <c r="L926" s="24"/>
      <c r="N926" s="48"/>
      <c r="O926" s="46"/>
      <c r="P926" s="46"/>
    </row>
    <row r="927" spans="2:16" ht="15.75" x14ac:dyDescent="0.25">
      <c r="B927" s="41"/>
      <c r="C927" s="42"/>
      <c r="D927" s="39"/>
      <c r="E927" s="40"/>
      <c r="F927" s="30"/>
      <c r="G927" s="25"/>
      <c r="H927" s="81"/>
      <c r="I927" s="43"/>
      <c r="J927" s="29"/>
      <c r="K927" s="24"/>
      <c r="L927" s="24"/>
      <c r="N927" s="48"/>
      <c r="O927" s="46"/>
      <c r="P927" s="46"/>
    </row>
    <row r="928" spans="2:16" ht="15.75" x14ac:dyDescent="0.25">
      <c r="B928" s="41"/>
      <c r="C928" s="42"/>
      <c r="D928" s="39"/>
      <c r="E928" s="40"/>
      <c r="F928" s="30"/>
      <c r="G928" s="25"/>
      <c r="H928" s="81"/>
      <c r="I928" s="43"/>
      <c r="J928" s="29"/>
      <c r="K928" s="24"/>
      <c r="L928" s="24"/>
      <c r="N928" s="48"/>
      <c r="O928" s="46"/>
      <c r="P928" s="46"/>
    </row>
    <row r="929" spans="2:16" ht="15.75" x14ac:dyDescent="0.25">
      <c r="B929" s="41"/>
      <c r="C929" s="42"/>
      <c r="D929" s="39"/>
      <c r="E929" s="40"/>
      <c r="F929" s="30"/>
      <c r="G929" s="25"/>
      <c r="H929" s="81"/>
      <c r="I929" s="43"/>
      <c r="J929" s="29"/>
      <c r="K929" s="24"/>
      <c r="L929" s="24"/>
      <c r="N929" s="48"/>
      <c r="O929" s="46"/>
      <c r="P929" s="46"/>
    </row>
    <row r="930" spans="2:16" ht="15.75" x14ac:dyDescent="0.25">
      <c r="B930" s="41"/>
      <c r="C930" s="42"/>
      <c r="D930" s="39"/>
      <c r="E930" s="40"/>
      <c r="F930" s="30"/>
      <c r="G930" s="25"/>
      <c r="H930" s="81"/>
      <c r="I930" s="43"/>
      <c r="J930" s="29"/>
      <c r="K930" s="24"/>
      <c r="L930" s="24"/>
      <c r="N930" s="48"/>
      <c r="O930" s="46"/>
      <c r="P930" s="46"/>
    </row>
    <row r="931" spans="2:16" ht="15.75" x14ac:dyDescent="0.25">
      <c r="B931" s="41"/>
      <c r="C931" s="42"/>
      <c r="D931" s="39"/>
      <c r="E931" s="40"/>
      <c r="F931" s="30"/>
      <c r="G931" s="25"/>
      <c r="H931" s="81"/>
      <c r="I931" s="43"/>
      <c r="J931" s="29"/>
      <c r="K931" s="24"/>
      <c r="L931" s="24"/>
      <c r="N931" s="48"/>
      <c r="O931" s="46"/>
      <c r="P931" s="46"/>
    </row>
    <row r="932" spans="2:16" ht="15.75" x14ac:dyDescent="0.25">
      <c r="B932" s="41"/>
      <c r="C932" s="42"/>
      <c r="D932" s="39"/>
      <c r="E932" s="40"/>
      <c r="F932" s="30"/>
      <c r="G932" s="25"/>
      <c r="H932" s="81"/>
      <c r="I932" s="43"/>
      <c r="J932" s="29"/>
      <c r="K932" s="24"/>
      <c r="L932" s="24"/>
      <c r="N932" s="48"/>
      <c r="O932" s="46"/>
      <c r="P932" s="46"/>
    </row>
    <row r="933" spans="2:16" ht="15.75" x14ac:dyDescent="0.25">
      <c r="B933" s="41"/>
      <c r="C933" s="42"/>
      <c r="D933" s="39"/>
      <c r="E933" s="40"/>
      <c r="F933" s="30"/>
      <c r="G933" s="25"/>
      <c r="H933" s="81"/>
      <c r="I933" s="43"/>
      <c r="J933" s="29"/>
      <c r="K933" s="24"/>
      <c r="L933" s="24"/>
      <c r="N933" s="48"/>
      <c r="O933" s="46"/>
      <c r="P933" s="46"/>
    </row>
    <row r="934" spans="2:16" ht="15.75" x14ac:dyDescent="0.25">
      <c r="B934" s="41"/>
      <c r="C934" s="42"/>
      <c r="D934" s="39"/>
      <c r="E934" s="40"/>
      <c r="F934" s="30"/>
      <c r="G934" s="25"/>
      <c r="H934" s="81"/>
      <c r="I934" s="43"/>
      <c r="J934" s="29"/>
      <c r="K934" s="24"/>
      <c r="L934" s="24"/>
      <c r="N934" s="48"/>
      <c r="O934" s="46"/>
      <c r="P934" s="46"/>
    </row>
    <row r="935" spans="2:16" ht="15.75" x14ac:dyDescent="0.25">
      <c r="B935" s="41"/>
      <c r="C935" s="42"/>
      <c r="D935" s="39"/>
      <c r="E935" s="40"/>
      <c r="F935" s="30"/>
      <c r="G935" s="25"/>
      <c r="H935" s="81"/>
      <c r="I935" s="43"/>
      <c r="J935" s="29"/>
      <c r="K935" s="24"/>
      <c r="L935" s="24"/>
      <c r="N935" s="48"/>
      <c r="O935" s="46"/>
      <c r="P935" s="46"/>
    </row>
    <row r="936" spans="2:16" ht="15.75" x14ac:dyDescent="0.25">
      <c r="B936" s="41"/>
      <c r="C936" s="42"/>
      <c r="D936" s="39"/>
      <c r="E936" s="40"/>
      <c r="F936" s="30"/>
      <c r="G936" s="25"/>
      <c r="H936" s="81"/>
      <c r="I936" s="43"/>
      <c r="J936" s="29"/>
      <c r="K936" s="24"/>
      <c r="L936" s="24"/>
      <c r="N936" s="48"/>
      <c r="O936" s="46"/>
      <c r="P936" s="46"/>
    </row>
    <row r="937" spans="2:16" ht="15.75" x14ac:dyDescent="0.25">
      <c r="B937" s="41"/>
      <c r="C937" s="42"/>
      <c r="D937" s="39"/>
      <c r="E937" s="40"/>
      <c r="F937" s="30"/>
      <c r="G937" s="25"/>
      <c r="H937" s="81"/>
      <c r="I937" s="43"/>
      <c r="J937" s="29"/>
      <c r="K937" s="24"/>
      <c r="L937" s="24"/>
      <c r="N937" s="48"/>
      <c r="O937" s="46"/>
      <c r="P937" s="46"/>
    </row>
    <row r="938" spans="2:16" ht="15.75" x14ac:dyDescent="0.25">
      <c r="B938" s="41"/>
      <c r="C938" s="42"/>
      <c r="D938" s="39"/>
      <c r="E938" s="40"/>
      <c r="F938" s="30"/>
      <c r="G938" s="25"/>
      <c r="H938" s="81"/>
      <c r="I938" s="43"/>
      <c r="J938" s="29"/>
      <c r="K938" s="24"/>
      <c r="L938" s="24"/>
      <c r="N938" s="48"/>
      <c r="O938" s="46"/>
      <c r="P938" s="46"/>
    </row>
    <row r="939" spans="2:16" ht="15.75" x14ac:dyDescent="0.25">
      <c r="B939" s="41"/>
      <c r="C939" s="42"/>
      <c r="D939" s="39"/>
      <c r="E939" s="40"/>
      <c r="F939" s="30"/>
      <c r="G939" s="25"/>
      <c r="H939" s="81"/>
      <c r="I939" s="43"/>
      <c r="J939" s="29"/>
      <c r="K939" s="24"/>
      <c r="L939" s="24"/>
      <c r="N939" s="48"/>
      <c r="O939" s="46"/>
      <c r="P939" s="46"/>
    </row>
    <row r="940" spans="2:16" ht="15.75" x14ac:dyDescent="0.25">
      <c r="B940" s="41"/>
      <c r="C940" s="42"/>
      <c r="D940" s="39"/>
      <c r="E940" s="40"/>
      <c r="F940" s="30"/>
      <c r="G940" s="25"/>
      <c r="H940" s="81"/>
      <c r="I940" s="43"/>
      <c r="J940" s="29"/>
      <c r="K940" s="24"/>
      <c r="L940" s="24"/>
      <c r="N940" s="48"/>
      <c r="O940" s="46"/>
      <c r="P940" s="46"/>
    </row>
    <row r="941" spans="2:16" ht="15.75" x14ac:dyDescent="0.25">
      <c r="B941" s="41"/>
      <c r="C941" s="42"/>
      <c r="D941" s="39"/>
      <c r="E941" s="40"/>
      <c r="F941" s="30"/>
      <c r="G941" s="25"/>
      <c r="H941" s="81"/>
      <c r="I941" s="43"/>
      <c r="J941" s="29"/>
      <c r="K941" s="24"/>
      <c r="L941" s="24"/>
      <c r="N941" s="48"/>
      <c r="O941" s="46"/>
      <c r="P941" s="46"/>
    </row>
    <row r="942" spans="2:16" ht="15.75" x14ac:dyDescent="0.25">
      <c r="B942" s="41"/>
      <c r="C942" s="42"/>
      <c r="D942" s="39"/>
      <c r="E942" s="40"/>
      <c r="F942" s="30"/>
      <c r="G942" s="25"/>
      <c r="H942" s="81"/>
      <c r="I942" s="43"/>
      <c r="J942" s="29"/>
      <c r="K942" s="24"/>
      <c r="L942" s="24"/>
      <c r="N942" s="48"/>
      <c r="O942" s="46"/>
      <c r="P942" s="46"/>
    </row>
    <row r="943" spans="2:16" ht="15.75" x14ac:dyDescent="0.25">
      <c r="B943" s="41"/>
      <c r="C943" s="42"/>
      <c r="D943" s="39"/>
      <c r="E943" s="40"/>
      <c r="F943" s="30"/>
      <c r="G943" s="25"/>
      <c r="H943" s="81"/>
      <c r="I943" s="43"/>
      <c r="J943" s="29"/>
      <c r="K943" s="24"/>
      <c r="L943" s="24"/>
      <c r="N943" s="48"/>
      <c r="O943" s="46"/>
      <c r="P943" s="46"/>
    </row>
    <row r="944" spans="2:16" ht="15.75" x14ac:dyDescent="0.25">
      <c r="B944" s="41"/>
      <c r="C944" s="42"/>
      <c r="D944" s="39"/>
      <c r="E944" s="40"/>
      <c r="F944" s="30"/>
      <c r="G944" s="25"/>
      <c r="H944" s="81"/>
      <c r="I944" s="43"/>
      <c r="J944" s="29"/>
      <c r="K944" s="24"/>
      <c r="L944" s="24"/>
      <c r="N944" s="48"/>
      <c r="O944" s="46"/>
      <c r="P944" s="46"/>
    </row>
    <row r="945" spans="2:16" ht="15.75" x14ac:dyDescent="0.25">
      <c r="B945" s="41"/>
      <c r="C945" s="42"/>
      <c r="D945" s="39"/>
      <c r="E945" s="40"/>
      <c r="F945" s="30"/>
      <c r="G945" s="25"/>
      <c r="H945" s="81"/>
      <c r="I945" s="43"/>
      <c r="J945" s="29"/>
      <c r="K945" s="24"/>
      <c r="L945" s="24"/>
      <c r="N945" s="48"/>
      <c r="O945" s="46"/>
      <c r="P945" s="46"/>
    </row>
    <row r="946" spans="2:16" ht="15.75" x14ac:dyDescent="0.25">
      <c r="B946" s="41"/>
      <c r="C946" s="42"/>
      <c r="D946" s="39"/>
      <c r="E946" s="40"/>
      <c r="F946" s="30"/>
      <c r="G946" s="25"/>
      <c r="H946" s="81"/>
      <c r="I946" s="43"/>
      <c r="J946" s="29"/>
      <c r="K946" s="24"/>
      <c r="L946" s="24"/>
      <c r="N946" s="48"/>
      <c r="O946" s="46"/>
      <c r="P946" s="46"/>
    </row>
    <row r="947" spans="2:16" ht="15.75" x14ac:dyDescent="0.25">
      <c r="B947" s="41"/>
      <c r="C947" s="42"/>
      <c r="D947" s="39"/>
      <c r="E947" s="40"/>
      <c r="F947" s="30"/>
      <c r="G947" s="25"/>
      <c r="H947" s="81"/>
      <c r="I947" s="43"/>
      <c r="J947" s="29"/>
      <c r="K947" s="24"/>
      <c r="L947" s="24"/>
      <c r="N947" s="48"/>
      <c r="O947" s="46"/>
      <c r="P947" s="46"/>
    </row>
    <row r="948" spans="2:16" ht="15.75" x14ac:dyDescent="0.25">
      <c r="B948" s="41"/>
      <c r="C948" s="42"/>
      <c r="D948" s="39"/>
      <c r="E948" s="40"/>
      <c r="F948" s="30"/>
      <c r="G948" s="25"/>
      <c r="H948" s="81"/>
      <c r="I948" s="43"/>
      <c r="J948" s="29"/>
      <c r="K948" s="24"/>
      <c r="L948" s="24"/>
      <c r="N948" s="48"/>
      <c r="O948" s="46"/>
      <c r="P948" s="46"/>
    </row>
    <row r="949" spans="2:16" ht="15.75" x14ac:dyDescent="0.25">
      <c r="B949" s="41"/>
      <c r="C949" s="42"/>
      <c r="D949" s="39"/>
      <c r="E949" s="40"/>
      <c r="F949" s="30"/>
      <c r="G949" s="25"/>
      <c r="H949" s="81"/>
      <c r="I949" s="43"/>
      <c r="J949" s="29"/>
      <c r="K949" s="24"/>
      <c r="L949" s="24"/>
      <c r="N949" s="48"/>
      <c r="O949" s="46"/>
      <c r="P949" s="46"/>
    </row>
    <row r="950" spans="2:16" ht="15.75" x14ac:dyDescent="0.25">
      <c r="B950" s="41"/>
      <c r="C950" s="42"/>
      <c r="D950" s="39"/>
      <c r="E950" s="40"/>
      <c r="F950" s="30"/>
      <c r="G950" s="25"/>
      <c r="H950" s="81"/>
      <c r="I950" s="43"/>
      <c r="J950" s="29"/>
      <c r="K950" s="24"/>
      <c r="L950" s="24"/>
      <c r="N950" s="48"/>
      <c r="O950" s="46"/>
      <c r="P950" s="46"/>
    </row>
    <row r="951" spans="2:16" ht="15.75" x14ac:dyDescent="0.25">
      <c r="B951" s="41"/>
      <c r="C951" s="42"/>
      <c r="D951" s="39"/>
      <c r="E951" s="40"/>
      <c r="F951" s="30"/>
      <c r="G951" s="25"/>
      <c r="H951" s="81"/>
      <c r="I951" s="43"/>
      <c r="J951" s="29"/>
      <c r="K951" s="24"/>
      <c r="L951" s="24"/>
      <c r="N951" s="48"/>
      <c r="O951" s="46"/>
      <c r="P951" s="46"/>
    </row>
    <row r="952" spans="2:16" ht="15.75" x14ac:dyDescent="0.25">
      <c r="B952" s="41"/>
      <c r="C952" s="42"/>
      <c r="D952" s="39"/>
      <c r="E952" s="40"/>
      <c r="F952" s="30"/>
      <c r="G952" s="25"/>
      <c r="H952" s="81"/>
      <c r="I952" s="43"/>
      <c r="J952" s="29"/>
      <c r="K952" s="24"/>
      <c r="L952" s="24"/>
      <c r="N952" s="48"/>
      <c r="O952" s="46"/>
      <c r="P952" s="46"/>
    </row>
    <row r="953" spans="2:16" ht="15.75" x14ac:dyDescent="0.25">
      <c r="B953" s="41"/>
      <c r="C953" s="42"/>
      <c r="D953" s="39"/>
      <c r="E953" s="40"/>
      <c r="F953" s="30"/>
      <c r="G953" s="25"/>
      <c r="H953" s="81"/>
      <c r="I953" s="43"/>
      <c r="J953" s="29"/>
      <c r="K953" s="24"/>
      <c r="L953" s="24"/>
      <c r="N953" s="48"/>
      <c r="O953" s="46"/>
      <c r="P953" s="46"/>
    </row>
    <row r="954" spans="2:16" ht="15.75" x14ac:dyDescent="0.25">
      <c r="B954" s="41"/>
      <c r="C954" s="42"/>
      <c r="D954" s="39"/>
      <c r="E954" s="40"/>
      <c r="F954" s="30"/>
      <c r="G954" s="25"/>
      <c r="H954" s="81"/>
      <c r="I954" s="43"/>
      <c r="J954" s="29"/>
      <c r="K954" s="24"/>
      <c r="L954" s="24"/>
      <c r="N954" s="48"/>
      <c r="O954" s="46"/>
      <c r="P954" s="46"/>
    </row>
    <row r="955" spans="2:16" ht="15.75" x14ac:dyDescent="0.25">
      <c r="B955" s="41"/>
      <c r="C955" s="42"/>
      <c r="D955" s="39"/>
      <c r="E955" s="40"/>
      <c r="F955" s="30"/>
      <c r="G955" s="25"/>
      <c r="H955" s="81"/>
      <c r="I955" s="43"/>
      <c r="J955" s="29"/>
      <c r="K955" s="24"/>
      <c r="L955" s="24"/>
      <c r="N955" s="48"/>
      <c r="O955" s="46"/>
      <c r="P955" s="46"/>
    </row>
    <row r="956" spans="2:16" ht="15.75" x14ac:dyDescent="0.25">
      <c r="B956" s="41"/>
      <c r="C956" s="42"/>
      <c r="D956" s="39"/>
      <c r="E956" s="40"/>
      <c r="F956" s="30"/>
      <c r="G956" s="25"/>
      <c r="H956" s="81"/>
      <c r="I956" s="43"/>
      <c r="J956" s="29"/>
      <c r="K956" s="24"/>
      <c r="L956" s="24"/>
      <c r="N956" s="48"/>
      <c r="O956" s="46"/>
      <c r="P956" s="46"/>
    </row>
    <row r="957" spans="2:16" ht="15.75" x14ac:dyDescent="0.25">
      <c r="B957" s="41"/>
      <c r="C957" s="42"/>
      <c r="D957" s="39"/>
      <c r="E957" s="40"/>
      <c r="F957" s="30"/>
      <c r="G957" s="25"/>
      <c r="H957" s="81"/>
      <c r="I957" s="43"/>
      <c r="J957" s="29"/>
      <c r="K957" s="24"/>
      <c r="L957" s="24"/>
      <c r="N957" s="48"/>
      <c r="O957" s="46"/>
      <c r="P957" s="46"/>
    </row>
    <row r="958" spans="2:16" ht="15.75" x14ac:dyDescent="0.25">
      <c r="B958" s="41"/>
      <c r="C958" s="42"/>
      <c r="D958" s="39"/>
      <c r="E958" s="40"/>
      <c r="F958" s="30"/>
      <c r="G958" s="25"/>
      <c r="H958" s="81"/>
      <c r="I958" s="43"/>
      <c r="J958" s="29"/>
      <c r="K958" s="24"/>
      <c r="L958" s="24"/>
      <c r="N958" s="48"/>
      <c r="O958" s="46"/>
      <c r="P958" s="46"/>
    </row>
    <row r="959" spans="2:16" ht="15.75" x14ac:dyDescent="0.25">
      <c r="B959" s="41"/>
      <c r="C959" s="42"/>
      <c r="D959" s="39"/>
      <c r="E959" s="40"/>
      <c r="F959" s="30"/>
      <c r="G959" s="25"/>
      <c r="H959" s="81"/>
      <c r="I959" s="43"/>
      <c r="J959" s="29"/>
      <c r="K959" s="24"/>
      <c r="L959" s="24"/>
      <c r="N959" s="48"/>
      <c r="O959" s="46"/>
      <c r="P959" s="46"/>
    </row>
    <row r="960" spans="2:16" ht="15.75" x14ac:dyDescent="0.25">
      <c r="B960" s="41"/>
      <c r="C960" s="42"/>
      <c r="D960" s="39"/>
      <c r="E960" s="40"/>
      <c r="F960" s="30"/>
      <c r="G960" s="25"/>
      <c r="H960" s="81"/>
      <c r="I960" s="43"/>
      <c r="J960" s="29"/>
      <c r="K960" s="24"/>
      <c r="L960" s="24"/>
      <c r="N960" s="48"/>
      <c r="O960" s="46"/>
      <c r="P960" s="46"/>
    </row>
    <row r="961" spans="2:16" ht="15.75" x14ac:dyDescent="0.25">
      <c r="B961" s="41"/>
      <c r="C961" s="42"/>
      <c r="D961" s="39"/>
      <c r="E961" s="40"/>
      <c r="F961" s="30"/>
      <c r="G961" s="25"/>
      <c r="H961" s="81"/>
      <c r="I961" s="43"/>
      <c r="J961" s="29"/>
      <c r="K961" s="24"/>
      <c r="L961" s="24"/>
      <c r="N961" s="48"/>
      <c r="O961" s="46"/>
      <c r="P961" s="46"/>
    </row>
    <row r="962" spans="2:16" ht="15.75" x14ac:dyDescent="0.25">
      <c r="B962" s="41"/>
      <c r="C962" s="42"/>
      <c r="D962" s="39"/>
      <c r="E962" s="40"/>
      <c r="F962" s="30"/>
      <c r="G962" s="25"/>
      <c r="H962" s="81"/>
      <c r="I962" s="43"/>
      <c r="J962" s="29"/>
      <c r="K962" s="24"/>
      <c r="L962" s="24"/>
      <c r="N962" s="48"/>
      <c r="O962" s="46"/>
      <c r="P962" s="46"/>
    </row>
    <row r="963" spans="2:16" ht="15.75" x14ac:dyDescent="0.25">
      <c r="B963" s="41"/>
      <c r="C963" s="42"/>
      <c r="D963" s="39"/>
      <c r="E963" s="40"/>
      <c r="F963" s="30"/>
      <c r="G963" s="25"/>
      <c r="H963" s="81"/>
      <c r="I963" s="43"/>
      <c r="J963" s="29"/>
      <c r="K963" s="24"/>
      <c r="L963" s="24"/>
      <c r="N963" s="48"/>
      <c r="O963" s="46"/>
      <c r="P963" s="46"/>
    </row>
    <row r="964" spans="2:16" ht="15.75" x14ac:dyDescent="0.25">
      <c r="B964" s="41"/>
      <c r="C964" s="42"/>
      <c r="D964" s="39"/>
      <c r="E964" s="40"/>
      <c r="F964" s="30"/>
      <c r="G964" s="25"/>
      <c r="H964" s="81"/>
      <c r="I964" s="43"/>
      <c r="J964" s="29"/>
      <c r="K964" s="24"/>
      <c r="L964" s="24"/>
      <c r="N964" s="48"/>
      <c r="O964" s="46"/>
      <c r="P964" s="46"/>
    </row>
    <row r="965" spans="2:16" ht="15.75" x14ac:dyDescent="0.25">
      <c r="B965" s="41"/>
      <c r="C965" s="42"/>
      <c r="D965" s="39"/>
      <c r="E965" s="40"/>
      <c r="F965" s="30"/>
      <c r="G965" s="25"/>
      <c r="H965" s="81"/>
      <c r="I965" s="43"/>
      <c r="J965" s="29"/>
      <c r="K965" s="24"/>
      <c r="L965" s="24"/>
      <c r="N965" s="48"/>
      <c r="O965" s="46"/>
      <c r="P965" s="46"/>
    </row>
    <row r="966" spans="2:16" ht="15.75" x14ac:dyDescent="0.25">
      <c r="B966" s="41"/>
      <c r="C966" s="42"/>
      <c r="D966" s="39"/>
      <c r="E966" s="40"/>
      <c r="F966" s="30"/>
      <c r="G966" s="25"/>
      <c r="H966" s="81"/>
      <c r="I966" s="43"/>
      <c r="J966" s="29"/>
      <c r="K966" s="24"/>
      <c r="L966" s="24"/>
      <c r="N966" s="48"/>
      <c r="O966" s="46"/>
      <c r="P966" s="46"/>
    </row>
    <row r="967" spans="2:16" ht="15.75" x14ac:dyDescent="0.25">
      <c r="B967" s="41"/>
      <c r="C967" s="42"/>
      <c r="D967" s="39"/>
      <c r="E967" s="40"/>
      <c r="F967" s="30"/>
      <c r="G967" s="25"/>
      <c r="H967" s="81"/>
      <c r="I967" s="43"/>
      <c r="J967" s="29"/>
      <c r="K967" s="24"/>
      <c r="L967" s="24"/>
      <c r="N967" s="48"/>
      <c r="O967" s="46"/>
      <c r="P967" s="46"/>
    </row>
    <row r="968" spans="2:16" ht="15.75" x14ac:dyDescent="0.25">
      <c r="B968" s="41"/>
      <c r="C968" s="42"/>
      <c r="D968" s="39"/>
      <c r="E968" s="40"/>
      <c r="F968" s="30"/>
      <c r="G968" s="25"/>
      <c r="H968" s="81"/>
      <c r="I968" s="43"/>
      <c r="J968" s="29"/>
      <c r="K968" s="24"/>
      <c r="L968" s="24"/>
      <c r="N968" s="48"/>
      <c r="O968" s="46"/>
      <c r="P968" s="46"/>
    </row>
    <row r="969" spans="2:16" ht="15.75" x14ac:dyDescent="0.25">
      <c r="B969" s="41"/>
      <c r="C969" s="42"/>
      <c r="D969" s="39"/>
      <c r="E969" s="40"/>
      <c r="F969" s="30"/>
      <c r="G969" s="25"/>
      <c r="H969" s="81"/>
      <c r="I969" s="43"/>
      <c r="J969" s="29"/>
      <c r="K969" s="24"/>
      <c r="L969" s="24"/>
      <c r="N969" s="48"/>
      <c r="O969" s="46"/>
      <c r="P969" s="46"/>
    </row>
    <row r="970" spans="2:16" ht="15.75" x14ac:dyDescent="0.25">
      <c r="B970" s="41"/>
      <c r="C970" s="42"/>
      <c r="D970" s="39"/>
      <c r="E970" s="40"/>
      <c r="F970" s="30"/>
      <c r="G970" s="25"/>
      <c r="H970" s="81"/>
      <c r="I970" s="43"/>
      <c r="J970" s="29"/>
      <c r="K970" s="24"/>
      <c r="L970" s="24"/>
      <c r="N970" s="48"/>
      <c r="O970" s="46"/>
      <c r="P970" s="46"/>
    </row>
    <row r="971" spans="2:16" ht="15.75" x14ac:dyDescent="0.25">
      <c r="B971" s="41"/>
      <c r="C971" s="42"/>
      <c r="D971" s="39"/>
      <c r="E971" s="40"/>
      <c r="F971" s="30"/>
      <c r="G971" s="25"/>
      <c r="H971" s="81"/>
      <c r="I971" s="43"/>
      <c r="J971" s="29"/>
      <c r="K971" s="24"/>
      <c r="L971" s="24"/>
      <c r="N971" s="48"/>
      <c r="O971" s="46"/>
      <c r="P971" s="46"/>
    </row>
    <row r="972" spans="2:16" ht="15.75" x14ac:dyDescent="0.25">
      <c r="B972" s="41"/>
      <c r="C972" s="42"/>
      <c r="D972" s="39"/>
      <c r="E972" s="40"/>
      <c r="F972" s="30"/>
      <c r="G972" s="25"/>
      <c r="H972" s="81"/>
      <c r="I972" s="43"/>
      <c r="J972" s="29"/>
      <c r="K972" s="24"/>
      <c r="L972" s="24"/>
      <c r="N972" s="48"/>
      <c r="O972" s="46"/>
      <c r="P972" s="46"/>
    </row>
    <row r="973" spans="2:16" ht="15.75" x14ac:dyDescent="0.25">
      <c r="B973" s="41"/>
      <c r="C973" s="42"/>
      <c r="D973" s="39"/>
      <c r="E973" s="40"/>
      <c r="F973" s="30"/>
      <c r="G973" s="25"/>
      <c r="H973" s="81"/>
      <c r="I973" s="43"/>
      <c r="J973" s="29"/>
      <c r="K973" s="24"/>
      <c r="L973" s="24"/>
      <c r="N973" s="48"/>
      <c r="O973" s="46"/>
      <c r="P973" s="46"/>
    </row>
    <row r="974" spans="2:16" ht="15.75" x14ac:dyDescent="0.25">
      <c r="B974" s="41"/>
      <c r="C974" s="42"/>
      <c r="D974" s="39"/>
      <c r="E974" s="40"/>
      <c r="F974" s="30"/>
      <c r="G974" s="25"/>
      <c r="H974" s="81"/>
      <c r="I974" s="43"/>
      <c r="J974" s="29"/>
      <c r="K974" s="24"/>
      <c r="L974" s="24"/>
      <c r="N974" s="48"/>
      <c r="O974" s="46"/>
      <c r="P974" s="46"/>
    </row>
    <row r="975" spans="2:16" ht="15.75" x14ac:dyDescent="0.25">
      <c r="B975" s="41"/>
      <c r="C975" s="42"/>
      <c r="D975" s="39"/>
      <c r="E975" s="40"/>
      <c r="F975" s="30"/>
      <c r="G975" s="25"/>
      <c r="H975" s="81"/>
      <c r="I975" s="43"/>
      <c r="J975" s="29"/>
      <c r="K975" s="24"/>
      <c r="L975" s="24"/>
      <c r="N975" s="48"/>
      <c r="O975" s="46"/>
      <c r="P975" s="46"/>
    </row>
    <row r="976" spans="2:16" ht="15.75" x14ac:dyDescent="0.25">
      <c r="B976" s="41"/>
      <c r="C976" s="42"/>
      <c r="D976" s="39"/>
      <c r="E976" s="40"/>
      <c r="F976" s="30"/>
      <c r="G976" s="25"/>
      <c r="H976" s="81"/>
      <c r="I976" s="43"/>
      <c r="J976" s="29"/>
      <c r="K976" s="24"/>
      <c r="L976" s="24"/>
      <c r="N976" s="48"/>
      <c r="O976" s="46"/>
      <c r="P976" s="46"/>
    </row>
    <row r="977" spans="2:16" ht="15.75" x14ac:dyDescent="0.25">
      <c r="B977" s="41"/>
      <c r="C977" s="42"/>
      <c r="D977" s="39"/>
      <c r="E977" s="40"/>
      <c r="F977" s="30"/>
      <c r="G977" s="25"/>
      <c r="H977" s="81"/>
      <c r="I977" s="43"/>
      <c r="J977" s="29"/>
      <c r="K977" s="24"/>
      <c r="L977" s="24"/>
      <c r="N977" s="48"/>
      <c r="O977" s="46"/>
      <c r="P977" s="46"/>
    </row>
    <row r="978" spans="2:16" ht="15.75" x14ac:dyDescent="0.25">
      <c r="B978" s="41"/>
      <c r="C978" s="42"/>
      <c r="D978" s="39"/>
      <c r="E978" s="40"/>
      <c r="F978" s="30"/>
      <c r="G978" s="25"/>
      <c r="H978" s="81"/>
      <c r="I978" s="43"/>
      <c r="J978" s="29"/>
      <c r="K978" s="24"/>
      <c r="L978" s="24"/>
      <c r="N978" s="48"/>
      <c r="O978" s="46"/>
      <c r="P978" s="46"/>
    </row>
    <row r="979" spans="2:16" ht="15.75" x14ac:dyDescent="0.25">
      <c r="B979" s="41"/>
      <c r="C979" s="42"/>
      <c r="D979" s="39"/>
      <c r="E979" s="40"/>
      <c r="F979" s="30"/>
      <c r="G979" s="25"/>
      <c r="H979" s="81"/>
      <c r="I979" s="43"/>
      <c r="J979" s="29"/>
      <c r="K979" s="24"/>
      <c r="L979" s="24"/>
      <c r="N979" s="48"/>
      <c r="O979" s="46"/>
      <c r="P979" s="46"/>
    </row>
    <row r="980" spans="2:16" ht="15.75" x14ac:dyDescent="0.25">
      <c r="B980" s="41"/>
      <c r="C980" s="42"/>
      <c r="D980" s="39"/>
      <c r="E980" s="40"/>
      <c r="F980" s="30"/>
      <c r="G980" s="25"/>
      <c r="H980" s="81"/>
      <c r="I980" s="43"/>
      <c r="J980" s="29"/>
      <c r="K980" s="24"/>
      <c r="L980" s="24"/>
      <c r="N980" s="48"/>
      <c r="O980" s="46"/>
      <c r="P980" s="46"/>
    </row>
    <row r="981" spans="2:16" ht="15.75" x14ac:dyDescent="0.25">
      <c r="B981" s="41"/>
      <c r="C981" s="42"/>
      <c r="D981" s="39"/>
      <c r="E981" s="40"/>
      <c r="F981" s="30"/>
      <c r="G981" s="25"/>
      <c r="H981" s="81"/>
      <c r="I981" s="43"/>
      <c r="J981" s="29"/>
      <c r="K981" s="24"/>
      <c r="L981" s="24"/>
      <c r="N981" s="48"/>
      <c r="O981" s="46"/>
      <c r="P981" s="46"/>
    </row>
    <row r="982" spans="2:16" ht="15.75" x14ac:dyDescent="0.25">
      <c r="B982" s="41"/>
      <c r="C982" s="42"/>
      <c r="D982" s="39"/>
      <c r="E982" s="40"/>
      <c r="F982" s="30"/>
      <c r="G982" s="25"/>
      <c r="H982" s="81"/>
      <c r="I982" s="43"/>
      <c r="J982" s="29"/>
      <c r="K982" s="24"/>
      <c r="L982" s="24"/>
      <c r="N982" s="48"/>
      <c r="O982" s="46"/>
      <c r="P982" s="46"/>
    </row>
    <row r="983" spans="2:16" ht="15.75" x14ac:dyDescent="0.25">
      <c r="B983" s="41"/>
      <c r="C983" s="42"/>
      <c r="D983" s="39"/>
      <c r="E983" s="40"/>
      <c r="F983" s="30"/>
      <c r="G983" s="25"/>
      <c r="H983" s="81"/>
      <c r="I983" s="43"/>
      <c r="J983" s="29"/>
      <c r="K983" s="24"/>
      <c r="L983" s="24"/>
      <c r="N983" s="48"/>
      <c r="O983" s="46"/>
      <c r="P983" s="46"/>
    </row>
    <row r="984" spans="2:16" ht="15.75" x14ac:dyDescent="0.25">
      <c r="B984" s="41"/>
      <c r="C984" s="42"/>
      <c r="D984" s="39"/>
      <c r="E984" s="40"/>
      <c r="F984" s="30"/>
      <c r="G984" s="25"/>
      <c r="H984" s="81"/>
      <c r="I984" s="43"/>
      <c r="J984" s="29"/>
      <c r="K984" s="24"/>
      <c r="L984" s="24"/>
      <c r="N984" s="48"/>
      <c r="O984" s="46"/>
      <c r="P984" s="46"/>
    </row>
    <row r="985" spans="2:16" ht="15.75" x14ac:dyDescent="0.25">
      <c r="B985" s="41"/>
      <c r="C985" s="42"/>
      <c r="D985" s="39"/>
      <c r="E985" s="40"/>
      <c r="F985" s="30"/>
      <c r="G985" s="25"/>
      <c r="H985" s="81"/>
      <c r="I985" s="43"/>
      <c r="J985" s="29"/>
      <c r="K985" s="24"/>
      <c r="L985" s="24"/>
      <c r="N985" s="48"/>
      <c r="O985" s="46"/>
      <c r="P985" s="46"/>
    </row>
    <row r="986" spans="2:16" ht="15.75" x14ac:dyDescent="0.25">
      <c r="B986" s="41"/>
      <c r="C986" s="42"/>
      <c r="D986" s="39"/>
      <c r="E986" s="40"/>
      <c r="F986" s="30"/>
      <c r="G986" s="25"/>
      <c r="H986" s="81"/>
      <c r="I986" s="43"/>
      <c r="J986" s="29"/>
      <c r="K986" s="24"/>
      <c r="L986" s="24"/>
      <c r="N986" s="48"/>
      <c r="O986" s="46"/>
      <c r="P986" s="46"/>
    </row>
    <row r="987" spans="2:16" ht="15.75" x14ac:dyDescent="0.25">
      <c r="B987" s="41"/>
      <c r="C987" s="42"/>
      <c r="D987" s="39"/>
      <c r="E987" s="40"/>
      <c r="F987" s="30"/>
      <c r="G987" s="25"/>
      <c r="H987" s="81"/>
      <c r="I987" s="43"/>
      <c r="J987" s="29"/>
      <c r="K987" s="24"/>
      <c r="L987" s="24"/>
      <c r="N987" s="48"/>
      <c r="O987" s="46"/>
      <c r="P987" s="46"/>
    </row>
    <row r="988" spans="2:16" ht="15.75" x14ac:dyDescent="0.25">
      <c r="B988" s="41"/>
      <c r="C988" s="42"/>
      <c r="D988" s="39"/>
      <c r="E988" s="40"/>
      <c r="F988" s="30"/>
      <c r="G988" s="25"/>
      <c r="H988" s="81"/>
      <c r="I988" s="43"/>
      <c r="J988" s="29"/>
      <c r="K988" s="24"/>
      <c r="L988" s="24"/>
      <c r="N988" s="48"/>
      <c r="O988" s="46"/>
      <c r="P988" s="46"/>
    </row>
    <row r="989" spans="2:16" ht="15.75" x14ac:dyDescent="0.25">
      <c r="B989" s="41"/>
      <c r="C989" s="42"/>
      <c r="D989" s="39"/>
      <c r="E989" s="40"/>
      <c r="F989" s="30"/>
      <c r="G989" s="25"/>
      <c r="H989" s="81"/>
      <c r="I989" s="43"/>
      <c r="J989" s="29"/>
      <c r="K989" s="24"/>
      <c r="L989" s="24"/>
      <c r="N989" s="48"/>
      <c r="O989" s="46"/>
      <c r="P989" s="46"/>
    </row>
    <row r="990" spans="2:16" ht="15.75" x14ac:dyDescent="0.25">
      <c r="B990" s="41"/>
      <c r="C990" s="42"/>
      <c r="D990" s="39"/>
      <c r="E990" s="40"/>
      <c r="F990" s="30"/>
      <c r="G990" s="25"/>
      <c r="H990" s="81"/>
      <c r="I990" s="43"/>
      <c r="J990" s="29"/>
      <c r="K990" s="24"/>
      <c r="L990" s="24"/>
      <c r="N990" s="48"/>
      <c r="O990" s="46"/>
      <c r="P990" s="46"/>
    </row>
    <row r="991" spans="2:16" ht="15.75" x14ac:dyDescent="0.25">
      <c r="B991" s="41"/>
      <c r="C991" s="42"/>
      <c r="D991" s="39"/>
      <c r="E991" s="40"/>
      <c r="F991" s="30"/>
      <c r="G991" s="25"/>
      <c r="H991" s="81"/>
      <c r="I991" s="43"/>
      <c r="J991" s="29"/>
      <c r="K991" s="24"/>
      <c r="L991" s="24"/>
      <c r="N991" s="48"/>
      <c r="O991" s="46"/>
      <c r="P991" s="46"/>
    </row>
    <row r="992" spans="2:16" ht="15.75" x14ac:dyDescent="0.25">
      <c r="B992" s="41"/>
      <c r="C992" s="42"/>
      <c r="D992" s="39"/>
      <c r="E992" s="40"/>
      <c r="F992" s="30"/>
      <c r="G992" s="25"/>
      <c r="H992" s="81"/>
      <c r="I992" s="43"/>
      <c r="J992" s="29"/>
      <c r="K992" s="24"/>
      <c r="L992" s="24"/>
      <c r="N992" s="48"/>
      <c r="O992" s="46"/>
      <c r="P992" s="46"/>
    </row>
    <row r="993" spans="2:16" ht="15.75" x14ac:dyDescent="0.25">
      <c r="B993" s="41"/>
      <c r="C993" s="42"/>
      <c r="D993" s="39"/>
      <c r="E993" s="40"/>
      <c r="F993" s="30"/>
      <c r="G993" s="25"/>
      <c r="H993" s="81"/>
      <c r="I993" s="43"/>
      <c r="J993" s="29"/>
      <c r="K993" s="24"/>
      <c r="L993" s="24"/>
      <c r="N993" s="48"/>
      <c r="O993" s="46"/>
      <c r="P993" s="46"/>
    </row>
    <row r="994" spans="2:16" ht="15.75" x14ac:dyDescent="0.25">
      <c r="B994" s="41"/>
      <c r="C994" s="42"/>
      <c r="D994" s="39"/>
      <c r="E994" s="40"/>
      <c r="F994" s="30"/>
      <c r="G994" s="25"/>
      <c r="H994" s="81"/>
      <c r="I994" s="43"/>
      <c r="J994" s="29"/>
      <c r="K994" s="24"/>
      <c r="L994" s="24"/>
      <c r="N994" s="48"/>
      <c r="O994" s="46"/>
      <c r="P994" s="46"/>
    </row>
    <row r="995" spans="2:16" ht="15.75" x14ac:dyDescent="0.25">
      <c r="B995" s="41"/>
      <c r="C995" s="42"/>
      <c r="D995" s="39"/>
      <c r="E995" s="40"/>
      <c r="F995" s="30"/>
      <c r="G995" s="25"/>
      <c r="H995" s="81"/>
      <c r="I995" s="43"/>
      <c r="J995" s="29"/>
      <c r="K995" s="24"/>
      <c r="L995" s="24"/>
      <c r="N995" s="48"/>
      <c r="O995" s="46"/>
      <c r="P995" s="46"/>
    </row>
    <row r="996" spans="2:16" ht="15.75" x14ac:dyDescent="0.25">
      <c r="B996" s="41"/>
      <c r="C996" s="42"/>
      <c r="D996" s="39"/>
      <c r="E996" s="40"/>
      <c r="F996" s="30"/>
      <c r="G996" s="25"/>
      <c r="H996" s="81"/>
      <c r="I996" s="43"/>
      <c r="J996" s="29"/>
      <c r="K996" s="24"/>
      <c r="L996" s="24"/>
      <c r="N996" s="48"/>
      <c r="O996" s="46"/>
      <c r="P996" s="46"/>
    </row>
    <row r="997" spans="2:16" ht="15.75" x14ac:dyDescent="0.25">
      <c r="B997" s="41"/>
      <c r="C997" s="42"/>
      <c r="D997" s="39"/>
      <c r="E997" s="40"/>
      <c r="F997" s="30"/>
      <c r="G997" s="25"/>
      <c r="H997" s="81"/>
      <c r="I997" s="43"/>
      <c r="J997" s="29"/>
      <c r="K997" s="24"/>
      <c r="L997" s="24"/>
      <c r="N997" s="48"/>
      <c r="O997" s="46"/>
      <c r="P997" s="46"/>
    </row>
    <row r="998" spans="2:16" ht="15.75" x14ac:dyDescent="0.25">
      <c r="B998" s="41"/>
      <c r="C998" s="42"/>
      <c r="D998" s="39"/>
      <c r="E998" s="40"/>
      <c r="F998" s="30"/>
      <c r="G998" s="25"/>
      <c r="H998" s="81"/>
      <c r="I998" s="43"/>
      <c r="J998" s="29"/>
      <c r="K998" s="24"/>
      <c r="L998" s="24"/>
      <c r="N998" s="48"/>
      <c r="O998" s="46"/>
      <c r="P998" s="46"/>
    </row>
    <row r="999" spans="2:16" ht="15.75" x14ac:dyDescent="0.25">
      <c r="B999" s="41"/>
      <c r="C999" s="42"/>
      <c r="D999" s="39"/>
      <c r="E999" s="40"/>
      <c r="F999" s="30"/>
      <c r="G999" s="25"/>
      <c r="H999" s="81"/>
      <c r="I999" s="43"/>
      <c r="J999" s="29"/>
      <c r="K999" s="24"/>
      <c r="L999" s="24"/>
      <c r="N999" s="48"/>
      <c r="O999" s="46"/>
      <c r="P999" s="46"/>
    </row>
    <row r="1000" spans="2:16" ht="15.75" x14ac:dyDescent="0.25">
      <c r="B1000" s="41"/>
      <c r="C1000" s="42"/>
      <c r="D1000" s="39"/>
      <c r="E1000" s="40"/>
      <c r="F1000" s="30"/>
      <c r="G1000" s="25"/>
      <c r="H1000" s="81"/>
      <c r="I1000" s="43"/>
      <c r="J1000" s="29"/>
      <c r="K1000" s="24"/>
      <c r="L1000" s="24"/>
      <c r="N1000" s="48"/>
      <c r="O1000" s="46"/>
      <c r="P1000" s="46"/>
    </row>
  </sheetData>
  <sheetProtection selectLockedCells="1" selectUnlockedCells="1"/>
  <pageMargins left="0.7" right="0.7" top="0.75" bottom="0.75" header="0.51180555555555551" footer="0.51180555555555551"/>
  <pageSetup firstPageNumber="0" orientation="portrait" horizontalDpi="300" verticalDpi="300" r:id="rId1"/>
  <headerFooter alignWithMargins="0"/>
  <ignoredErrors>
    <ignoredError sqref="G18"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W474"/>
  <sheetViews>
    <sheetView zoomScale="85" zoomScaleNormal="85" workbookViewId="0">
      <selection activeCell="A4" sqref="A4:A5"/>
    </sheetView>
  </sheetViews>
  <sheetFormatPr baseColWidth="10" defaultColWidth="8.7109375" defaultRowHeight="15.75" x14ac:dyDescent="0.25"/>
  <cols>
    <col min="1" max="1" width="13.42578125" style="54" bestFit="1" customWidth="1"/>
    <col min="2" max="2" width="11.5703125" style="14" customWidth="1"/>
    <col min="3" max="3" width="8.7109375" style="49"/>
    <col min="4" max="4" width="13.42578125" style="4" customWidth="1"/>
    <col min="5" max="5" width="14" style="4" customWidth="1"/>
    <col min="6" max="6" width="8.7109375" style="4"/>
    <col min="7" max="7" width="19.42578125" style="15" customWidth="1"/>
    <col min="8" max="8" width="10.7109375" style="4" customWidth="1"/>
    <col min="9" max="9" width="14.28515625" style="15" customWidth="1"/>
    <col min="10" max="10" width="8.7109375" style="15"/>
    <col min="11" max="11" width="16.85546875" style="4" customWidth="1"/>
    <col min="12" max="12" width="16.5703125" style="4" customWidth="1"/>
    <col min="13" max="13" width="21.140625" style="4" customWidth="1"/>
    <col min="14" max="14" width="15.140625" style="4" customWidth="1"/>
    <col min="17" max="17" width="18.5703125" style="19" customWidth="1"/>
    <col min="19" max="19" width="8.7109375" style="70"/>
    <col min="20" max="20" width="8.7109375" style="3"/>
    <col min="21" max="21" width="8.7109375" style="1"/>
    <col min="22" max="23" width="8.7109375" style="4"/>
    <col min="24" max="16384" width="8.7109375" style="1"/>
  </cols>
  <sheetData>
    <row r="1" spans="1:23" x14ac:dyDescent="0.25">
      <c r="B1" s="14">
        <f>B3-B2+1</f>
        <v>1</v>
      </c>
      <c r="C1" s="49">
        <f>C3-C2+1</f>
        <v>1</v>
      </c>
      <c r="D1" s="4">
        <f ca="1">IF(INDEX(B:B,C3)="-",       INDEX(Sheet2!C:C,Sheet2!B5),    IF(INDEX(Sheet2!E:E,Sheet2!$B$5)=1,      INDEX(B:B,C3),
IF(INDEX(T:T, C3-INDEX(V:V,C3-1))&lt;&gt; INDEX(T:T,C3),       INDEX(Q:Q,C3-1)*INDEX(K:K,C3-1),
(INDEX(B:B,C3) - INDEX(B:B, C3-INDEX(V:V,C3-1)-1)) / (INDEX(V:V,C3-1)+1))))</f>
        <v>0</v>
      </c>
    </row>
    <row r="2" spans="1:23" x14ac:dyDescent="0.25">
      <c r="B2" s="14">
        <f>MIN(Sheet3!W5:W371)</f>
        <v>5</v>
      </c>
      <c r="C2" s="49">
        <f>MIN(Sheet3!W5:W371)</f>
        <v>5</v>
      </c>
      <c r="D2" s="5">
        <f ca="1">IF(INDEX(B:B,C3)="-",       INDEX(D:D, C3-INDEX(V:V,C3)),    IF(INDEX(Sheet2!E:E,Sheet2!$B$5)=1,      INDEX(B:B,C3),
IF(INDEX(T:T, C3-INDEX(V:V,C3-1))&lt;&gt; INDEX(T:T,C3),       INDEX(Q:Q,C3-1)*INDEX(K:K,C3-1),
(INDEX(B:B,C3) - INDEX(B:B, C3-INDEX(V:V,C3-1)-1)) / (INDEX(V:V,C3-1)+1))))</f>
        <v>0</v>
      </c>
      <c r="E2" s="5"/>
      <c r="F2" s="6"/>
      <c r="G2" s="62" t="str">
        <f>IFERROR(IF(INDEX(Sheet2!A8:A500,MATCH(INDEX(Sheet3!A:A,B3),Sheet1!N8:N500,0))&gt;0, INDEX(Sheet2!A8:A500,MATCH(INDEX(Sheet3!A:A,B3),Sheet1!N8:N500,0)),""),"")</f>
        <v/>
      </c>
      <c r="H2" s="5"/>
      <c r="I2" s="16"/>
      <c r="J2" s="69"/>
      <c r="K2" s="7"/>
      <c r="L2" s="5"/>
      <c r="M2" s="7"/>
      <c r="N2" s="8"/>
      <c r="Q2" s="20" t="s">
        <v>8</v>
      </c>
      <c r="S2" s="71"/>
      <c r="T2" s="9"/>
      <c r="V2" s="5" t="s">
        <v>9</v>
      </c>
      <c r="W2" s="20" t="s">
        <v>45</v>
      </c>
    </row>
    <row r="3" spans="1:23" s="2" customFormat="1" x14ac:dyDescent="0.25">
      <c r="A3" s="54"/>
      <c r="B3" s="14">
        <f>MAX(Sheet3!W5:W371)</f>
        <v>5</v>
      </c>
      <c r="C3" s="49">
        <f>IF(B3&gt;5,IF(INDEX(B:B,MAX(Sheet3!W5:W371))="",MAX(Sheet3!W5:W371)-1,MAX(Sheet3!W5:W371)),5)</f>
        <v>5</v>
      </c>
      <c r="D3" s="10" t="s">
        <v>52</v>
      </c>
      <c r="E3" s="10" t="s">
        <v>53</v>
      </c>
      <c r="F3" s="10" t="s">
        <v>32</v>
      </c>
      <c r="G3" s="17" t="s">
        <v>0</v>
      </c>
      <c r="H3" s="10"/>
      <c r="I3" s="17" t="s">
        <v>49</v>
      </c>
      <c r="J3" s="17" t="s">
        <v>46</v>
      </c>
      <c r="K3" s="10" t="s">
        <v>4</v>
      </c>
      <c r="L3" s="10" t="s">
        <v>3</v>
      </c>
      <c r="M3" s="10" t="s">
        <v>54</v>
      </c>
      <c r="N3" s="10" t="s">
        <v>55</v>
      </c>
      <c r="Q3" s="21"/>
      <c r="S3" s="72" t="s">
        <v>47</v>
      </c>
      <c r="T3" s="11" t="s">
        <v>7</v>
      </c>
      <c r="V3" s="10" t="str">
        <f>INDEX(V$2:V$371,Sheet3!B3)</f>
        <v/>
      </c>
      <c r="W3" s="10"/>
    </row>
    <row r="4" spans="1:23" ht="17.25" customHeight="1" x14ac:dyDescent="0.25">
      <c r="D4" s="60">
        <f>IF(INDEX(B:B,C3)=0,0,    IF(C3=5,    B5/INDEX(Sheet2!E:E,Sheet2!$B$5),      IF(INDEX(B:B,C3)="-",       INDEX(Sheet2!C:C,Sheet2!B5),    IF(INDEX(Sheet2!E:E,Sheet2!$B$5)=1,      INDEX(B:B,C3),
IF(OR(INDEX(T:T, C3-INDEX(V:V,C3-1)-1)&lt;&gt; INDEX(T:T,C3),      INDEX(Sheet2!E:E,Sheet2!$B$5)&lt;= INDEX(V:V,C3)),       INDEX(Q:Q,C3-1)*INDEX(K:K,C3),
(INDEX(B:B,C3) - INDEX(B:B, C3-INDEX(V:V,C3-1)-1)) / (INDEX(V:V,C3-1)+1))))))</f>
        <v>0</v>
      </c>
      <c r="E4" s="12"/>
      <c r="F4" s="12"/>
      <c r="G4" s="63">
        <f>IF(B5="",0,IF(INDEX(B:B,C3)="-",    IF(G2&lt;&gt;"",G2,INDEX(G:G,C3-1)),     (1+INDEX(D:D,C3)/(INDEX(K:K,C3)+INDEX(B:B,C3)-INDEX(D:D,C3)))^365-1))</f>
        <v>0</v>
      </c>
      <c r="H4" s="12"/>
      <c r="I4" s="18">
        <f>IF(C3=5,0,INDEX(F:F,C3)*INDEX(E:E,C3)/Sheet2!T6)</f>
        <v>0</v>
      </c>
      <c r="J4" s="18"/>
      <c r="K4" s="12">
        <f ca="1">MAX(Sheet2!B6:B380)</f>
        <v>0</v>
      </c>
      <c r="L4" s="44">
        <f ca="1">IF(Sheet2!$B$5=0,0,Sheet2!$R$6/INDEX(Sheet2!B:B,Sheet2!$B$5))</f>
        <v>0</v>
      </c>
      <c r="M4" s="12">
        <f>IF(INDEX(G:G,C3)=0,0,E5/G5*INDEX(G:G,C3))</f>
        <v>0</v>
      </c>
      <c r="N4" s="12">
        <f>IF(OR(INDEX(T:T,C3)=INDEX(T:T,C3-1),C3=5,INDEX(T:T,C3)=INDEX(T:T,C3-2)),INDEX(E:E,C3),INDEX(N:N,C3-1))</f>
        <v>0</v>
      </c>
      <c r="Q4" s="22">
        <f>IF(G4=0,0.00035,(1+G4)^(1/365)-1)</f>
        <v>3.5E-4</v>
      </c>
      <c r="S4" s="73"/>
      <c r="T4" s="13"/>
      <c r="V4" s="12"/>
      <c r="W4" s="12"/>
    </row>
    <row r="5" spans="1:23" x14ac:dyDescent="0.25">
      <c r="D5" s="12"/>
      <c r="E5" s="12"/>
      <c r="F5" s="12"/>
      <c r="G5" s="18"/>
      <c r="H5" s="12"/>
      <c r="I5" s="18"/>
      <c r="J5" s="18"/>
      <c r="K5" s="12"/>
      <c r="L5" s="44"/>
      <c r="M5" s="12"/>
      <c r="N5" s="376"/>
      <c r="O5" s="1"/>
      <c r="P5" s="1"/>
      <c r="Q5" s="22"/>
      <c r="R5" s="1"/>
      <c r="S5" s="73"/>
      <c r="T5" s="13"/>
      <c r="V5" s="12">
        <f>0</f>
        <v>0</v>
      </c>
      <c r="W5" s="12">
        <v>5</v>
      </c>
    </row>
    <row r="6" spans="1:23" x14ac:dyDescent="0.25">
      <c r="D6" s="12"/>
      <c r="E6" s="12"/>
      <c r="F6" s="12"/>
      <c r="G6" s="18"/>
      <c r="H6" s="12"/>
      <c r="I6" s="18"/>
      <c r="J6" s="18"/>
      <c r="K6" s="12"/>
      <c r="L6" s="44"/>
      <c r="M6" s="12"/>
      <c r="N6" s="376"/>
      <c r="O6" s="1"/>
      <c r="P6" s="1"/>
      <c r="Q6" s="22"/>
      <c r="R6" s="1"/>
      <c r="S6" s="73"/>
      <c r="T6" s="13"/>
      <c r="V6" s="12" t="str">
        <f t="shared" ref="V6:V69" si="0">IF(B6=0,"",IF(B6="-",V5+1,0))</f>
        <v/>
      </c>
      <c r="W6" s="12" t="str">
        <f t="shared" ref="W6:W69" si="1">IF(A6=0,"",ROW())</f>
        <v/>
      </c>
    </row>
    <row r="7" spans="1:23" x14ac:dyDescent="0.25">
      <c r="D7" s="12"/>
      <c r="E7" s="12"/>
      <c r="F7" s="12"/>
      <c r="G7" s="18"/>
      <c r="H7" s="12"/>
      <c r="I7" s="18"/>
      <c r="J7" s="18"/>
      <c r="K7" s="12"/>
      <c r="L7" s="44"/>
      <c r="M7" s="12"/>
      <c r="N7" s="376"/>
      <c r="O7" s="1"/>
      <c r="P7" s="1"/>
      <c r="Q7" s="22"/>
      <c r="R7" s="1"/>
      <c r="S7" s="73"/>
      <c r="T7" s="13"/>
      <c r="V7" s="12" t="str">
        <f t="shared" si="0"/>
        <v/>
      </c>
      <c r="W7" s="12" t="str">
        <f t="shared" si="1"/>
        <v/>
      </c>
    </row>
    <row r="8" spans="1:23" x14ac:dyDescent="0.25">
      <c r="D8" s="12"/>
      <c r="E8" s="12"/>
      <c r="F8" s="12"/>
      <c r="G8" s="18"/>
      <c r="H8" s="12"/>
      <c r="I8" s="18"/>
      <c r="J8" s="18"/>
      <c r="K8" s="12"/>
      <c r="L8" s="44"/>
      <c r="M8" s="12"/>
      <c r="N8" s="376"/>
      <c r="O8" s="1"/>
      <c r="P8" s="1"/>
      <c r="Q8" s="22"/>
      <c r="R8" s="1"/>
      <c r="S8" s="73"/>
      <c r="T8" s="13"/>
      <c r="V8" s="12" t="str">
        <f t="shared" si="0"/>
        <v/>
      </c>
      <c r="W8" s="12" t="str">
        <f t="shared" si="1"/>
        <v/>
      </c>
    </row>
    <row r="9" spans="1:23" x14ac:dyDescent="0.25">
      <c r="D9" s="12"/>
      <c r="E9" s="12"/>
      <c r="F9" s="12"/>
      <c r="G9" s="18"/>
      <c r="H9" s="12"/>
      <c r="I9" s="18"/>
      <c r="J9" s="18"/>
      <c r="K9" s="12"/>
      <c r="L9" s="44"/>
      <c r="M9" s="12"/>
      <c r="N9" s="376"/>
      <c r="O9" s="1"/>
      <c r="P9" s="1"/>
      <c r="Q9" s="22"/>
      <c r="R9" s="1"/>
      <c r="S9" s="73"/>
      <c r="T9" s="13"/>
      <c r="V9" s="12" t="str">
        <f t="shared" si="0"/>
        <v/>
      </c>
      <c r="W9" s="12" t="str">
        <f t="shared" si="1"/>
        <v/>
      </c>
    </row>
    <row r="10" spans="1:23" x14ac:dyDescent="0.25">
      <c r="D10" s="12"/>
      <c r="E10" s="12"/>
      <c r="F10" s="12"/>
      <c r="G10" s="18"/>
      <c r="H10" s="12"/>
      <c r="I10" s="18"/>
      <c r="J10" s="18"/>
      <c r="K10" s="12"/>
      <c r="L10" s="44"/>
      <c r="M10" s="12"/>
      <c r="N10" s="376"/>
      <c r="O10" s="1"/>
      <c r="P10" s="1"/>
      <c r="Q10" s="22"/>
      <c r="R10" s="1"/>
      <c r="S10" s="73"/>
      <c r="T10" s="13"/>
      <c r="V10" s="12" t="str">
        <f t="shared" si="0"/>
        <v/>
      </c>
      <c r="W10" s="12" t="str">
        <f t="shared" si="1"/>
        <v/>
      </c>
    </row>
    <row r="11" spans="1:23" x14ac:dyDescent="0.25">
      <c r="D11" s="12"/>
      <c r="E11" s="12"/>
      <c r="F11" s="12"/>
      <c r="G11" s="18"/>
      <c r="H11" s="12"/>
      <c r="I11" s="18"/>
      <c r="J11" s="18"/>
      <c r="K11" s="12"/>
      <c r="L11" s="44"/>
      <c r="M11" s="12"/>
      <c r="N11" s="376"/>
      <c r="O11" s="1"/>
      <c r="P11" s="1"/>
      <c r="Q11" s="22"/>
      <c r="R11" s="1"/>
      <c r="S11" s="73"/>
      <c r="T11" s="13"/>
      <c r="V11" s="12" t="str">
        <f t="shared" si="0"/>
        <v/>
      </c>
      <c r="W11" s="12" t="str">
        <f t="shared" si="1"/>
        <v/>
      </c>
    </row>
    <row r="12" spans="1:23" x14ac:dyDescent="0.25">
      <c r="D12" s="12"/>
      <c r="E12" s="12"/>
      <c r="F12" s="12"/>
      <c r="G12" s="18"/>
      <c r="H12" s="12"/>
      <c r="I12" s="18"/>
      <c r="J12" s="18"/>
      <c r="K12" s="12"/>
      <c r="L12" s="44"/>
      <c r="M12" s="12"/>
      <c r="N12" s="376"/>
      <c r="O12" s="1"/>
      <c r="P12" s="1"/>
      <c r="Q12" s="22"/>
      <c r="R12" s="1"/>
      <c r="S12" s="73"/>
      <c r="T12" s="13"/>
      <c r="V12" s="12" t="str">
        <f t="shared" si="0"/>
        <v/>
      </c>
      <c r="W12" s="12" t="str">
        <f t="shared" si="1"/>
        <v/>
      </c>
    </row>
    <row r="13" spans="1:23" x14ac:dyDescent="0.25">
      <c r="D13" s="12"/>
      <c r="E13" s="12"/>
      <c r="F13" s="12"/>
      <c r="G13" s="18"/>
      <c r="H13" s="12"/>
      <c r="I13" s="18"/>
      <c r="J13" s="18"/>
      <c r="K13" s="12"/>
      <c r="L13" s="44"/>
      <c r="M13" s="12"/>
      <c r="N13" s="376"/>
      <c r="O13" s="1"/>
      <c r="P13" s="1"/>
      <c r="Q13" s="22"/>
      <c r="R13" s="1"/>
      <c r="S13" s="73"/>
      <c r="T13" s="13"/>
      <c r="V13" s="12" t="str">
        <f t="shared" si="0"/>
        <v/>
      </c>
      <c r="W13" s="12" t="str">
        <f t="shared" si="1"/>
        <v/>
      </c>
    </row>
    <row r="14" spans="1:23" x14ac:dyDescent="0.25">
      <c r="D14" s="12"/>
      <c r="E14" s="12"/>
      <c r="F14" s="12"/>
      <c r="G14" s="18"/>
      <c r="H14" s="12"/>
      <c r="I14" s="18"/>
      <c r="J14" s="18"/>
      <c r="K14" s="12"/>
      <c r="L14" s="44"/>
      <c r="M14" s="12"/>
      <c r="N14" s="376"/>
      <c r="O14" s="1"/>
      <c r="P14" s="1"/>
      <c r="Q14" s="22"/>
      <c r="R14" s="1"/>
      <c r="S14" s="73"/>
      <c r="T14" s="13"/>
      <c r="V14" s="12" t="str">
        <f t="shared" si="0"/>
        <v/>
      </c>
      <c r="W14" s="12" t="str">
        <f t="shared" si="1"/>
        <v/>
      </c>
    </row>
    <row r="15" spans="1:23" x14ac:dyDescent="0.25">
      <c r="D15" s="12"/>
      <c r="E15" s="12"/>
      <c r="F15" s="12"/>
      <c r="G15" s="18"/>
      <c r="H15" s="12"/>
      <c r="I15" s="18"/>
      <c r="J15" s="18"/>
      <c r="K15" s="12"/>
      <c r="L15" s="44"/>
      <c r="M15" s="12"/>
      <c r="N15" s="376"/>
      <c r="O15" s="1"/>
      <c r="P15" s="1"/>
      <c r="Q15" s="22"/>
      <c r="R15" s="1"/>
      <c r="S15" s="73"/>
      <c r="T15" s="13"/>
      <c r="V15" s="12" t="str">
        <f t="shared" si="0"/>
        <v/>
      </c>
      <c r="W15" s="12" t="str">
        <f t="shared" si="1"/>
        <v/>
      </c>
    </row>
    <row r="16" spans="1:23" x14ac:dyDescent="0.25">
      <c r="D16" s="12"/>
      <c r="E16" s="12"/>
      <c r="F16" s="12"/>
      <c r="G16" s="18"/>
      <c r="H16" s="12"/>
      <c r="I16" s="18"/>
      <c r="J16" s="18"/>
      <c r="K16" s="12"/>
      <c r="L16" s="44"/>
      <c r="M16" s="12"/>
      <c r="N16" s="376"/>
      <c r="O16" s="1"/>
      <c r="P16" s="1"/>
      <c r="Q16" s="22"/>
      <c r="R16" s="1"/>
      <c r="S16" s="73"/>
      <c r="T16" s="13"/>
      <c r="V16" s="12" t="str">
        <f t="shared" si="0"/>
        <v/>
      </c>
      <c r="W16" s="12" t="str">
        <f t="shared" si="1"/>
        <v/>
      </c>
    </row>
    <row r="17" spans="4:23" x14ac:dyDescent="0.25">
      <c r="D17" s="12"/>
      <c r="E17" s="12"/>
      <c r="F17" s="12"/>
      <c r="G17" s="18"/>
      <c r="H17" s="12"/>
      <c r="I17" s="18"/>
      <c r="J17" s="18"/>
      <c r="K17" s="12"/>
      <c r="L17" s="44"/>
      <c r="M17" s="12"/>
      <c r="N17" s="376"/>
      <c r="O17" s="1"/>
      <c r="P17" s="1"/>
      <c r="Q17" s="22"/>
      <c r="R17" s="1"/>
      <c r="S17" s="73"/>
      <c r="T17" s="13"/>
      <c r="V17" s="12" t="str">
        <f t="shared" si="0"/>
        <v/>
      </c>
      <c r="W17" s="12" t="str">
        <f t="shared" si="1"/>
        <v/>
      </c>
    </row>
    <row r="18" spans="4:23" x14ac:dyDescent="0.25">
      <c r="D18" s="12"/>
      <c r="E18" s="12"/>
      <c r="F18" s="12"/>
      <c r="G18" s="18"/>
      <c r="H18" s="12"/>
      <c r="I18" s="18"/>
      <c r="J18" s="18"/>
      <c r="K18" s="12"/>
      <c r="L18" s="44"/>
      <c r="M18" s="12"/>
      <c r="N18" s="376"/>
      <c r="O18" s="1"/>
      <c r="P18" s="1"/>
      <c r="Q18" s="22"/>
      <c r="R18" s="1"/>
      <c r="S18" s="73"/>
      <c r="T18" s="13"/>
      <c r="V18" s="12" t="str">
        <f t="shared" si="0"/>
        <v/>
      </c>
      <c r="W18" s="12" t="str">
        <f t="shared" si="1"/>
        <v/>
      </c>
    </row>
    <row r="19" spans="4:23" x14ac:dyDescent="0.25">
      <c r="D19" s="12"/>
      <c r="E19" s="12"/>
      <c r="F19" s="12"/>
      <c r="G19" s="18"/>
      <c r="H19" s="12"/>
      <c r="I19" s="18"/>
      <c r="J19" s="18"/>
      <c r="K19" s="12"/>
      <c r="L19" s="44"/>
      <c r="M19" s="12"/>
      <c r="N19" s="376"/>
      <c r="O19" s="1"/>
      <c r="P19" s="1"/>
      <c r="Q19" s="22"/>
      <c r="R19" s="1"/>
      <c r="S19" s="73"/>
      <c r="T19" s="13"/>
      <c r="V19" s="12" t="str">
        <f t="shared" si="0"/>
        <v/>
      </c>
      <c r="W19" s="12" t="str">
        <f t="shared" si="1"/>
        <v/>
      </c>
    </row>
    <row r="20" spans="4:23" x14ac:dyDescent="0.25">
      <c r="D20" s="12"/>
      <c r="E20" s="12"/>
      <c r="F20" s="12"/>
      <c r="G20" s="18"/>
      <c r="H20" s="12"/>
      <c r="I20" s="18"/>
      <c r="J20" s="18"/>
      <c r="K20" s="12"/>
      <c r="L20" s="44"/>
      <c r="M20" s="12"/>
      <c r="N20" s="376"/>
      <c r="O20" s="1"/>
      <c r="P20" s="1"/>
      <c r="Q20" s="22"/>
      <c r="R20" s="1"/>
      <c r="S20" s="73"/>
      <c r="T20" s="13"/>
      <c r="V20" s="12" t="str">
        <f t="shared" si="0"/>
        <v/>
      </c>
      <c r="W20" s="12" t="str">
        <f t="shared" si="1"/>
        <v/>
      </c>
    </row>
    <row r="21" spans="4:23" x14ac:dyDescent="0.25">
      <c r="D21" s="12"/>
      <c r="E21" s="12"/>
      <c r="F21" s="12"/>
      <c r="G21" s="18"/>
      <c r="H21" s="12"/>
      <c r="I21" s="18"/>
      <c r="J21" s="18"/>
      <c r="K21" s="12"/>
      <c r="L21" s="44"/>
      <c r="M21" s="12"/>
      <c r="N21" s="376"/>
      <c r="O21" s="1"/>
      <c r="P21" s="1"/>
      <c r="Q21" s="22"/>
      <c r="R21" s="1"/>
      <c r="S21" s="73"/>
      <c r="T21" s="13"/>
      <c r="V21" s="12" t="str">
        <f t="shared" si="0"/>
        <v/>
      </c>
      <c r="W21" s="12" t="str">
        <f t="shared" si="1"/>
        <v/>
      </c>
    </row>
    <row r="22" spans="4:23" x14ac:dyDescent="0.25">
      <c r="D22" s="12"/>
      <c r="E22" s="12"/>
      <c r="F22" s="12"/>
      <c r="G22" s="18"/>
      <c r="H22" s="12"/>
      <c r="I22" s="18"/>
      <c r="J22" s="18"/>
      <c r="K22" s="12"/>
      <c r="L22" s="44"/>
      <c r="M22" s="12"/>
      <c r="N22" s="376"/>
      <c r="O22" s="1"/>
      <c r="P22" s="1"/>
      <c r="Q22" s="22"/>
      <c r="R22" s="1"/>
      <c r="S22" s="73"/>
      <c r="T22" s="13"/>
      <c r="V22" s="12" t="str">
        <f t="shared" si="0"/>
        <v/>
      </c>
      <c r="W22" s="12" t="str">
        <f t="shared" si="1"/>
        <v/>
      </c>
    </row>
    <row r="23" spans="4:23" x14ac:dyDescent="0.25">
      <c r="D23" s="12"/>
      <c r="E23" s="12"/>
      <c r="F23" s="12"/>
      <c r="G23" s="18"/>
      <c r="H23" s="12"/>
      <c r="I23" s="18"/>
      <c r="J23" s="18"/>
      <c r="K23" s="12"/>
      <c r="L23" s="44"/>
      <c r="M23" s="12"/>
      <c r="N23" s="376"/>
      <c r="O23" s="1"/>
      <c r="P23" s="1"/>
      <c r="Q23" s="22"/>
      <c r="R23" s="1"/>
      <c r="S23" s="73"/>
      <c r="T23" s="13"/>
      <c r="V23" s="12" t="str">
        <f t="shared" si="0"/>
        <v/>
      </c>
      <c r="W23" s="12" t="str">
        <f t="shared" si="1"/>
        <v/>
      </c>
    </row>
    <row r="24" spans="4:23" x14ac:dyDescent="0.25">
      <c r="D24" s="12"/>
      <c r="E24" s="12"/>
      <c r="F24" s="12"/>
      <c r="G24" s="18"/>
      <c r="H24" s="12"/>
      <c r="I24" s="18"/>
      <c r="J24" s="18"/>
      <c r="K24" s="12"/>
      <c r="L24" s="44"/>
      <c r="M24" s="12"/>
      <c r="N24" s="376"/>
      <c r="O24" s="1"/>
      <c r="P24" s="1"/>
      <c r="Q24" s="22"/>
      <c r="R24" s="1"/>
      <c r="S24" s="73"/>
      <c r="T24" s="13"/>
      <c r="V24" s="12" t="str">
        <f t="shared" si="0"/>
        <v/>
      </c>
      <c r="W24" s="12" t="str">
        <f t="shared" si="1"/>
        <v/>
      </c>
    </row>
    <row r="25" spans="4:23" x14ac:dyDescent="0.25">
      <c r="D25" s="12"/>
      <c r="E25" s="12"/>
      <c r="F25" s="12"/>
      <c r="G25" s="18"/>
      <c r="H25" s="12"/>
      <c r="I25" s="18"/>
      <c r="J25" s="18"/>
      <c r="K25" s="12"/>
      <c r="L25" s="44"/>
      <c r="M25" s="12"/>
      <c r="N25" s="376"/>
      <c r="O25" s="1"/>
      <c r="P25" s="1"/>
      <c r="Q25" s="22"/>
      <c r="R25" s="1"/>
      <c r="S25" s="73"/>
      <c r="T25" s="13"/>
      <c r="V25" s="12" t="str">
        <f t="shared" si="0"/>
        <v/>
      </c>
      <c r="W25" s="12" t="str">
        <f t="shared" si="1"/>
        <v/>
      </c>
    </row>
    <row r="26" spans="4:23" x14ac:dyDescent="0.25">
      <c r="D26" s="12"/>
      <c r="E26" s="12"/>
      <c r="F26" s="12"/>
      <c r="G26" s="18"/>
      <c r="H26" s="12"/>
      <c r="I26" s="18"/>
      <c r="J26" s="18"/>
      <c r="K26" s="12"/>
      <c r="L26" s="44"/>
      <c r="M26" s="12"/>
      <c r="N26" s="376"/>
      <c r="O26" s="1"/>
      <c r="P26" s="1"/>
      <c r="Q26" s="22"/>
      <c r="R26" s="1"/>
      <c r="S26" s="73"/>
      <c r="T26" s="13"/>
      <c r="V26" s="12" t="str">
        <f t="shared" si="0"/>
        <v/>
      </c>
      <c r="W26" s="12" t="str">
        <f t="shared" si="1"/>
        <v/>
      </c>
    </row>
    <row r="27" spans="4:23" x14ac:dyDescent="0.25">
      <c r="D27" s="12"/>
      <c r="E27" s="12"/>
      <c r="F27" s="12"/>
      <c r="G27" s="18"/>
      <c r="H27" s="12"/>
      <c r="I27" s="18"/>
      <c r="J27" s="18"/>
      <c r="K27" s="12"/>
      <c r="L27" s="44"/>
      <c r="M27" s="12"/>
      <c r="N27" s="376"/>
      <c r="O27" s="1"/>
      <c r="P27" s="1"/>
      <c r="Q27" s="22"/>
      <c r="R27" s="1"/>
      <c r="S27" s="73"/>
      <c r="T27" s="13"/>
      <c r="V27" s="12" t="str">
        <f t="shared" si="0"/>
        <v/>
      </c>
      <c r="W27" s="12" t="str">
        <f t="shared" si="1"/>
        <v/>
      </c>
    </row>
    <row r="28" spans="4:23" x14ac:dyDescent="0.25">
      <c r="D28" s="12"/>
      <c r="E28" s="12"/>
      <c r="F28" s="12"/>
      <c r="G28" s="18"/>
      <c r="H28" s="12"/>
      <c r="I28" s="18"/>
      <c r="J28" s="18"/>
      <c r="K28" s="12"/>
      <c r="L28" s="44"/>
      <c r="M28" s="12"/>
      <c r="N28" s="376"/>
      <c r="O28" s="1"/>
      <c r="P28" s="1"/>
      <c r="Q28" s="22"/>
      <c r="R28" s="1"/>
      <c r="S28" s="73"/>
      <c r="T28" s="13"/>
      <c r="V28" s="12" t="str">
        <f t="shared" si="0"/>
        <v/>
      </c>
      <c r="W28" s="12" t="str">
        <f t="shared" si="1"/>
        <v/>
      </c>
    </row>
    <row r="29" spans="4:23" x14ac:dyDescent="0.25">
      <c r="D29" s="12"/>
      <c r="E29" s="12"/>
      <c r="F29" s="12"/>
      <c r="G29" s="18"/>
      <c r="H29" s="12"/>
      <c r="I29" s="18"/>
      <c r="J29" s="18"/>
      <c r="K29" s="12"/>
      <c r="L29" s="44"/>
      <c r="M29" s="12"/>
      <c r="N29" s="376"/>
      <c r="O29" s="1"/>
      <c r="P29" s="1"/>
      <c r="Q29" s="22"/>
      <c r="R29" s="1"/>
      <c r="S29" s="73"/>
      <c r="T29" s="13"/>
      <c r="V29" s="12" t="str">
        <f t="shared" si="0"/>
        <v/>
      </c>
      <c r="W29" s="12" t="str">
        <f t="shared" si="1"/>
        <v/>
      </c>
    </row>
    <row r="30" spans="4:23" x14ac:dyDescent="0.25">
      <c r="D30" s="12"/>
      <c r="E30" s="12"/>
      <c r="F30" s="12"/>
      <c r="G30" s="18"/>
      <c r="H30" s="12"/>
      <c r="I30" s="18"/>
      <c r="J30" s="18"/>
      <c r="K30" s="12"/>
      <c r="L30" s="44"/>
      <c r="M30" s="12"/>
      <c r="N30" s="376"/>
      <c r="O30" s="1"/>
      <c r="P30" s="1"/>
      <c r="Q30" s="22"/>
      <c r="R30" s="1"/>
      <c r="S30" s="73"/>
      <c r="T30" s="13"/>
      <c r="V30" s="12" t="str">
        <f t="shared" si="0"/>
        <v/>
      </c>
      <c r="W30" s="12" t="str">
        <f t="shared" si="1"/>
        <v/>
      </c>
    </row>
    <row r="31" spans="4:23" x14ac:dyDescent="0.25">
      <c r="D31" s="12"/>
      <c r="E31" s="12"/>
      <c r="F31" s="12"/>
      <c r="G31" s="18"/>
      <c r="H31" s="12"/>
      <c r="I31" s="18"/>
      <c r="J31" s="18"/>
      <c r="K31" s="12"/>
      <c r="L31" s="44"/>
      <c r="M31" s="12"/>
      <c r="N31" s="376"/>
      <c r="O31" s="1"/>
      <c r="P31" s="1"/>
      <c r="Q31" s="22"/>
      <c r="R31" s="1"/>
      <c r="S31" s="73"/>
      <c r="T31" s="13"/>
      <c r="V31" s="12" t="str">
        <f t="shared" si="0"/>
        <v/>
      </c>
      <c r="W31" s="12" t="str">
        <f t="shared" si="1"/>
        <v/>
      </c>
    </row>
    <row r="32" spans="4:23" x14ac:dyDescent="0.25">
      <c r="D32" s="12"/>
      <c r="E32" s="12"/>
      <c r="F32" s="12"/>
      <c r="G32" s="18"/>
      <c r="H32" s="12"/>
      <c r="I32" s="18"/>
      <c r="J32" s="18"/>
      <c r="K32" s="12"/>
      <c r="L32" s="44"/>
      <c r="M32" s="12"/>
      <c r="N32" s="376"/>
      <c r="O32" s="1"/>
      <c r="P32" s="1"/>
      <c r="Q32" s="22"/>
      <c r="R32" s="1"/>
      <c r="S32" s="73"/>
      <c r="T32" s="13"/>
      <c r="V32" s="12" t="str">
        <f t="shared" si="0"/>
        <v/>
      </c>
      <c r="W32" s="12" t="str">
        <f t="shared" si="1"/>
        <v/>
      </c>
    </row>
    <row r="33" spans="4:23" x14ac:dyDescent="0.25">
      <c r="D33" s="12"/>
      <c r="E33" s="12"/>
      <c r="F33" s="12"/>
      <c r="G33" s="18"/>
      <c r="H33" s="12"/>
      <c r="I33" s="18"/>
      <c r="J33" s="18"/>
      <c r="K33" s="12"/>
      <c r="L33" s="44"/>
      <c r="M33" s="12"/>
      <c r="N33" s="376"/>
      <c r="O33" s="1"/>
      <c r="P33" s="1"/>
      <c r="Q33" s="22"/>
      <c r="R33" s="1"/>
      <c r="S33" s="73"/>
      <c r="T33" s="13"/>
      <c r="V33" s="12" t="str">
        <f t="shared" si="0"/>
        <v/>
      </c>
      <c r="W33" s="12" t="str">
        <f t="shared" si="1"/>
        <v/>
      </c>
    </row>
    <row r="34" spans="4:23" x14ac:dyDescent="0.25">
      <c r="D34" s="12"/>
      <c r="E34" s="12"/>
      <c r="F34" s="12"/>
      <c r="G34" s="18"/>
      <c r="H34" s="12"/>
      <c r="I34" s="18"/>
      <c r="J34" s="18"/>
      <c r="K34" s="12"/>
      <c r="L34" s="44"/>
      <c r="M34" s="12"/>
      <c r="N34" s="376"/>
      <c r="O34" s="1"/>
      <c r="P34" s="1"/>
      <c r="Q34" s="22"/>
      <c r="R34" s="1"/>
      <c r="S34" s="73"/>
      <c r="T34" s="13"/>
      <c r="V34" s="12" t="str">
        <f t="shared" si="0"/>
        <v/>
      </c>
      <c r="W34" s="12" t="str">
        <f t="shared" si="1"/>
        <v/>
      </c>
    </row>
    <row r="35" spans="4:23" x14ac:dyDescent="0.25">
      <c r="D35" s="12"/>
      <c r="E35" s="12"/>
      <c r="F35" s="12"/>
      <c r="G35" s="18"/>
      <c r="H35" s="12"/>
      <c r="I35" s="18"/>
      <c r="J35" s="18"/>
      <c r="K35" s="12"/>
      <c r="L35" s="44"/>
      <c r="M35" s="12"/>
      <c r="N35" s="376"/>
      <c r="O35" s="1"/>
      <c r="P35" s="1"/>
      <c r="Q35" s="22"/>
      <c r="R35" s="1"/>
      <c r="S35" s="73"/>
      <c r="T35" s="13"/>
      <c r="V35" s="12" t="str">
        <f t="shared" si="0"/>
        <v/>
      </c>
      <c r="W35" s="12" t="str">
        <f t="shared" si="1"/>
        <v/>
      </c>
    </row>
    <row r="36" spans="4:23" x14ac:dyDescent="0.25">
      <c r="D36" s="12"/>
      <c r="E36" s="12"/>
      <c r="F36" s="12"/>
      <c r="G36" s="18"/>
      <c r="H36" s="12"/>
      <c r="I36" s="18"/>
      <c r="J36" s="18"/>
      <c r="K36" s="12"/>
      <c r="L36" s="44"/>
      <c r="M36" s="12"/>
      <c r="N36" s="376"/>
      <c r="O36" s="1"/>
      <c r="P36" s="1"/>
      <c r="Q36" s="22"/>
      <c r="R36" s="1"/>
      <c r="S36" s="73"/>
      <c r="T36" s="13"/>
      <c r="V36" s="12" t="str">
        <f t="shared" si="0"/>
        <v/>
      </c>
      <c r="W36" s="12" t="str">
        <f t="shared" si="1"/>
        <v/>
      </c>
    </row>
    <row r="37" spans="4:23" x14ac:dyDescent="0.25">
      <c r="D37" s="12"/>
      <c r="E37" s="12"/>
      <c r="F37" s="12"/>
      <c r="G37" s="18"/>
      <c r="H37" s="12"/>
      <c r="I37" s="18"/>
      <c r="J37" s="18"/>
      <c r="K37" s="12"/>
      <c r="L37" s="44"/>
      <c r="M37" s="12"/>
      <c r="N37" s="376"/>
      <c r="O37" s="1"/>
      <c r="P37" s="1"/>
      <c r="Q37" s="22"/>
      <c r="R37" s="1"/>
      <c r="S37" s="73"/>
      <c r="T37" s="13"/>
      <c r="V37" s="12" t="str">
        <f t="shared" si="0"/>
        <v/>
      </c>
      <c r="W37" s="12" t="str">
        <f t="shared" si="1"/>
        <v/>
      </c>
    </row>
    <row r="38" spans="4:23" x14ac:dyDescent="0.25">
      <c r="D38" s="12"/>
      <c r="E38" s="12"/>
      <c r="F38" s="12"/>
      <c r="G38" s="18"/>
      <c r="H38" s="12"/>
      <c r="I38" s="18"/>
      <c r="J38" s="18"/>
      <c r="K38" s="12"/>
      <c r="L38" s="44"/>
      <c r="M38" s="12"/>
      <c r="N38" s="376"/>
      <c r="O38" s="1"/>
      <c r="P38" s="1"/>
      <c r="Q38" s="22"/>
      <c r="R38" s="1"/>
      <c r="S38" s="73"/>
      <c r="T38" s="13"/>
      <c r="V38" s="12" t="str">
        <f t="shared" si="0"/>
        <v/>
      </c>
      <c r="W38" s="12" t="str">
        <f t="shared" si="1"/>
        <v/>
      </c>
    </row>
    <row r="39" spans="4:23" x14ac:dyDescent="0.25">
      <c r="D39" s="12"/>
      <c r="E39" s="12"/>
      <c r="F39" s="12"/>
      <c r="G39" s="18"/>
      <c r="H39" s="12"/>
      <c r="I39" s="18"/>
      <c r="J39" s="18"/>
      <c r="K39" s="12"/>
      <c r="L39" s="44"/>
      <c r="M39" s="12"/>
      <c r="N39" s="376"/>
      <c r="O39" s="1"/>
      <c r="P39" s="1"/>
      <c r="Q39" s="22"/>
      <c r="R39" s="1"/>
      <c r="S39" s="73"/>
      <c r="T39" s="13"/>
      <c r="V39" s="12" t="str">
        <f t="shared" si="0"/>
        <v/>
      </c>
      <c r="W39" s="12" t="str">
        <f t="shared" si="1"/>
        <v/>
      </c>
    </row>
    <row r="40" spans="4:23" x14ac:dyDescent="0.25">
      <c r="D40" s="12"/>
      <c r="E40" s="12"/>
      <c r="F40" s="12"/>
      <c r="G40" s="18"/>
      <c r="H40" s="12"/>
      <c r="I40" s="18"/>
      <c r="J40" s="18"/>
      <c r="K40" s="12"/>
      <c r="L40" s="44"/>
      <c r="M40" s="12"/>
      <c r="N40" s="376"/>
      <c r="O40" s="1"/>
      <c r="P40" s="1"/>
      <c r="Q40" s="22"/>
      <c r="R40" s="1"/>
      <c r="S40" s="73"/>
      <c r="T40" s="13"/>
      <c r="V40" s="12" t="str">
        <f t="shared" si="0"/>
        <v/>
      </c>
      <c r="W40" s="12" t="str">
        <f t="shared" si="1"/>
        <v/>
      </c>
    </row>
    <row r="41" spans="4:23" x14ac:dyDescent="0.25">
      <c r="D41" s="12"/>
      <c r="E41" s="12"/>
      <c r="F41" s="12"/>
      <c r="G41" s="18"/>
      <c r="H41" s="12"/>
      <c r="I41" s="18"/>
      <c r="J41" s="18"/>
      <c r="K41" s="12"/>
      <c r="L41" s="44"/>
      <c r="M41" s="12"/>
      <c r="N41" s="376"/>
      <c r="O41" s="1"/>
      <c r="P41" s="1"/>
      <c r="Q41" s="22"/>
      <c r="R41" s="1"/>
      <c r="S41" s="73"/>
      <c r="T41" s="13"/>
      <c r="V41" s="12" t="str">
        <f t="shared" si="0"/>
        <v/>
      </c>
      <c r="W41" s="12" t="str">
        <f t="shared" si="1"/>
        <v/>
      </c>
    </row>
    <row r="42" spans="4:23" x14ac:dyDescent="0.25">
      <c r="D42" s="12"/>
      <c r="E42" s="12"/>
      <c r="F42" s="12"/>
      <c r="G42" s="18"/>
      <c r="H42" s="12"/>
      <c r="I42" s="18"/>
      <c r="J42" s="18"/>
      <c r="K42" s="12"/>
      <c r="L42" s="44"/>
      <c r="M42" s="12"/>
      <c r="N42" s="376"/>
      <c r="O42" s="1"/>
      <c r="P42" s="1"/>
      <c r="Q42" s="22"/>
      <c r="R42" s="1"/>
      <c r="S42" s="73"/>
      <c r="T42" s="13"/>
      <c r="V42" s="12" t="str">
        <f t="shared" si="0"/>
        <v/>
      </c>
      <c r="W42" s="12" t="str">
        <f t="shared" si="1"/>
        <v/>
      </c>
    </row>
    <row r="43" spans="4:23" x14ac:dyDescent="0.25">
      <c r="D43" s="12"/>
      <c r="E43" s="12"/>
      <c r="F43" s="12"/>
      <c r="G43" s="18"/>
      <c r="H43" s="12"/>
      <c r="I43" s="18"/>
      <c r="J43" s="18"/>
      <c r="K43" s="12"/>
      <c r="L43" s="44"/>
      <c r="M43" s="12"/>
      <c r="N43" s="376"/>
      <c r="O43" s="1"/>
      <c r="P43" s="1"/>
      <c r="Q43" s="22"/>
      <c r="R43" s="1"/>
      <c r="S43" s="73"/>
      <c r="T43" s="13"/>
      <c r="V43" s="12" t="str">
        <f t="shared" si="0"/>
        <v/>
      </c>
      <c r="W43" s="12" t="str">
        <f t="shared" si="1"/>
        <v/>
      </c>
    </row>
    <row r="44" spans="4:23" x14ac:dyDescent="0.25">
      <c r="D44" s="12"/>
      <c r="E44" s="12"/>
      <c r="F44" s="12"/>
      <c r="G44" s="18"/>
      <c r="H44" s="12"/>
      <c r="I44" s="18"/>
      <c r="J44" s="18"/>
      <c r="K44" s="12"/>
      <c r="L44" s="44"/>
      <c r="M44" s="12"/>
      <c r="N44" s="376"/>
      <c r="O44" s="1"/>
      <c r="P44" s="1"/>
      <c r="Q44" s="22"/>
      <c r="R44" s="1"/>
      <c r="S44" s="73"/>
      <c r="T44" s="13"/>
      <c r="V44" s="12" t="str">
        <f t="shared" si="0"/>
        <v/>
      </c>
      <c r="W44" s="12" t="str">
        <f t="shared" si="1"/>
        <v/>
      </c>
    </row>
    <row r="45" spans="4:23" x14ac:dyDescent="0.25">
      <c r="D45" s="12"/>
      <c r="E45" s="12"/>
      <c r="F45" s="12"/>
      <c r="G45" s="18"/>
      <c r="H45" s="12"/>
      <c r="I45" s="18"/>
      <c r="J45" s="18"/>
      <c r="K45" s="12"/>
      <c r="L45" s="44"/>
      <c r="M45" s="12"/>
      <c r="N45" s="376"/>
      <c r="O45" s="1"/>
      <c r="P45" s="1"/>
      <c r="Q45" s="22"/>
      <c r="R45" s="1"/>
      <c r="S45" s="73"/>
      <c r="T45" s="13"/>
      <c r="V45" s="12" t="str">
        <f t="shared" si="0"/>
        <v/>
      </c>
      <c r="W45" s="12" t="str">
        <f t="shared" si="1"/>
        <v/>
      </c>
    </row>
    <row r="46" spans="4:23" x14ac:dyDescent="0.25">
      <c r="D46" s="12"/>
      <c r="E46" s="12"/>
      <c r="F46" s="12"/>
      <c r="G46" s="18"/>
      <c r="H46" s="12"/>
      <c r="I46" s="18"/>
      <c r="J46" s="18"/>
      <c r="K46" s="12"/>
      <c r="L46" s="44"/>
      <c r="M46" s="12"/>
      <c r="N46" s="376"/>
      <c r="O46" s="1"/>
      <c r="P46" s="1"/>
      <c r="Q46" s="22"/>
      <c r="R46" s="1"/>
      <c r="S46" s="73"/>
      <c r="T46" s="13"/>
      <c r="V46" s="12" t="str">
        <f t="shared" si="0"/>
        <v/>
      </c>
      <c r="W46" s="12" t="str">
        <f t="shared" si="1"/>
        <v/>
      </c>
    </row>
    <row r="47" spans="4:23" x14ac:dyDescent="0.25">
      <c r="D47" s="12"/>
      <c r="E47" s="12"/>
      <c r="F47" s="12"/>
      <c r="G47" s="18"/>
      <c r="H47" s="12"/>
      <c r="I47" s="18"/>
      <c r="J47" s="18"/>
      <c r="K47" s="12"/>
      <c r="L47" s="44"/>
      <c r="M47" s="12"/>
      <c r="N47" s="376"/>
      <c r="O47" s="1"/>
      <c r="P47" s="1"/>
      <c r="Q47" s="22"/>
      <c r="R47" s="1"/>
      <c r="S47" s="73"/>
      <c r="T47" s="13"/>
      <c r="V47" s="12" t="str">
        <f t="shared" si="0"/>
        <v/>
      </c>
      <c r="W47" s="12" t="str">
        <f t="shared" si="1"/>
        <v/>
      </c>
    </row>
    <row r="48" spans="4:23" x14ac:dyDescent="0.25">
      <c r="D48" s="12"/>
      <c r="E48" s="12"/>
      <c r="F48" s="12"/>
      <c r="G48" s="18"/>
      <c r="H48" s="12"/>
      <c r="I48" s="18"/>
      <c r="J48" s="18"/>
      <c r="K48" s="12"/>
      <c r="L48" s="44"/>
      <c r="M48" s="12"/>
      <c r="N48" s="376"/>
      <c r="O48" s="1"/>
      <c r="P48" s="1"/>
      <c r="Q48" s="22"/>
      <c r="R48" s="1"/>
      <c r="S48" s="73"/>
      <c r="T48" s="13"/>
      <c r="V48" s="12" t="str">
        <f t="shared" si="0"/>
        <v/>
      </c>
      <c r="W48" s="12" t="str">
        <f t="shared" si="1"/>
        <v/>
      </c>
    </row>
    <row r="49" spans="3:23" x14ac:dyDescent="0.25">
      <c r="C49" s="50"/>
      <c r="D49" s="12"/>
      <c r="E49" s="12"/>
      <c r="F49" s="12"/>
      <c r="G49" s="18"/>
      <c r="H49" s="12"/>
      <c r="I49" s="18"/>
      <c r="J49" s="18"/>
      <c r="K49" s="12"/>
      <c r="L49" s="44"/>
      <c r="M49" s="12"/>
      <c r="N49" s="376"/>
      <c r="O49" s="1"/>
      <c r="P49" s="1"/>
      <c r="Q49" s="22"/>
      <c r="R49" s="1"/>
      <c r="S49" s="73"/>
      <c r="T49" s="13"/>
      <c r="V49" s="12" t="str">
        <f t="shared" si="0"/>
        <v/>
      </c>
      <c r="W49" s="12" t="str">
        <f t="shared" si="1"/>
        <v/>
      </c>
    </row>
    <row r="50" spans="3:23" x14ac:dyDescent="0.25">
      <c r="D50" s="12"/>
      <c r="E50" s="12"/>
      <c r="F50" s="12"/>
      <c r="G50" s="18"/>
      <c r="H50" s="12"/>
      <c r="I50" s="18"/>
      <c r="J50" s="18"/>
      <c r="K50" s="12"/>
      <c r="L50" s="44"/>
      <c r="M50" s="12"/>
      <c r="N50" s="376"/>
      <c r="O50" s="1"/>
      <c r="P50" s="1"/>
      <c r="Q50" s="22"/>
      <c r="R50" s="1"/>
      <c r="S50" s="73"/>
      <c r="T50" s="13"/>
      <c r="V50" s="12" t="str">
        <f t="shared" si="0"/>
        <v/>
      </c>
      <c r="W50" s="12" t="str">
        <f t="shared" si="1"/>
        <v/>
      </c>
    </row>
    <row r="51" spans="3:23" x14ac:dyDescent="0.25">
      <c r="D51" s="12"/>
      <c r="E51" s="12"/>
      <c r="F51" s="12"/>
      <c r="G51" s="18"/>
      <c r="H51" s="12"/>
      <c r="I51" s="18"/>
      <c r="J51" s="18"/>
      <c r="K51" s="12"/>
      <c r="L51" s="44"/>
      <c r="M51" s="12"/>
      <c r="N51" s="376"/>
      <c r="O51" s="1"/>
      <c r="P51" s="1"/>
      <c r="Q51" s="22"/>
      <c r="R51" s="1"/>
      <c r="S51" s="73"/>
      <c r="T51" s="13"/>
      <c r="V51" s="12" t="str">
        <f t="shared" si="0"/>
        <v/>
      </c>
      <c r="W51" s="12" t="str">
        <f t="shared" si="1"/>
        <v/>
      </c>
    </row>
    <row r="52" spans="3:23" x14ac:dyDescent="0.25">
      <c r="D52" s="12"/>
      <c r="E52" s="12"/>
      <c r="F52" s="12"/>
      <c r="G52" s="18"/>
      <c r="H52" s="12"/>
      <c r="I52" s="18"/>
      <c r="J52" s="18"/>
      <c r="K52" s="12"/>
      <c r="L52" s="44"/>
      <c r="M52" s="12"/>
      <c r="N52" s="376"/>
      <c r="O52" s="1"/>
      <c r="P52" s="1"/>
      <c r="Q52" s="22"/>
      <c r="R52" s="1"/>
      <c r="S52" s="73"/>
      <c r="T52" s="13"/>
      <c r="V52" s="12" t="str">
        <f t="shared" si="0"/>
        <v/>
      </c>
      <c r="W52" s="12" t="str">
        <f t="shared" si="1"/>
        <v/>
      </c>
    </row>
    <row r="53" spans="3:23" x14ac:dyDescent="0.25">
      <c r="D53" s="12"/>
      <c r="E53" s="12"/>
      <c r="F53" s="12"/>
      <c r="G53" s="18"/>
      <c r="H53" s="12"/>
      <c r="I53" s="18"/>
      <c r="J53" s="18"/>
      <c r="K53" s="12"/>
      <c r="L53" s="44"/>
      <c r="M53" s="12"/>
      <c r="N53" s="376"/>
      <c r="O53" s="1"/>
      <c r="P53" s="1"/>
      <c r="Q53" s="22"/>
      <c r="R53" s="1"/>
      <c r="S53" s="73"/>
      <c r="T53" s="13"/>
      <c r="V53" s="12" t="str">
        <f t="shared" si="0"/>
        <v/>
      </c>
      <c r="W53" s="12" t="str">
        <f t="shared" si="1"/>
        <v/>
      </c>
    </row>
    <row r="54" spans="3:23" x14ac:dyDescent="0.25">
      <c r="D54" s="12"/>
      <c r="E54" s="12"/>
      <c r="F54" s="12"/>
      <c r="G54" s="18"/>
      <c r="H54" s="12"/>
      <c r="I54" s="18"/>
      <c r="J54" s="18"/>
      <c r="K54" s="12"/>
      <c r="L54" s="44"/>
      <c r="M54" s="12"/>
      <c r="N54" s="376"/>
      <c r="O54" s="1"/>
      <c r="P54" s="1"/>
      <c r="Q54" s="22"/>
      <c r="R54" s="1"/>
      <c r="S54" s="73"/>
      <c r="T54" s="13"/>
      <c r="V54" s="12" t="str">
        <f t="shared" si="0"/>
        <v/>
      </c>
      <c r="W54" s="12" t="str">
        <f t="shared" si="1"/>
        <v/>
      </c>
    </row>
    <row r="55" spans="3:23" x14ac:dyDescent="0.25">
      <c r="D55" s="12"/>
      <c r="E55" s="12"/>
      <c r="F55" s="12"/>
      <c r="G55" s="18"/>
      <c r="H55" s="12"/>
      <c r="I55" s="18"/>
      <c r="J55" s="18"/>
      <c r="K55" s="12"/>
      <c r="L55" s="44"/>
      <c r="M55" s="12"/>
      <c r="N55" s="376"/>
      <c r="O55" s="1"/>
      <c r="P55" s="1"/>
      <c r="Q55" s="22"/>
      <c r="R55" s="1"/>
      <c r="S55" s="73"/>
      <c r="T55" s="13"/>
      <c r="V55" s="12" t="str">
        <f t="shared" si="0"/>
        <v/>
      </c>
      <c r="W55" s="12" t="str">
        <f t="shared" si="1"/>
        <v/>
      </c>
    </row>
    <row r="56" spans="3:23" x14ac:dyDescent="0.25">
      <c r="D56" s="12"/>
      <c r="E56" s="12"/>
      <c r="F56" s="12"/>
      <c r="G56" s="18"/>
      <c r="H56" s="12"/>
      <c r="I56" s="18"/>
      <c r="J56" s="18"/>
      <c r="K56" s="12"/>
      <c r="L56" s="44"/>
      <c r="M56" s="12"/>
      <c r="N56" s="376"/>
      <c r="O56" s="1"/>
      <c r="P56" s="1"/>
      <c r="Q56" s="22"/>
      <c r="R56" s="1"/>
      <c r="S56" s="73"/>
      <c r="T56" s="13"/>
      <c r="V56" s="12" t="str">
        <f t="shared" si="0"/>
        <v/>
      </c>
      <c r="W56" s="12" t="str">
        <f t="shared" si="1"/>
        <v/>
      </c>
    </row>
    <row r="57" spans="3:23" x14ac:dyDescent="0.25">
      <c r="D57" s="12"/>
      <c r="E57" s="12"/>
      <c r="F57" s="12"/>
      <c r="G57" s="18"/>
      <c r="H57" s="12"/>
      <c r="I57" s="18"/>
      <c r="J57" s="18"/>
      <c r="K57" s="12"/>
      <c r="L57" s="44"/>
      <c r="M57" s="12"/>
      <c r="N57" s="376"/>
      <c r="O57" s="1"/>
      <c r="P57" s="1"/>
      <c r="Q57" s="22"/>
      <c r="R57" s="1"/>
      <c r="S57" s="73"/>
      <c r="T57" s="13"/>
      <c r="V57" s="12" t="str">
        <f t="shared" si="0"/>
        <v/>
      </c>
      <c r="W57" s="12" t="str">
        <f t="shared" si="1"/>
        <v/>
      </c>
    </row>
    <row r="58" spans="3:23" x14ac:dyDescent="0.25">
      <c r="D58" s="12"/>
      <c r="E58" s="12"/>
      <c r="F58" s="12"/>
      <c r="G58" s="18"/>
      <c r="H58" s="12"/>
      <c r="I58" s="18"/>
      <c r="J58" s="18"/>
      <c r="K58" s="12"/>
      <c r="L58" s="44"/>
      <c r="M58" s="12"/>
      <c r="N58" s="376"/>
      <c r="O58" s="1"/>
      <c r="P58" s="1"/>
      <c r="Q58" s="22"/>
      <c r="R58" s="1"/>
      <c r="S58" s="73"/>
      <c r="T58" s="13"/>
      <c r="V58" s="12" t="str">
        <f t="shared" si="0"/>
        <v/>
      </c>
      <c r="W58" s="12" t="str">
        <f t="shared" si="1"/>
        <v/>
      </c>
    </row>
    <row r="59" spans="3:23" x14ac:dyDescent="0.25">
      <c r="D59" s="12"/>
      <c r="E59" s="12"/>
      <c r="F59" s="12"/>
      <c r="G59" s="18"/>
      <c r="H59" s="12"/>
      <c r="I59" s="18"/>
      <c r="J59" s="18"/>
      <c r="K59" s="12"/>
      <c r="L59" s="44"/>
      <c r="M59" s="12"/>
      <c r="N59" s="376"/>
      <c r="O59" s="1"/>
      <c r="P59" s="1"/>
      <c r="Q59" s="22"/>
      <c r="R59" s="1"/>
      <c r="S59" s="73"/>
      <c r="T59" s="13"/>
      <c r="V59" s="12" t="str">
        <f t="shared" si="0"/>
        <v/>
      </c>
      <c r="W59" s="12" t="str">
        <f t="shared" si="1"/>
        <v/>
      </c>
    </row>
    <row r="60" spans="3:23" x14ac:dyDescent="0.25">
      <c r="D60" s="12"/>
      <c r="E60" s="12"/>
      <c r="F60" s="12"/>
      <c r="G60" s="18"/>
      <c r="H60" s="12"/>
      <c r="I60" s="18"/>
      <c r="J60" s="18"/>
      <c r="K60" s="12"/>
      <c r="L60" s="44"/>
      <c r="M60" s="12"/>
      <c r="N60" s="12"/>
      <c r="O60" s="1"/>
      <c r="P60" s="1"/>
      <c r="Q60" s="22"/>
      <c r="R60" s="1"/>
      <c r="S60" s="73"/>
      <c r="T60" s="13"/>
      <c r="V60" s="12" t="str">
        <f t="shared" si="0"/>
        <v/>
      </c>
      <c r="W60" s="12" t="str">
        <f t="shared" si="1"/>
        <v/>
      </c>
    </row>
    <row r="61" spans="3:23" x14ac:dyDescent="0.25">
      <c r="D61" s="12"/>
      <c r="E61" s="12"/>
      <c r="F61" s="12"/>
      <c r="G61" s="18"/>
      <c r="H61" s="12"/>
      <c r="I61" s="18"/>
      <c r="J61" s="18"/>
      <c r="K61" s="12"/>
      <c r="L61" s="44"/>
      <c r="M61" s="12"/>
      <c r="N61" s="12"/>
      <c r="O61" s="1"/>
      <c r="P61" s="1"/>
      <c r="Q61" s="22"/>
      <c r="R61" s="1"/>
      <c r="S61" s="73"/>
      <c r="T61" s="13"/>
      <c r="V61" s="12" t="str">
        <f t="shared" si="0"/>
        <v/>
      </c>
      <c r="W61" s="12" t="str">
        <f t="shared" si="1"/>
        <v/>
      </c>
    </row>
    <row r="62" spans="3:23" x14ac:dyDescent="0.25">
      <c r="D62" s="12"/>
      <c r="E62" s="12"/>
      <c r="F62" s="12"/>
      <c r="G62" s="18"/>
      <c r="H62" s="12"/>
      <c r="I62" s="18"/>
      <c r="J62" s="18"/>
      <c r="K62" s="12"/>
      <c r="L62" s="44"/>
      <c r="M62" s="12"/>
      <c r="N62" s="12"/>
      <c r="O62" s="1"/>
      <c r="P62" s="1"/>
      <c r="Q62" s="22"/>
      <c r="R62" s="1"/>
      <c r="S62" s="73"/>
      <c r="T62" s="13"/>
      <c r="V62" s="12" t="str">
        <f t="shared" si="0"/>
        <v/>
      </c>
      <c r="W62" s="12" t="str">
        <f t="shared" si="1"/>
        <v/>
      </c>
    </row>
    <row r="63" spans="3:23" x14ac:dyDescent="0.25">
      <c r="D63" s="12"/>
      <c r="E63" s="12"/>
      <c r="F63" s="12"/>
      <c r="G63" s="18"/>
      <c r="H63" s="12"/>
      <c r="I63" s="18"/>
      <c r="J63" s="18"/>
      <c r="K63" s="12"/>
      <c r="L63" s="44"/>
      <c r="M63" s="12"/>
      <c r="N63" s="12"/>
      <c r="O63" s="1"/>
      <c r="P63" s="1"/>
      <c r="Q63" s="22"/>
      <c r="R63" s="1"/>
      <c r="S63" s="73"/>
      <c r="T63" s="13"/>
      <c r="V63" s="12" t="str">
        <f t="shared" si="0"/>
        <v/>
      </c>
      <c r="W63" s="12" t="str">
        <f t="shared" si="1"/>
        <v/>
      </c>
    </row>
    <row r="64" spans="3:23" x14ac:dyDescent="0.25">
      <c r="D64" s="12"/>
      <c r="E64" s="12"/>
      <c r="F64" s="12"/>
      <c r="G64" s="18"/>
      <c r="H64" s="12"/>
      <c r="I64" s="18"/>
      <c r="J64" s="18"/>
      <c r="K64" s="12"/>
      <c r="L64" s="44"/>
      <c r="M64" s="12"/>
      <c r="N64" s="12"/>
      <c r="O64" s="1"/>
      <c r="P64" s="1"/>
      <c r="Q64" s="22"/>
      <c r="R64" s="1"/>
      <c r="S64" s="73"/>
      <c r="T64" s="13"/>
      <c r="V64" s="12" t="str">
        <f t="shared" si="0"/>
        <v/>
      </c>
      <c r="W64" s="12" t="str">
        <f t="shared" si="1"/>
        <v/>
      </c>
    </row>
    <row r="65" spans="4:23" x14ac:dyDescent="0.25">
      <c r="D65" s="12"/>
      <c r="E65" s="12"/>
      <c r="F65" s="12"/>
      <c r="G65" s="18"/>
      <c r="H65" s="12"/>
      <c r="I65" s="18"/>
      <c r="J65" s="18"/>
      <c r="K65" s="12"/>
      <c r="L65" s="44"/>
      <c r="M65" s="12"/>
      <c r="N65" s="12"/>
      <c r="O65" s="1"/>
      <c r="P65" s="1"/>
      <c r="Q65" s="22"/>
      <c r="R65" s="1"/>
      <c r="S65" s="73"/>
      <c r="T65" s="13"/>
      <c r="V65" s="12" t="str">
        <f t="shared" si="0"/>
        <v/>
      </c>
      <c r="W65" s="12" t="str">
        <f t="shared" si="1"/>
        <v/>
      </c>
    </row>
    <row r="66" spans="4:23" x14ac:dyDescent="0.25">
      <c r="D66" s="12"/>
      <c r="E66" s="12"/>
      <c r="F66" s="12"/>
      <c r="G66" s="18"/>
      <c r="H66" s="12"/>
      <c r="I66" s="18"/>
      <c r="J66" s="18"/>
      <c r="K66" s="12"/>
      <c r="L66" s="44"/>
      <c r="M66" s="12"/>
      <c r="N66" s="12"/>
      <c r="O66" s="1"/>
      <c r="P66" s="1"/>
      <c r="Q66" s="22"/>
      <c r="R66" s="1"/>
      <c r="S66" s="73"/>
      <c r="T66" s="13"/>
      <c r="V66" s="12" t="str">
        <f t="shared" si="0"/>
        <v/>
      </c>
      <c r="W66" s="12" t="str">
        <f t="shared" si="1"/>
        <v/>
      </c>
    </row>
    <row r="67" spans="4:23" x14ac:dyDescent="0.25">
      <c r="D67" s="12"/>
      <c r="E67" s="12"/>
      <c r="F67" s="12"/>
      <c r="G67" s="18"/>
      <c r="H67" s="12"/>
      <c r="I67" s="18"/>
      <c r="J67" s="18"/>
      <c r="K67" s="12"/>
      <c r="L67" s="44"/>
      <c r="M67" s="12"/>
      <c r="N67" s="12"/>
      <c r="O67" s="1"/>
      <c r="P67" s="1"/>
      <c r="Q67" s="22"/>
      <c r="R67" s="1"/>
      <c r="S67" s="73"/>
      <c r="T67" s="13"/>
      <c r="V67" s="12" t="str">
        <f t="shared" si="0"/>
        <v/>
      </c>
      <c r="W67" s="12" t="str">
        <f t="shared" si="1"/>
        <v/>
      </c>
    </row>
    <row r="68" spans="4:23" x14ac:dyDescent="0.25">
      <c r="D68" s="12"/>
      <c r="E68" s="12"/>
      <c r="F68" s="12"/>
      <c r="G68" s="18"/>
      <c r="H68" s="12"/>
      <c r="I68" s="18"/>
      <c r="J68" s="18"/>
      <c r="K68" s="12"/>
      <c r="L68" s="44"/>
      <c r="M68" s="12"/>
      <c r="N68" s="12"/>
      <c r="O68" s="1"/>
      <c r="P68" s="1"/>
      <c r="Q68" s="22"/>
      <c r="R68" s="1"/>
      <c r="S68" s="73"/>
      <c r="T68" s="13"/>
      <c r="V68" s="12" t="str">
        <f t="shared" si="0"/>
        <v/>
      </c>
      <c r="W68" s="12" t="str">
        <f t="shared" si="1"/>
        <v/>
      </c>
    </row>
    <row r="69" spans="4:23" x14ac:dyDescent="0.25">
      <c r="D69" s="12"/>
      <c r="E69" s="12"/>
      <c r="F69" s="12"/>
      <c r="G69" s="18"/>
      <c r="H69" s="12"/>
      <c r="I69" s="18"/>
      <c r="J69" s="18"/>
      <c r="K69" s="12"/>
      <c r="L69" s="44"/>
      <c r="M69" s="12"/>
      <c r="N69" s="12"/>
      <c r="O69" s="1"/>
      <c r="P69" s="1"/>
      <c r="Q69" s="22"/>
      <c r="R69" s="1"/>
      <c r="S69" s="73"/>
      <c r="T69" s="13"/>
      <c r="V69" s="12" t="str">
        <f t="shared" si="0"/>
        <v/>
      </c>
      <c r="W69" s="12" t="str">
        <f t="shared" si="1"/>
        <v/>
      </c>
    </row>
    <row r="70" spans="4:23" x14ac:dyDescent="0.25">
      <c r="D70" s="12"/>
      <c r="E70" s="12"/>
      <c r="F70" s="12"/>
      <c r="G70" s="18"/>
      <c r="H70" s="12"/>
      <c r="I70" s="18"/>
      <c r="J70" s="18"/>
      <c r="K70" s="12"/>
      <c r="L70" s="44"/>
      <c r="M70" s="12"/>
      <c r="N70" s="12"/>
      <c r="O70" s="1"/>
      <c r="P70" s="1"/>
      <c r="Q70" s="22"/>
      <c r="R70" s="1"/>
      <c r="S70" s="73"/>
      <c r="T70" s="13"/>
      <c r="V70" s="12" t="str">
        <f t="shared" ref="V70:V133" si="2">IF(B70=0,"",IF(B70="-",V69+1,0))</f>
        <v/>
      </c>
      <c r="W70" s="12" t="str">
        <f t="shared" ref="W70:W133" si="3">IF(A70=0,"",ROW())</f>
        <v/>
      </c>
    </row>
    <row r="71" spans="4:23" x14ac:dyDescent="0.25">
      <c r="D71" s="12"/>
      <c r="E71" s="12"/>
      <c r="F71" s="12"/>
      <c r="G71" s="18"/>
      <c r="H71" s="12"/>
      <c r="I71" s="18"/>
      <c r="J71" s="18"/>
      <c r="K71" s="12"/>
      <c r="L71" s="44"/>
      <c r="M71" s="12"/>
      <c r="N71" s="12"/>
      <c r="O71" s="1"/>
      <c r="P71" s="1"/>
      <c r="Q71" s="22"/>
      <c r="R71" s="1"/>
      <c r="S71" s="73"/>
      <c r="T71" s="13"/>
      <c r="V71" s="12" t="str">
        <f t="shared" si="2"/>
        <v/>
      </c>
      <c r="W71" s="12" t="str">
        <f t="shared" si="3"/>
        <v/>
      </c>
    </row>
    <row r="72" spans="4:23" x14ac:dyDescent="0.25">
      <c r="D72" s="12"/>
      <c r="E72" s="12"/>
      <c r="F72" s="12"/>
      <c r="G72" s="18"/>
      <c r="H72" s="12"/>
      <c r="I72" s="18"/>
      <c r="J72" s="18"/>
      <c r="K72" s="12"/>
      <c r="L72" s="44"/>
      <c r="M72" s="12"/>
      <c r="N72" s="12"/>
      <c r="O72" s="1"/>
      <c r="P72" s="1"/>
      <c r="Q72" s="22"/>
      <c r="R72" s="1"/>
      <c r="S72" s="73"/>
      <c r="T72" s="13"/>
      <c r="V72" s="12" t="str">
        <f t="shared" si="2"/>
        <v/>
      </c>
      <c r="W72" s="12" t="str">
        <f t="shared" si="3"/>
        <v/>
      </c>
    </row>
    <row r="73" spans="4:23" x14ac:dyDescent="0.25">
      <c r="D73" s="12"/>
      <c r="E73" s="12"/>
      <c r="F73" s="12"/>
      <c r="G73" s="18"/>
      <c r="H73" s="12"/>
      <c r="I73" s="18"/>
      <c r="J73" s="18"/>
      <c r="K73" s="12"/>
      <c r="L73" s="44"/>
      <c r="M73" s="12"/>
      <c r="N73" s="12"/>
      <c r="O73" s="1"/>
      <c r="P73" s="1"/>
      <c r="Q73" s="22"/>
      <c r="R73" s="1"/>
      <c r="S73" s="73"/>
      <c r="T73" s="13"/>
      <c r="V73" s="12" t="str">
        <f t="shared" si="2"/>
        <v/>
      </c>
      <c r="W73" s="12" t="str">
        <f t="shared" si="3"/>
        <v/>
      </c>
    </row>
    <row r="74" spans="4:23" x14ac:dyDescent="0.25">
      <c r="D74" s="12"/>
      <c r="E74" s="12"/>
      <c r="F74" s="12"/>
      <c r="G74" s="18"/>
      <c r="H74" s="12"/>
      <c r="I74" s="18"/>
      <c r="J74" s="18"/>
      <c r="K74" s="12"/>
      <c r="L74" s="44"/>
      <c r="M74" s="12"/>
      <c r="N74" s="12"/>
      <c r="O74" s="1"/>
      <c r="P74" s="1"/>
      <c r="Q74" s="22"/>
      <c r="R74" s="1"/>
      <c r="S74" s="73"/>
      <c r="T74" s="13"/>
      <c r="V74" s="12" t="str">
        <f t="shared" si="2"/>
        <v/>
      </c>
      <c r="W74" s="12" t="str">
        <f t="shared" si="3"/>
        <v/>
      </c>
    </row>
    <row r="75" spans="4:23" x14ac:dyDescent="0.25">
      <c r="D75" s="12"/>
      <c r="E75" s="12"/>
      <c r="F75" s="12"/>
      <c r="G75" s="18"/>
      <c r="H75" s="12"/>
      <c r="I75" s="18"/>
      <c r="J75" s="18"/>
      <c r="K75" s="12"/>
      <c r="L75" s="44"/>
      <c r="M75" s="12"/>
      <c r="N75" s="12"/>
      <c r="O75" s="1"/>
      <c r="P75" s="1"/>
      <c r="Q75" s="22"/>
      <c r="R75" s="1"/>
      <c r="S75" s="73"/>
      <c r="T75" s="13"/>
      <c r="V75" s="12" t="str">
        <f t="shared" si="2"/>
        <v/>
      </c>
      <c r="W75" s="12" t="str">
        <f t="shared" si="3"/>
        <v/>
      </c>
    </row>
    <row r="76" spans="4:23" x14ac:dyDescent="0.25">
      <c r="D76" s="12"/>
      <c r="E76" s="12"/>
      <c r="F76" s="12"/>
      <c r="G76" s="18"/>
      <c r="H76" s="12"/>
      <c r="I76" s="18"/>
      <c r="J76" s="18"/>
      <c r="K76" s="12"/>
      <c r="L76" s="44"/>
      <c r="M76" s="12"/>
      <c r="N76" s="12"/>
      <c r="O76" s="1"/>
      <c r="P76" s="1"/>
      <c r="Q76" s="22"/>
      <c r="R76" s="1"/>
      <c r="S76" s="73"/>
      <c r="T76" s="13"/>
      <c r="V76" s="12" t="str">
        <f t="shared" si="2"/>
        <v/>
      </c>
      <c r="W76" s="12" t="str">
        <f t="shared" si="3"/>
        <v/>
      </c>
    </row>
    <row r="77" spans="4:23" x14ac:dyDescent="0.25">
      <c r="D77" s="12"/>
      <c r="E77" s="12"/>
      <c r="F77" s="12"/>
      <c r="G77" s="18"/>
      <c r="H77" s="12"/>
      <c r="I77" s="18"/>
      <c r="J77" s="18"/>
      <c r="K77" s="12"/>
      <c r="L77" s="44"/>
      <c r="M77" s="12"/>
      <c r="N77" s="12"/>
      <c r="O77" s="1"/>
      <c r="P77" s="1"/>
      <c r="Q77" s="22"/>
      <c r="R77" s="1"/>
      <c r="S77" s="73"/>
      <c r="T77" s="13"/>
      <c r="V77" s="12" t="str">
        <f t="shared" si="2"/>
        <v/>
      </c>
      <c r="W77" s="12" t="str">
        <f t="shared" si="3"/>
        <v/>
      </c>
    </row>
    <row r="78" spans="4:23" x14ac:dyDescent="0.25">
      <c r="D78" s="12"/>
      <c r="E78" s="12"/>
      <c r="F78" s="12"/>
      <c r="G78" s="18"/>
      <c r="H78" s="12"/>
      <c r="I78" s="18"/>
      <c r="J78" s="18"/>
      <c r="K78" s="12"/>
      <c r="L78" s="44"/>
      <c r="M78" s="12"/>
      <c r="N78" s="12"/>
      <c r="Q78" s="22"/>
      <c r="S78" s="73"/>
      <c r="T78" s="13"/>
      <c r="V78" s="12" t="str">
        <f t="shared" si="2"/>
        <v/>
      </c>
      <c r="W78" s="12" t="str">
        <f t="shared" si="3"/>
        <v/>
      </c>
    </row>
    <row r="79" spans="4:23" x14ac:dyDescent="0.25">
      <c r="D79" s="12"/>
      <c r="E79" s="12"/>
      <c r="F79" s="12"/>
      <c r="G79" s="18"/>
      <c r="H79" s="12"/>
      <c r="I79" s="18"/>
      <c r="J79" s="18"/>
      <c r="K79" s="12"/>
      <c r="L79" s="44"/>
      <c r="M79" s="12"/>
      <c r="N79" s="12"/>
      <c r="Q79" s="22"/>
      <c r="S79" s="73"/>
      <c r="T79" s="13"/>
      <c r="V79" s="12" t="str">
        <f t="shared" si="2"/>
        <v/>
      </c>
      <c r="W79" s="12" t="str">
        <f t="shared" si="3"/>
        <v/>
      </c>
    </row>
    <row r="80" spans="4:23" x14ac:dyDescent="0.25">
      <c r="D80" s="12"/>
      <c r="E80" s="12"/>
      <c r="F80" s="12"/>
      <c r="G80" s="18"/>
      <c r="H80" s="12"/>
      <c r="I80" s="18"/>
      <c r="J80" s="18"/>
      <c r="K80" s="12"/>
      <c r="L80" s="44"/>
      <c r="M80" s="12"/>
      <c r="N80" s="12"/>
      <c r="Q80" s="22"/>
      <c r="S80" s="73"/>
      <c r="T80" s="13"/>
      <c r="V80" s="12" t="str">
        <f t="shared" si="2"/>
        <v/>
      </c>
      <c r="W80" s="12" t="str">
        <f t="shared" si="3"/>
        <v/>
      </c>
    </row>
    <row r="81" spans="4:23" x14ac:dyDescent="0.25">
      <c r="D81" s="12"/>
      <c r="E81" s="12"/>
      <c r="F81" s="12"/>
      <c r="G81" s="18"/>
      <c r="H81" s="12"/>
      <c r="I81" s="18"/>
      <c r="J81" s="18"/>
      <c r="K81" s="12"/>
      <c r="L81" s="44"/>
      <c r="M81" s="12"/>
      <c r="N81" s="12"/>
      <c r="Q81" s="22"/>
      <c r="S81" s="73"/>
      <c r="T81" s="13"/>
      <c r="V81" s="12" t="str">
        <f t="shared" si="2"/>
        <v/>
      </c>
      <c r="W81" s="12" t="str">
        <f t="shared" si="3"/>
        <v/>
      </c>
    </row>
    <row r="82" spans="4:23" x14ac:dyDescent="0.25">
      <c r="D82" s="12"/>
      <c r="E82" s="12"/>
      <c r="F82" s="12"/>
      <c r="G82" s="18"/>
      <c r="H82" s="12"/>
      <c r="I82" s="18"/>
      <c r="J82" s="18"/>
      <c r="K82" s="12"/>
      <c r="L82" s="44"/>
      <c r="M82" s="12"/>
      <c r="N82" s="12"/>
      <c r="Q82" s="22"/>
      <c r="S82" s="73"/>
      <c r="T82" s="13"/>
      <c r="V82" s="12" t="str">
        <f t="shared" si="2"/>
        <v/>
      </c>
      <c r="W82" s="12" t="str">
        <f t="shared" si="3"/>
        <v/>
      </c>
    </row>
    <row r="83" spans="4:23" x14ac:dyDescent="0.25">
      <c r="D83" s="12"/>
      <c r="E83" s="12"/>
      <c r="F83" s="12"/>
      <c r="G83" s="18"/>
      <c r="H83" s="12"/>
      <c r="I83" s="18"/>
      <c r="J83" s="18"/>
      <c r="K83" s="12"/>
      <c r="L83" s="44"/>
      <c r="M83" s="12"/>
      <c r="N83" s="12"/>
      <c r="Q83" s="22"/>
      <c r="S83" s="73"/>
      <c r="T83" s="13"/>
      <c r="V83" s="12" t="str">
        <f t="shared" si="2"/>
        <v/>
      </c>
      <c r="W83" s="12" t="str">
        <f t="shared" si="3"/>
        <v/>
      </c>
    </row>
    <row r="84" spans="4:23" x14ac:dyDescent="0.25">
      <c r="D84" s="12"/>
      <c r="E84" s="12"/>
      <c r="F84" s="12"/>
      <c r="G84" s="18"/>
      <c r="H84" s="12"/>
      <c r="I84" s="18"/>
      <c r="J84" s="18"/>
      <c r="K84" s="12"/>
      <c r="L84" s="44"/>
      <c r="M84" s="12"/>
      <c r="N84" s="12"/>
      <c r="Q84" s="22"/>
      <c r="S84" s="73"/>
      <c r="T84" s="13"/>
      <c r="V84" s="12" t="str">
        <f t="shared" si="2"/>
        <v/>
      </c>
      <c r="W84" s="12" t="str">
        <f t="shared" si="3"/>
        <v/>
      </c>
    </row>
    <row r="85" spans="4:23" x14ac:dyDescent="0.25">
      <c r="D85" s="12"/>
      <c r="E85" s="12"/>
      <c r="F85" s="12"/>
      <c r="G85" s="18"/>
      <c r="H85" s="12"/>
      <c r="I85" s="18"/>
      <c r="J85" s="18"/>
      <c r="K85" s="12"/>
      <c r="L85" s="44"/>
      <c r="M85" s="12"/>
      <c r="N85" s="12"/>
      <c r="Q85" s="22"/>
      <c r="S85" s="73"/>
      <c r="T85" s="13"/>
      <c r="V85" s="12" t="str">
        <f t="shared" si="2"/>
        <v/>
      </c>
      <c r="W85" s="12" t="str">
        <f t="shared" si="3"/>
        <v/>
      </c>
    </row>
    <row r="86" spans="4:23" x14ac:dyDescent="0.25">
      <c r="D86" s="12"/>
      <c r="E86" s="12"/>
      <c r="F86" s="12"/>
      <c r="G86" s="18"/>
      <c r="H86" s="12"/>
      <c r="I86" s="18"/>
      <c r="J86" s="18"/>
      <c r="K86" s="12"/>
      <c r="L86" s="44"/>
      <c r="M86" s="12"/>
      <c r="N86" s="12"/>
      <c r="Q86" s="22"/>
      <c r="S86" s="73"/>
      <c r="T86" s="13"/>
      <c r="V86" s="12" t="str">
        <f t="shared" si="2"/>
        <v/>
      </c>
      <c r="W86" s="12" t="str">
        <f t="shared" si="3"/>
        <v/>
      </c>
    </row>
    <row r="87" spans="4:23" x14ac:dyDescent="0.25">
      <c r="D87" s="12"/>
      <c r="E87" s="12"/>
      <c r="F87" s="12"/>
      <c r="G87" s="18"/>
      <c r="H87" s="12"/>
      <c r="I87" s="18"/>
      <c r="J87" s="18"/>
      <c r="K87" s="12"/>
      <c r="L87" s="44"/>
      <c r="M87" s="12"/>
      <c r="N87" s="12"/>
      <c r="Q87" s="22"/>
      <c r="S87" s="73"/>
      <c r="T87" s="13"/>
      <c r="V87" s="12" t="str">
        <f t="shared" si="2"/>
        <v/>
      </c>
      <c r="W87" s="12" t="str">
        <f t="shared" si="3"/>
        <v/>
      </c>
    </row>
    <row r="88" spans="4:23" x14ac:dyDescent="0.25">
      <c r="D88" s="12"/>
      <c r="E88" s="12"/>
      <c r="F88" s="12"/>
      <c r="G88" s="18"/>
      <c r="H88" s="12"/>
      <c r="I88" s="18"/>
      <c r="J88" s="18"/>
      <c r="K88" s="12"/>
      <c r="L88" s="44"/>
      <c r="M88" s="12"/>
      <c r="N88" s="12"/>
      <c r="Q88" s="22"/>
      <c r="S88" s="73"/>
      <c r="T88" s="13"/>
      <c r="V88" s="12" t="str">
        <f t="shared" si="2"/>
        <v/>
      </c>
      <c r="W88" s="12" t="str">
        <f t="shared" si="3"/>
        <v/>
      </c>
    </row>
    <row r="89" spans="4:23" x14ac:dyDescent="0.25">
      <c r="D89" s="12"/>
      <c r="E89" s="12"/>
      <c r="F89" s="12"/>
      <c r="G89" s="18"/>
      <c r="H89" s="12"/>
      <c r="I89" s="18"/>
      <c r="J89" s="18"/>
      <c r="K89" s="12"/>
      <c r="L89" s="44"/>
      <c r="M89" s="12"/>
      <c r="N89" s="12"/>
      <c r="Q89" s="22"/>
      <c r="S89" s="73"/>
      <c r="T89" s="13"/>
      <c r="V89" s="12" t="str">
        <f t="shared" si="2"/>
        <v/>
      </c>
      <c r="W89" s="12" t="str">
        <f t="shared" si="3"/>
        <v/>
      </c>
    </row>
    <row r="90" spans="4:23" x14ac:dyDescent="0.25">
      <c r="D90" s="12"/>
      <c r="E90" s="12"/>
      <c r="F90" s="12"/>
      <c r="G90" s="18"/>
      <c r="H90" s="12"/>
      <c r="I90" s="18"/>
      <c r="J90" s="18"/>
      <c r="K90" s="12"/>
      <c r="L90" s="44"/>
      <c r="M90" s="12"/>
      <c r="N90" s="12"/>
      <c r="Q90" s="22"/>
      <c r="S90" s="73"/>
      <c r="T90" s="13"/>
      <c r="V90" s="12" t="str">
        <f t="shared" si="2"/>
        <v/>
      </c>
      <c r="W90" s="12" t="str">
        <f t="shared" si="3"/>
        <v/>
      </c>
    </row>
    <row r="91" spans="4:23" x14ac:dyDescent="0.25">
      <c r="D91" s="12"/>
      <c r="E91" s="12"/>
      <c r="F91" s="12"/>
      <c r="G91" s="18"/>
      <c r="H91" s="12"/>
      <c r="I91" s="18"/>
      <c r="J91" s="18"/>
      <c r="K91" s="12"/>
      <c r="L91" s="44"/>
      <c r="M91" s="12"/>
      <c r="N91" s="12"/>
      <c r="Q91" s="22"/>
      <c r="S91" s="73"/>
      <c r="T91" s="13"/>
      <c r="V91" s="12" t="str">
        <f t="shared" si="2"/>
        <v/>
      </c>
      <c r="W91" s="12" t="str">
        <f t="shared" si="3"/>
        <v/>
      </c>
    </row>
    <row r="92" spans="4:23" x14ac:dyDescent="0.25">
      <c r="D92" s="12"/>
      <c r="E92" s="12"/>
      <c r="F92" s="12"/>
      <c r="G92" s="18"/>
      <c r="H92" s="12"/>
      <c r="I92" s="18"/>
      <c r="J92" s="18"/>
      <c r="K92" s="12"/>
      <c r="L92" s="44"/>
      <c r="M92" s="12"/>
      <c r="N92" s="12"/>
      <c r="Q92" s="22"/>
      <c r="S92" s="73"/>
      <c r="T92" s="13"/>
      <c r="V92" s="12" t="str">
        <f t="shared" si="2"/>
        <v/>
      </c>
      <c r="W92" s="12" t="str">
        <f t="shared" si="3"/>
        <v/>
      </c>
    </row>
    <row r="93" spans="4:23" x14ac:dyDescent="0.25">
      <c r="D93" s="12"/>
      <c r="E93" s="12"/>
      <c r="F93" s="12"/>
      <c r="G93" s="18"/>
      <c r="H93" s="12"/>
      <c r="I93" s="18"/>
      <c r="J93" s="18"/>
      <c r="K93" s="12"/>
      <c r="L93" s="44"/>
      <c r="M93" s="12"/>
      <c r="N93" s="12"/>
      <c r="Q93" s="22"/>
      <c r="S93" s="73"/>
      <c r="T93" s="13"/>
      <c r="V93" s="12" t="str">
        <f t="shared" si="2"/>
        <v/>
      </c>
      <c r="W93" s="12" t="str">
        <f t="shared" si="3"/>
        <v/>
      </c>
    </row>
    <row r="94" spans="4:23" x14ac:dyDescent="0.25">
      <c r="D94" s="12"/>
      <c r="E94" s="12"/>
      <c r="F94" s="12"/>
      <c r="G94" s="18"/>
      <c r="H94" s="12"/>
      <c r="I94" s="18"/>
      <c r="J94" s="18"/>
      <c r="K94" s="12"/>
      <c r="L94" s="44"/>
      <c r="M94" s="12"/>
      <c r="N94" s="12"/>
      <c r="Q94" s="22"/>
      <c r="S94" s="73"/>
      <c r="T94" s="13"/>
      <c r="V94" s="12" t="str">
        <f t="shared" si="2"/>
        <v/>
      </c>
      <c r="W94" s="12" t="str">
        <f t="shared" si="3"/>
        <v/>
      </c>
    </row>
    <row r="95" spans="4:23" x14ac:dyDescent="0.25">
      <c r="D95" s="12"/>
      <c r="E95" s="12"/>
      <c r="F95" s="12"/>
      <c r="G95" s="18"/>
      <c r="H95" s="12"/>
      <c r="I95" s="18"/>
      <c r="J95" s="18"/>
      <c r="K95" s="12"/>
      <c r="L95" s="44"/>
      <c r="M95" s="12"/>
      <c r="N95" s="12"/>
      <c r="Q95" s="22"/>
      <c r="S95" s="73"/>
      <c r="T95" s="13"/>
      <c r="V95" s="12" t="str">
        <f t="shared" si="2"/>
        <v/>
      </c>
      <c r="W95" s="12" t="str">
        <f t="shared" si="3"/>
        <v/>
      </c>
    </row>
    <row r="96" spans="4:23" x14ac:dyDescent="0.25">
      <c r="D96" s="12"/>
      <c r="E96" s="12"/>
      <c r="F96" s="12"/>
      <c r="G96" s="18"/>
      <c r="H96" s="12"/>
      <c r="I96" s="18"/>
      <c r="J96" s="18"/>
      <c r="K96" s="12"/>
      <c r="L96" s="44"/>
      <c r="M96" s="12"/>
      <c r="N96" s="12"/>
      <c r="Q96" s="22"/>
      <c r="S96" s="73"/>
      <c r="T96" s="13"/>
      <c r="V96" s="12" t="str">
        <f t="shared" si="2"/>
        <v/>
      </c>
      <c r="W96" s="12" t="str">
        <f t="shared" si="3"/>
        <v/>
      </c>
    </row>
    <row r="97" spans="4:23" x14ac:dyDescent="0.25">
      <c r="D97" s="12"/>
      <c r="E97" s="12"/>
      <c r="F97" s="12"/>
      <c r="G97" s="18"/>
      <c r="H97" s="12"/>
      <c r="I97" s="18"/>
      <c r="J97" s="18"/>
      <c r="K97" s="12"/>
      <c r="L97" s="44"/>
      <c r="M97" s="12"/>
      <c r="N97" s="12"/>
      <c r="Q97" s="22"/>
      <c r="S97" s="73"/>
      <c r="T97" s="13"/>
      <c r="V97" s="12" t="str">
        <f t="shared" si="2"/>
        <v/>
      </c>
      <c r="W97" s="12" t="str">
        <f t="shared" si="3"/>
        <v/>
      </c>
    </row>
    <row r="98" spans="4:23" x14ac:dyDescent="0.25">
      <c r="D98" s="12"/>
      <c r="E98" s="12"/>
      <c r="F98" s="12"/>
      <c r="G98" s="18"/>
      <c r="H98" s="12"/>
      <c r="I98" s="18"/>
      <c r="J98" s="18"/>
      <c r="K98" s="12"/>
      <c r="L98" s="44"/>
      <c r="M98" s="12"/>
      <c r="N98" s="12"/>
      <c r="Q98" s="22"/>
      <c r="S98" s="73"/>
      <c r="T98" s="13"/>
      <c r="V98" s="12" t="str">
        <f t="shared" si="2"/>
        <v/>
      </c>
      <c r="W98" s="12" t="str">
        <f t="shared" si="3"/>
        <v/>
      </c>
    </row>
    <row r="99" spans="4:23" x14ac:dyDescent="0.25">
      <c r="D99" s="12"/>
      <c r="E99" s="12"/>
      <c r="F99" s="12"/>
      <c r="G99" s="18"/>
      <c r="H99" s="12"/>
      <c r="I99" s="18"/>
      <c r="J99" s="18"/>
      <c r="K99" s="12"/>
      <c r="L99" s="44"/>
      <c r="M99" s="12"/>
      <c r="N99" s="12"/>
      <c r="Q99" s="22"/>
      <c r="S99" s="73"/>
      <c r="T99" s="13"/>
      <c r="V99" s="12" t="str">
        <f t="shared" si="2"/>
        <v/>
      </c>
      <c r="W99" s="12" t="str">
        <f t="shared" si="3"/>
        <v/>
      </c>
    </row>
    <row r="100" spans="4:23" x14ac:dyDescent="0.25">
      <c r="D100" s="12"/>
      <c r="E100" s="12"/>
      <c r="F100" s="12"/>
      <c r="G100" s="18"/>
      <c r="H100" s="12"/>
      <c r="I100" s="18"/>
      <c r="J100" s="18"/>
      <c r="K100" s="12"/>
      <c r="L100" s="44"/>
      <c r="M100" s="12"/>
      <c r="N100" s="12"/>
      <c r="Q100" s="22"/>
      <c r="S100" s="73"/>
      <c r="T100" s="13"/>
      <c r="V100" s="12" t="str">
        <f t="shared" si="2"/>
        <v/>
      </c>
      <c r="W100" s="12" t="str">
        <f t="shared" si="3"/>
        <v/>
      </c>
    </row>
    <row r="101" spans="4:23" x14ac:dyDescent="0.25">
      <c r="D101" s="12"/>
      <c r="E101" s="12"/>
      <c r="F101" s="12"/>
      <c r="G101" s="18"/>
      <c r="H101" s="12"/>
      <c r="I101" s="18"/>
      <c r="J101" s="18"/>
      <c r="K101" s="12"/>
      <c r="L101" s="44"/>
      <c r="M101" s="12"/>
      <c r="N101" s="12"/>
      <c r="Q101" s="22"/>
      <c r="S101" s="73"/>
      <c r="T101" s="13"/>
      <c r="V101" s="12" t="str">
        <f t="shared" si="2"/>
        <v/>
      </c>
      <c r="W101" s="12" t="str">
        <f t="shared" si="3"/>
        <v/>
      </c>
    </row>
    <row r="102" spans="4:23" x14ac:dyDescent="0.25">
      <c r="D102" s="12"/>
      <c r="E102" s="12"/>
      <c r="F102" s="12"/>
      <c r="G102" s="18"/>
      <c r="H102" s="12"/>
      <c r="I102" s="18"/>
      <c r="J102" s="18"/>
      <c r="K102" s="12"/>
      <c r="L102" s="44"/>
      <c r="M102" s="12"/>
      <c r="N102" s="12"/>
      <c r="Q102" s="22"/>
      <c r="S102" s="73"/>
      <c r="T102" s="13"/>
      <c r="V102" s="12" t="str">
        <f t="shared" si="2"/>
        <v/>
      </c>
      <c r="W102" s="12" t="str">
        <f t="shared" si="3"/>
        <v/>
      </c>
    </row>
    <row r="103" spans="4:23" x14ac:dyDescent="0.25">
      <c r="D103" s="12"/>
      <c r="E103" s="12"/>
      <c r="F103" s="12"/>
      <c r="G103" s="18"/>
      <c r="H103" s="12"/>
      <c r="I103" s="18"/>
      <c r="J103" s="18"/>
      <c r="K103" s="12"/>
      <c r="L103" s="44"/>
      <c r="M103" s="12"/>
      <c r="N103" s="12"/>
      <c r="Q103" s="22"/>
      <c r="S103" s="73"/>
      <c r="T103" s="13"/>
      <c r="V103" s="12" t="str">
        <f t="shared" si="2"/>
        <v/>
      </c>
      <c r="W103" s="12" t="str">
        <f t="shared" si="3"/>
        <v/>
      </c>
    </row>
    <row r="104" spans="4:23" x14ac:dyDescent="0.25">
      <c r="D104" s="12"/>
      <c r="E104" s="12"/>
      <c r="F104" s="12"/>
      <c r="G104" s="18"/>
      <c r="H104" s="12"/>
      <c r="I104" s="18"/>
      <c r="J104" s="18"/>
      <c r="K104" s="12"/>
      <c r="L104" s="44"/>
      <c r="M104" s="12"/>
      <c r="N104" s="12"/>
      <c r="Q104" s="22"/>
      <c r="S104" s="73"/>
      <c r="T104" s="13"/>
      <c r="V104" s="12" t="str">
        <f t="shared" si="2"/>
        <v/>
      </c>
      <c r="W104" s="12" t="str">
        <f t="shared" si="3"/>
        <v/>
      </c>
    </row>
    <row r="105" spans="4:23" x14ac:dyDescent="0.25">
      <c r="D105" s="12"/>
      <c r="E105" s="12"/>
      <c r="F105" s="12"/>
      <c r="G105" s="18"/>
      <c r="H105" s="12"/>
      <c r="I105" s="18"/>
      <c r="J105" s="18"/>
      <c r="K105" s="12"/>
      <c r="L105" s="44"/>
      <c r="M105" s="12"/>
      <c r="N105" s="12"/>
      <c r="Q105" s="22"/>
      <c r="S105" s="73"/>
      <c r="T105" s="13"/>
      <c r="V105" s="12" t="str">
        <f t="shared" si="2"/>
        <v/>
      </c>
      <c r="W105" s="12" t="str">
        <f t="shared" si="3"/>
        <v/>
      </c>
    </row>
    <row r="106" spans="4:23" x14ac:dyDescent="0.25">
      <c r="D106" s="12"/>
      <c r="E106" s="12"/>
      <c r="F106" s="12"/>
      <c r="G106" s="18"/>
      <c r="H106" s="12"/>
      <c r="I106" s="18"/>
      <c r="J106" s="18"/>
      <c r="K106" s="12"/>
      <c r="L106" s="44"/>
      <c r="M106" s="12"/>
      <c r="N106" s="12"/>
      <c r="Q106" s="22"/>
      <c r="S106" s="73"/>
      <c r="T106" s="13"/>
      <c r="V106" s="12" t="str">
        <f t="shared" si="2"/>
        <v/>
      </c>
      <c r="W106" s="12" t="str">
        <f t="shared" si="3"/>
        <v/>
      </c>
    </row>
    <row r="107" spans="4:23" x14ac:dyDescent="0.25">
      <c r="D107" s="12"/>
      <c r="E107" s="12"/>
      <c r="F107" s="12"/>
      <c r="G107" s="18"/>
      <c r="H107" s="12"/>
      <c r="I107" s="18"/>
      <c r="J107" s="18"/>
      <c r="K107" s="12"/>
      <c r="L107" s="44"/>
      <c r="M107" s="12"/>
      <c r="N107" s="12"/>
      <c r="Q107" s="22"/>
      <c r="S107" s="73"/>
      <c r="T107" s="13"/>
      <c r="V107" s="12" t="str">
        <f t="shared" si="2"/>
        <v/>
      </c>
      <c r="W107" s="12" t="str">
        <f t="shared" si="3"/>
        <v/>
      </c>
    </row>
    <row r="108" spans="4:23" x14ac:dyDescent="0.25">
      <c r="D108" s="12"/>
      <c r="E108" s="12"/>
      <c r="F108" s="12"/>
      <c r="G108" s="18"/>
      <c r="H108" s="12"/>
      <c r="I108" s="18"/>
      <c r="J108" s="18"/>
      <c r="K108" s="12"/>
      <c r="L108" s="44"/>
      <c r="M108" s="12"/>
      <c r="N108" s="12"/>
      <c r="Q108" s="22"/>
      <c r="S108" s="73"/>
      <c r="T108" s="13"/>
      <c r="V108" s="12" t="str">
        <f t="shared" si="2"/>
        <v/>
      </c>
      <c r="W108" s="12" t="str">
        <f t="shared" si="3"/>
        <v/>
      </c>
    </row>
    <row r="109" spans="4:23" x14ac:dyDescent="0.25">
      <c r="D109" s="12"/>
      <c r="E109" s="12"/>
      <c r="F109" s="12"/>
      <c r="G109" s="18"/>
      <c r="H109" s="12"/>
      <c r="I109" s="18"/>
      <c r="J109" s="18"/>
      <c r="K109" s="12"/>
      <c r="L109" s="44"/>
      <c r="M109" s="12"/>
      <c r="N109" s="12"/>
      <c r="Q109" s="22"/>
      <c r="S109" s="73"/>
      <c r="T109" s="13"/>
      <c r="V109" s="12" t="str">
        <f t="shared" si="2"/>
        <v/>
      </c>
      <c r="W109" s="12" t="str">
        <f t="shared" si="3"/>
        <v/>
      </c>
    </row>
    <row r="110" spans="4:23" x14ac:dyDescent="0.25">
      <c r="D110" s="12"/>
      <c r="E110" s="12"/>
      <c r="F110" s="12"/>
      <c r="G110" s="18"/>
      <c r="H110" s="12"/>
      <c r="I110" s="18"/>
      <c r="J110" s="18"/>
      <c r="K110" s="12"/>
      <c r="L110" s="44"/>
      <c r="M110" s="12"/>
      <c r="N110" s="12"/>
      <c r="Q110" s="22"/>
      <c r="S110" s="73"/>
      <c r="T110" s="13"/>
      <c r="V110" s="12" t="str">
        <f t="shared" si="2"/>
        <v/>
      </c>
      <c r="W110" s="12" t="str">
        <f t="shared" si="3"/>
        <v/>
      </c>
    </row>
    <row r="111" spans="4:23" x14ac:dyDescent="0.25">
      <c r="D111" s="12"/>
      <c r="E111" s="12"/>
      <c r="F111" s="12"/>
      <c r="G111" s="18"/>
      <c r="H111" s="12"/>
      <c r="I111" s="18"/>
      <c r="J111" s="18"/>
      <c r="K111" s="12"/>
      <c r="L111" s="44"/>
      <c r="M111" s="12"/>
      <c r="N111" s="12"/>
      <c r="Q111" s="22"/>
      <c r="S111" s="73"/>
      <c r="T111" s="13"/>
      <c r="V111" s="12" t="str">
        <f t="shared" si="2"/>
        <v/>
      </c>
      <c r="W111" s="12" t="str">
        <f t="shared" si="3"/>
        <v/>
      </c>
    </row>
    <row r="112" spans="4:23" x14ac:dyDescent="0.25">
      <c r="D112" s="12"/>
      <c r="E112" s="12"/>
      <c r="F112" s="12"/>
      <c r="G112" s="18"/>
      <c r="H112" s="12"/>
      <c r="I112" s="18"/>
      <c r="J112" s="18"/>
      <c r="K112" s="12"/>
      <c r="L112" s="44"/>
      <c r="M112" s="12"/>
      <c r="N112" s="12"/>
      <c r="Q112" s="22"/>
      <c r="S112" s="73"/>
      <c r="T112" s="13"/>
      <c r="V112" s="12" t="str">
        <f t="shared" si="2"/>
        <v/>
      </c>
      <c r="W112" s="12" t="str">
        <f t="shared" si="3"/>
        <v/>
      </c>
    </row>
    <row r="113" spans="4:23" x14ac:dyDescent="0.25">
      <c r="D113" s="12"/>
      <c r="E113" s="12"/>
      <c r="F113" s="12"/>
      <c r="G113" s="18"/>
      <c r="H113" s="12"/>
      <c r="I113" s="18"/>
      <c r="J113" s="18"/>
      <c r="K113" s="12"/>
      <c r="L113" s="44"/>
      <c r="M113" s="12"/>
      <c r="N113" s="12"/>
      <c r="Q113" s="22"/>
      <c r="S113" s="73"/>
      <c r="T113" s="13"/>
      <c r="V113" s="12" t="str">
        <f t="shared" si="2"/>
        <v/>
      </c>
      <c r="W113" s="12" t="str">
        <f t="shared" si="3"/>
        <v/>
      </c>
    </row>
    <row r="114" spans="4:23" x14ac:dyDescent="0.25">
      <c r="D114" s="12"/>
      <c r="E114" s="12"/>
      <c r="F114" s="12"/>
      <c r="G114" s="18"/>
      <c r="H114" s="12"/>
      <c r="I114" s="18"/>
      <c r="J114" s="18"/>
      <c r="K114" s="12"/>
      <c r="L114" s="44"/>
      <c r="M114" s="12"/>
      <c r="N114" s="12"/>
      <c r="Q114" s="22"/>
      <c r="S114" s="73"/>
      <c r="T114" s="13"/>
      <c r="V114" s="12" t="str">
        <f t="shared" si="2"/>
        <v/>
      </c>
      <c r="W114" s="12" t="str">
        <f t="shared" si="3"/>
        <v/>
      </c>
    </row>
    <row r="115" spans="4:23" x14ac:dyDescent="0.25">
      <c r="D115" s="12"/>
      <c r="E115" s="12"/>
      <c r="F115" s="12"/>
      <c r="G115" s="18"/>
      <c r="H115" s="12"/>
      <c r="I115" s="18"/>
      <c r="J115" s="18"/>
      <c r="K115" s="12"/>
      <c r="L115" s="44"/>
      <c r="M115" s="12"/>
      <c r="N115" s="12"/>
      <c r="Q115" s="22"/>
      <c r="S115" s="73"/>
      <c r="T115" s="13"/>
      <c r="V115" s="12" t="str">
        <f t="shared" si="2"/>
        <v/>
      </c>
      <c r="W115" s="12" t="str">
        <f t="shared" si="3"/>
        <v/>
      </c>
    </row>
    <row r="116" spans="4:23" x14ac:dyDescent="0.25">
      <c r="D116" s="12"/>
      <c r="E116" s="12"/>
      <c r="F116" s="12"/>
      <c r="G116" s="18"/>
      <c r="H116" s="12"/>
      <c r="I116" s="18"/>
      <c r="J116" s="18"/>
      <c r="K116" s="12"/>
      <c r="L116" s="44"/>
      <c r="M116" s="12"/>
      <c r="N116" s="12"/>
      <c r="Q116" s="22"/>
      <c r="S116" s="73"/>
      <c r="T116" s="13"/>
      <c r="V116" s="12" t="str">
        <f t="shared" si="2"/>
        <v/>
      </c>
      <c r="W116" s="12" t="str">
        <f t="shared" si="3"/>
        <v/>
      </c>
    </row>
    <row r="117" spans="4:23" x14ac:dyDescent="0.25">
      <c r="D117" s="12"/>
      <c r="E117" s="12"/>
      <c r="F117" s="12"/>
      <c r="G117" s="18"/>
      <c r="H117" s="12"/>
      <c r="I117" s="18"/>
      <c r="J117" s="18"/>
      <c r="K117" s="12"/>
      <c r="L117" s="44"/>
      <c r="M117" s="12"/>
      <c r="N117" s="12"/>
      <c r="Q117" s="22"/>
      <c r="S117" s="73"/>
      <c r="T117" s="13"/>
      <c r="V117" s="12" t="str">
        <f t="shared" si="2"/>
        <v/>
      </c>
      <c r="W117" s="12" t="str">
        <f t="shared" si="3"/>
        <v/>
      </c>
    </row>
    <row r="118" spans="4:23" x14ac:dyDescent="0.25">
      <c r="D118" s="12"/>
      <c r="E118" s="12"/>
      <c r="F118" s="12"/>
      <c r="G118" s="18"/>
      <c r="H118" s="12"/>
      <c r="I118" s="18"/>
      <c r="J118" s="18"/>
      <c r="K118" s="12"/>
      <c r="L118" s="44"/>
      <c r="M118" s="12"/>
      <c r="N118" s="12"/>
      <c r="Q118" s="22"/>
      <c r="S118" s="73"/>
      <c r="T118" s="13"/>
      <c r="V118" s="12" t="str">
        <f t="shared" si="2"/>
        <v/>
      </c>
      <c r="W118" s="12" t="str">
        <f t="shared" si="3"/>
        <v/>
      </c>
    </row>
    <row r="119" spans="4:23" x14ac:dyDescent="0.25">
      <c r="D119" s="12"/>
      <c r="E119" s="12"/>
      <c r="F119" s="12"/>
      <c r="G119" s="18"/>
      <c r="H119" s="12"/>
      <c r="I119" s="18"/>
      <c r="J119" s="18"/>
      <c r="K119" s="12"/>
      <c r="L119" s="44"/>
      <c r="M119" s="12"/>
      <c r="N119" s="12"/>
      <c r="Q119" s="22"/>
      <c r="S119" s="73"/>
      <c r="T119" s="13"/>
      <c r="V119" s="12" t="str">
        <f t="shared" si="2"/>
        <v/>
      </c>
      <c r="W119" s="12" t="str">
        <f t="shared" si="3"/>
        <v/>
      </c>
    </row>
    <row r="120" spans="4:23" x14ac:dyDescent="0.25">
      <c r="D120" s="12"/>
      <c r="E120" s="12"/>
      <c r="F120" s="12"/>
      <c r="G120" s="18"/>
      <c r="H120" s="12"/>
      <c r="I120" s="18"/>
      <c r="J120" s="18"/>
      <c r="K120" s="12"/>
      <c r="L120" s="44"/>
      <c r="M120" s="12"/>
      <c r="N120" s="12"/>
      <c r="Q120" s="22"/>
      <c r="S120" s="73"/>
      <c r="T120" s="13"/>
      <c r="V120" s="12" t="str">
        <f t="shared" si="2"/>
        <v/>
      </c>
      <c r="W120" s="12" t="str">
        <f t="shared" si="3"/>
        <v/>
      </c>
    </row>
    <row r="121" spans="4:23" x14ac:dyDescent="0.25">
      <c r="D121" s="12"/>
      <c r="E121" s="12"/>
      <c r="F121" s="12"/>
      <c r="G121" s="18"/>
      <c r="H121" s="12"/>
      <c r="I121" s="18"/>
      <c r="J121" s="18"/>
      <c r="K121" s="12"/>
      <c r="L121" s="44"/>
      <c r="M121" s="12"/>
      <c r="N121" s="12"/>
      <c r="Q121" s="22"/>
      <c r="S121" s="73"/>
      <c r="T121" s="13"/>
      <c r="V121" s="12" t="str">
        <f t="shared" si="2"/>
        <v/>
      </c>
      <c r="W121" s="12" t="str">
        <f t="shared" si="3"/>
        <v/>
      </c>
    </row>
    <row r="122" spans="4:23" x14ac:dyDescent="0.25">
      <c r="D122" s="12"/>
      <c r="E122" s="12"/>
      <c r="F122" s="12"/>
      <c r="G122" s="18"/>
      <c r="H122" s="12"/>
      <c r="I122" s="18"/>
      <c r="J122" s="18"/>
      <c r="K122" s="12"/>
      <c r="L122" s="44"/>
      <c r="M122" s="12"/>
      <c r="N122" s="12"/>
      <c r="Q122" s="22"/>
      <c r="S122" s="73"/>
      <c r="T122" s="13"/>
      <c r="V122" s="12" t="str">
        <f t="shared" si="2"/>
        <v/>
      </c>
      <c r="W122" s="12" t="str">
        <f t="shared" si="3"/>
        <v/>
      </c>
    </row>
    <row r="123" spans="4:23" x14ac:dyDescent="0.25">
      <c r="D123" s="12"/>
      <c r="E123" s="12"/>
      <c r="F123" s="12"/>
      <c r="G123" s="18"/>
      <c r="H123" s="12"/>
      <c r="I123" s="18"/>
      <c r="J123" s="18"/>
      <c r="K123" s="12"/>
      <c r="L123" s="44"/>
      <c r="M123" s="12"/>
      <c r="N123" s="12"/>
      <c r="Q123" s="22"/>
      <c r="S123" s="73"/>
      <c r="T123" s="13"/>
      <c r="V123" s="12" t="str">
        <f t="shared" si="2"/>
        <v/>
      </c>
      <c r="W123" s="12" t="str">
        <f t="shared" si="3"/>
        <v/>
      </c>
    </row>
    <row r="124" spans="4:23" x14ac:dyDescent="0.25">
      <c r="D124" s="12"/>
      <c r="E124" s="12"/>
      <c r="F124" s="12"/>
      <c r="G124" s="18"/>
      <c r="H124" s="12"/>
      <c r="I124" s="18"/>
      <c r="J124" s="18"/>
      <c r="K124" s="12"/>
      <c r="L124" s="44"/>
      <c r="M124" s="12"/>
      <c r="N124" s="12"/>
      <c r="Q124" s="22"/>
      <c r="S124" s="73"/>
      <c r="T124" s="13"/>
      <c r="V124" s="12" t="str">
        <f t="shared" si="2"/>
        <v/>
      </c>
      <c r="W124" s="12" t="str">
        <f t="shared" si="3"/>
        <v/>
      </c>
    </row>
    <row r="125" spans="4:23" x14ac:dyDescent="0.25">
      <c r="D125" s="12"/>
      <c r="E125" s="12"/>
      <c r="F125" s="12"/>
      <c r="G125" s="18"/>
      <c r="H125" s="12"/>
      <c r="I125" s="18"/>
      <c r="J125" s="18"/>
      <c r="K125" s="12"/>
      <c r="L125" s="44"/>
      <c r="M125" s="12"/>
      <c r="N125" s="12"/>
      <c r="Q125" s="22"/>
      <c r="S125" s="73"/>
      <c r="T125" s="13"/>
      <c r="V125" s="12" t="str">
        <f t="shared" si="2"/>
        <v/>
      </c>
      <c r="W125" s="12" t="str">
        <f t="shared" si="3"/>
        <v/>
      </c>
    </row>
    <row r="126" spans="4:23" x14ac:dyDescent="0.25">
      <c r="D126" s="12"/>
      <c r="E126" s="12"/>
      <c r="F126" s="12"/>
      <c r="G126" s="18"/>
      <c r="H126" s="12"/>
      <c r="I126" s="18"/>
      <c r="J126" s="18"/>
      <c r="K126" s="12"/>
      <c r="L126" s="44"/>
      <c r="M126" s="12"/>
      <c r="N126" s="12"/>
      <c r="Q126" s="22"/>
      <c r="S126" s="73"/>
      <c r="T126" s="13"/>
      <c r="V126" s="12" t="str">
        <f t="shared" si="2"/>
        <v/>
      </c>
      <c r="W126" s="12" t="str">
        <f t="shared" si="3"/>
        <v/>
      </c>
    </row>
    <row r="127" spans="4:23" x14ac:dyDescent="0.25">
      <c r="D127" s="12"/>
      <c r="E127" s="12"/>
      <c r="F127" s="12"/>
      <c r="G127" s="18"/>
      <c r="H127" s="12"/>
      <c r="I127" s="18"/>
      <c r="J127" s="18"/>
      <c r="K127" s="12"/>
      <c r="L127" s="44"/>
      <c r="M127" s="12"/>
      <c r="N127" s="12"/>
      <c r="Q127" s="22"/>
      <c r="S127" s="73"/>
      <c r="T127" s="13"/>
      <c r="V127" s="12" t="str">
        <f t="shared" si="2"/>
        <v/>
      </c>
      <c r="W127" s="12" t="str">
        <f t="shared" si="3"/>
        <v/>
      </c>
    </row>
    <row r="128" spans="4:23" x14ac:dyDescent="0.25">
      <c r="D128" s="12"/>
      <c r="E128" s="12"/>
      <c r="F128" s="12"/>
      <c r="G128" s="18"/>
      <c r="H128" s="12"/>
      <c r="I128" s="18"/>
      <c r="J128" s="18"/>
      <c r="K128" s="12"/>
      <c r="L128" s="44"/>
      <c r="M128" s="12"/>
      <c r="N128" s="12"/>
      <c r="Q128" s="22"/>
      <c r="S128" s="73"/>
      <c r="T128" s="13"/>
      <c r="V128" s="12" t="str">
        <f t="shared" si="2"/>
        <v/>
      </c>
      <c r="W128" s="12" t="str">
        <f t="shared" si="3"/>
        <v/>
      </c>
    </row>
    <row r="129" spans="4:23" x14ac:dyDescent="0.25">
      <c r="D129" s="12"/>
      <c r="E129" s="12"/>
      <c r="F129" s="12"/>
      <c r="G129" s="18"/>
      <c r="H129" s="12"/>
      <c r="I129" s="18"/>
      <c r="J129" s="18"/>
      <c r="K129" s="12"/>
      <c r="L129" s="44"/>
      <c r="M129" s="12"/>
      <c r="N129" s="12"/>
      <c r="Q129" s="22"/>
      <c r="S129" s="73"/>
      <c r="T129" s="13"/>
      <c r="V129" s="12" t="str">
        <f t="shared" si="2"/>
        <v/>
      </c>
      <c r="W129" s="12" t="str">
        <f t="shared" si="3"/>
        <v/>
      </c>
    </row>
    <row r="130" spans="4:23" x14ac:dyDescent="0.25">
      <c r="D130" s="12"/>
      <c r="E130" s="12"/>
      <c r="F130" s="12"/>
      <c r="G130" s="18"/>
      <c r="H130" s="12"/>
      <c r="I130" s="18"/>
      <c r="J130" s="18"/>
      <c r="K130" s="12"/>
      <c r="L130" s="44"/>
      <c r="M130" s="12"/>
      <c r="N130" s="12"/>
      <c r="Q130" s="22"/>
      <c r="S130" s="73"/>
      <c r="T130" s="13"/>
      <c r="V130" s="12" t="str">
        <f t="shared" si="2"/>
        <v/>
      </c>
      <c r="W130" s="12" t="str">
        <f t="shared" si="3"/>
        <v/>
      </c>
    </row>
    <row r="131" spans="4:23" x14ac:dyDescent="0.25">
      <c r="D131" s="12"/>
      <c r="E131" s="12"/>
      <c r="F131" s="12"/>
      <c r="G131" s="18"/>
      <c r="H131" s="12"/>
      <c r="I131" s="18"/>
      <c r="J131" s="18"/>
      <c r="K131" s="12"/>
      <c r="L131" s="44"/>
      <c r="M131" s="12"/>
      <c r="N131" s="12"/>
      <c r="Q131" s="22"/>
      <c r="S131" s="73"/>
      <c r="T131" s="13"/>
      <c r="V131" s="12" t="str">
        <f t="shared" si="2"/>
        <v/>
      </c>
      <c r="W131" s="12" t="str">
        <f t="shared" si="3"/>
        <v/>
      </c>
    </row>
    <row r="132" spans="4:23" x14ac:dyDescent="0.25">
      <c r="D132" s="12"/>
      <c r="E132" s="12"/>
      <c r="F132" s="12"/>
      <c r="G132" s="18"/>
      <c r="H132" s="12"/>
      <c r="I132" s="18"/>
      <c r="J132" s="18"/>
      <c r="K132" s="12"/>
      <c r="L132" s="44"/>
      <c r="M132" s="12"/>
      <c r="N132" s="12"/>
      <c r="Q132" s="22"/>
      <c r="S132" s="73"/>
      <c r="T132" s="13"/>
      <c r="V132" s="12" t="str">
        <f t="shared" si="2"/>
        <v/>
      </c>
      <c r="W132" s="12" t="str">
        <f t="shared" si="3"/>
        <v/>
      </c>
    </row>
    <row r="133" spans="4:23" x14ac:dyDescent="0.25">
      <c r="D133" s="12"/>
      <c r="E133" s="12"/>
      <c r="F133" s="12"/>
      <c r="G133" s="18"/>
      <c r="H133" s="12"/>
      <c r="I133" s="18"/>
      <c r="J133" s="18"/>
      <c r="K133" s="12"/>
      <c r="L133" s="44"/>
      <c r="M133" s="12"/>
      <c r="N133" s="12"/>
      <c r="Q133" s="22"/>
      <c r="S133" s="73"/>
      <c r="T133" s="13"/>
      <c r="V133" s="12" t="str">
        <f t="shared" si="2"/>
        <v/>
      </c>
      <c r="W133" s="12" t="str">
        <f t="shared" si="3"/>
        <v/>
      </c>
    </row>
    <row r="134" spans="4:23" x14ac:dyDescent="0.25">
      <c r="D134" s="12"/>
      <c r="E134" s="12"/>
      <c r="F134" s="12"/>
      <c r="G134" s="18"/>
      <c r="H134" s="12"/>
      <c r="I134" s="18"/>
      <c r="J134" s="18"/>
      <c r="K134" s="12"/>
      <c r="L134" s="44"/>
      <c r="M134" s="12"/>
      <c r="N134" s="12"/>
      <c r="Q134" s="22"/>
      <c r="S134" s="73"/>
      <c r="T134" s="13"/>
      <c r="V134" s="12" t="str">
        <f t="shared" ref="V134:V179" si="4">IF(B134=0,"",IF(B134="-",V133+1,0))</f>
        <v/>
      </c>
      <c r="W134" s="12" t="str">
        <f t="shared" ref="W134:W163" si="5">IF(A134=0,"",ROW())</f>
        <v/>
      </c>
    </row>
    <row r="135" spans="4:23" x14ac:dyDescent="0.25">
      <c r="D135" s="12"/>
      <c r="E135" s="12"/>
      <c r="F135" s="12"/>
      <c r="G135" s="18"/>
      <c r="H135" s="12"/>
      <c r="I135" s="18"/>
      <c r="J135" s="18"/>
      <c r="K135" s="12"/>
      <c r="L135" s="44"/>
      <c r="M135" s="12"/>
      <c r="N135" s="12"/>
      <c r="Q135" s="22"/>
      <c r="S135" s="73"/>
      <c r="T135" s="13"/>
      <c r="V135" s="12" t="str">
        <f t="shared" si="4"/>
        <v/>
      </c>
      <c r="W135" s="12" t="str">
        <f t="shared" si="5"/>
        <v/>
      </c>
    </row>
    <row r="136" spans="4:23" x14ac:dyDescent="0.25">
      <c r="D136" s="12"/>
      <c r="E136" s="12"/>
      <c r="F136" s="12"/>
      <c r="G136" s="18"/>
      <c r="H136" s="12"/>
      <c r="I136" s="18"/>
      <c r="J136" s="18"/>
      <c r="K136" s="12"/>
      <c r="L136" s="44"/>
      <c r="M136" s="12"/>
      <c r="N136" s="12"/>
      <c r="Q136" s="22"/>
      <c r="S136" s="73"/>
      <c r="T136" s="13"/>
      <c r="V136" s="12" t="str">
        <f t="shared" si="4"/>
        <v/>
      </c>
      <c r="W136" s="12" t="str">
        <f t="shared" si="5"/>
        <v/>
      </c>
    </row>
    <row r="137" spans="4:23" x14ac:dyDescent="0.25">
      <c r="D137" s="12"/>
      <c r="E137" s="12"/>
      <c r="F137" s="12"/>
      <c r="G137" s="18"/>
      <c r="H137" s="12"/>
      <c r="I137" s="18"/>
      <c r="J137" s="18"/>
      <c r="K137" s="12"/>
      <c r="L137" s="44"/>
      <c r="M137" s="12"/>
      <c r="N137" s="12"/>
      <c r="Q137" s="22"/>
      <c r="S137" s="73"/>
      <c r="T137" s="13"/>
      <c r="V137" s="12" t="str">
        <f t="shared" si="4"/>
        <v/>
      </c>
      <c r="W137" s="12" t="str">
        <f t="shared" si="5"/>
        <v/>
      </c>
    </row>
    <row r="138" spans="4:23" x14ac:dyDescent="0.25">
      <c r="D138" s="12"/>
      <c r="E138" s="12"/>
      <c r="F138" s="12"/>
      <c r="G138" s="18"/>
      <c r="H138" s="12"/>
      <c r="I138" s="18"/>
      <c r="J138" s="18"/>
      <c r="K138" s="12"/>
      <c r="L138" s="44"/>
      <c r="M138" s="12"/>
      <c r="N138" s="12"/>
      <c r="Q138" s="22"/>
      <c r="S138" s="73"/>
      <c r="T138" s="13"/>
      <c r="V138" s="12" t="str">
        <f t="shared" si="4"/>
        <v/>
      </c>
      <c r="W138" s="12" t="str">
        <f t="shared" si="5"/>
        <v/>
      </c>
    </row>
    <row r="139" spans="4:23" x14ac:dyDescent="0.25">
      <c r="D139" s="12"/>
      <c r="E139" s="12"/>
      <c r="F139" s="12"/>
      <c r="G139" s="18"/>
      <c r="H139" s="12"/>
      <c r="I139" s="18"/>
      <c r="J139" s="18"/>
      <c r="K139" s="12"/>
      <c r="L139" s="44"/>
      <c r="M139" s="12"/>
      <c r="N139" s="12"/>
      <c r="Q139" s="22"/>
      <c r="S139" s="73"/>
      <c r="T139" s="13"/>
      <c r="V139" s="12" t="str">
        <f t="shared" si="4"/>
        <v/>
      </c>
      <c r="W139" s="12" t="str">
        <f t="shared" si="5"/>
        <v/>
      </c>
    </row>
    <row r="140" spans="4:23" x14ac:dyDescent="0.25">
      <c r="D140" s="12"/>
      <c r="E140" s="12"/>
      <c r="F140" s="12"/>
      <c r="G140" s="18"/>
      <c r="H140" s="12"/>
      <c r="I140" s="18"/>
      <c r="J140" s="18"/>
      <c r="K140" s="12"/>
      <c r="L140" s="12"/>
      <c r="M140" s="12"/>
      <c r="N140" s="12"/>
      <c r="Q140" s="22"/>
      <c r="S140" s="73"/>
      <c r="T140" s="13"/>
      <c r="V140" s="12" t="str">
        <f t="shared" si="4"/>
        <v/>
      </c>
      <c r="W140" s="12" t="str">
        <f t="shared" si="5"/>
        <v/>
      </c>
    </row>
    <row r="141" spans="4:23" x14ac:dyDescent="0.25">
      <c r="D141" s="12"/>
      <c r="E141" s="12"/>
      <c r="F141" s="12"/>
      <c r="G141" s="18"/>
      <c r="H141" s="12"/>
      <c r="I141" s="18"/>
      <c r="J141" s="18"/>
      <c r="K141" s="12"/>
      <c r="L141" s="12"/>
      <c r="M141" s="12"/>
      <c r="N141" s="12"/>
      <c r="Q141" s="22"/>
      <c r="S141" s="73"/>
      <c r="T141" s="13"/>
      <c r="V141" s="12" t="str">
        <f t="shared" si="4"/>
        <v/>
      </c>
      <c r="W141" s="12" t="str">
        <f t="shared" si="5"/>
        <v/>
      </c>
    </row>
    <row r="142" spans="4:23" x14ac:dyDescent="0.25">
      <c r="D142" s="12"/>
      <c r="E142" s="12"/>
      <c r="F142" s="12"/>
      <c r="G142" s="18"/>
      <c r="H142" s="12"/>
      <c r="I142" s="18"/>
      <c r="J142" s="18"/>
      <c r="K142" s="12"/>
      <c r="L142" s="12"/>
      <c r="M142" s="12"/>
      <c r="N142" s="12"/>
      <c r="Q142" s="22"/>
      <c r="S142" s="73"/>
      <c r="T142" s="13"/>
      <c r="V142" s="12" t="str">
        <f t="shared" si="4"/>
        <v/>
      </c>
      <c r="W142" s="12" t="str">
        <f t="shared" si="5"/>
        <v/>
      </c>
    </row>
    <row r="143" spans="4:23" x14ac:dyDescent="0.25">
      <c r="D143" s="12"/>
      <c r="E143" s="12"/>
      <c r="F143" s="12"/>
      <c r="G143" s="18"/>
      <c r="H143" s="12"/>
      <c r="I143" s="18"/>
      <c r="J143" s="18"/>
      <c r="K143" s="12"/>
      <c r="L143" s="12"/>
      <c r="M143" s="12"/>
      <c r="N143" s="12"/>
      <c r="Q143" s="22"/>
      <c r="S143" s="73"/>
      <c r="T143" s="13"/>
      <c r="V143" s="12" t="str">
        <f t="shared" si="4"/>
        <v/>
      </c>
      <c r="W143" s="12" t="str">
        <f t="shared" si="5"/>
        <v/>
      </c>
    </row>
    <row r="144" spans="4:23" x14ac:dyDescent="0.25">
      <c r="D144" s="12"/>
      <c r="E144" s="12"/>
      <c r="F144" s="12"/>
      <c r="G144" s="18"/>
      <c r="H144" s="12"/>
      <c r="I144" s="18"/>
      <c r="J144" s="18"/>
      <c r="K144" s="12"/>
      <c r="L144" s="12"/>
      <c r="M144" s="12"/>
      <c r="N144" s="12"/>
      <c r="Q144" s="22"/>
      <c r="S144" s="73"/>
      <c r="T144" s="13"/>
      <c r="V144" s="12" t="str">
        <f t="shared" si="4"/>
        <v/>
      </c>
      <c r="W144" s="12" t="str">
        <f t="shared" si="5"/>
        <v/>
      </c>
    </row>
    <row r="145" spans="4:23" x14ac:dyDescent="0.25">
      <c r="D145" s="12"/>
      <c r="E145" s="12"/>
      <c r="F145" s="12"/>
      <c r="G145" s="18"/>
      <c r="H145" s="12"/>
      <c r="I145" s="18"/>
      <c r="J145" s="18"/>
      <c r="K145" s="12"/>
      <c r="L145" s="12"/>
      <c r="M145" s="12"/>
      <c r="N145" s="12"/>
      <c r="Q145" s="22"/>
      <c r="S145" s="73"/>
      <c r="T145" s="13"/>
      <c r="V145" s="12" t="str">
        <f t="shared" si="4"/>
        <v/>
      </c>
      <c r="W145" s="12" t="str">
        <f t="shared" si="5"/>
        <v/>
      </c>
    </row>
    <row r="146" spans="4:23" x14ac:dyDescent="0.25">
      <c r="D146" s="12"/>
      <c r="E146" s="12"/>
      <c r="F146" s="12"/>
      <c r="G146" s="18"/>
      <c r="H146" s="12"/>
      <c r="I146" s="18"/>
      <c r="J146" s="18"/>
      <c r="K146" s="12"/>
      <c r="L146" s="12"/>
      <c r="M146" s="12"/>
      <c r="N146" s="12"/>
      <c r="Q146" s="22"/>
      <c r="S146" s="73"/>
      <c r="T146" s="13"/>
      <c r="V146" s="12" t="str">
        <f t="shared" si="4"/>
        <v/>
      </c>
      <c r="W146" s="12" t="str">
        <f t="shared" si="5"/>
        <v/>
      </c>
    </row>
    <row r="147" spans="4:23" x14ac:dyDescent="0.25">
      <c r="D147" s="12"/>
      <c r="E147" s="12"/>
      <c r="F147" s="12"/>
      <c r="G147" s="18"/>
      <c r="H147" s="12"/>
      <c r="I147" s="18"/>
      <c r="J147" s="18"/>
      <c r="K147" s="12"/>
      <c r="L147" s="12"/>
      <c r="M147" s="12"/>
      <c r="N147" s="12"/>
      <c r="Q147" s="22"/>
      <c r="S147" s="73"/>
      <c r="T147" s="13"/>
      <c r="V147" s="12" t="str">
        <f t="shared" si="4"/>
        <v/>
      </c>
      <c r="W147" s="12" t="str">
        <f t="shared" si="5"/>
        <v/>
      </c>
    </row>
    <row r="148" spans="4:23" x14ac:dyDescent="0.25">
      <c r="D148" s="12"/>
      <c r="E148" s="12"/>
      <c r="F148" s="12"/>
      <c r="G148" s="18"/>
      <c r="H148" s="12"/>
      <c r="I148" s="18"/>
      <c r="J148" s="18"/>
      <c r="K148" s="12"/>
      <c r="L148" s="12"/>
      <c r="M148" s="12"/>
      <c r="N148" s="12"/>
      <c r="Q148" s="22"/>
      <c r="S148" s="73"/>
      <c r="T148" s="13"/>
      <c r="V148" s="12" t="str">
        <f t="shared" si="4"/>
        <v/>
      </c>
      <c r="W148" s="12" t="str">
        <f t="shared" si="5"/>
        <v/>
      </c>
    </row>
    <row r="149" spans="4:23" x14ac:dyDescent="0.25">
      <c r="D149" s="12"/>
      <c r="E149" s="12"/>
      <c r="F149" s="12"/>
      <c r="G149" s="18"/>
      <c r="H149" s="12"/>
      <c r="I149" s="18"/>
      <c r="J149" s="18"/>
      <c r="K149" s="12"/>
      <c r="L149" s="12"/>
      <c r="M149" s="12"/>
      <c r="N149" s="12"/>
      <c r="Q149" s="22"/>
      <c r="S149" s="73"/>
      <c r="T149" s="13"/>
      <c r="V149" s="12" t="str">
        <f t="shared" si="4"/>
        <v/>
      </c>
      <c r="W149" s="12" t="str">
        <f t="shared" si="5"/>
        <v/>
      </c>
    </row>
    <row r="150" spans="4:23" x14ac:dyDescent="0.25">
      <c r="D150" s="12"/>
      <c r="E150" s="12"/>
      <c r="F150" s="12"/>
      <c r="G150" s="18"/>
      <c r="H150" s="12"/>
      <c r="I150" s="18"/>
      <c r="J150" s="18"/>
      <c r="K150" s="12"/>
      <c r="L150" s="12"/>
      <c r="M150" s="12"/>
      <c r="N150" s="12"/>
      <c r="Q150" s="22"/>
      <c r="S150" s="73"/>
      <c r="T150" s="13"/>
      <c r="V150" s="12" t="str">
        <f t="shared" si="4"/>
        <v/>
      </c>
      <c r="W150" s="12" t="str">
        <f t="shared" si="5"/>
        <v/>
      </c>
    </row>
    <row r="151" spans="4:23" x14ac:dyDescent="0.25">
      <c r="D151" s="12"/>
      <c r="E151" s="12"/>
      <c r="F151" s="12"/>
      <c r="G151" s="18"/>
      <c r="H151" s="12"/>
      <c r="I151" s="18"/>
      <c r="J151" s="18"/>
      <c r="K151" s="12"/>
      <c r="L151" s="12"/>
      <c r="M151" s="12"/>
      <c r="N151" s="12"/>
      <c r="Q151" s="22"/>
      <c r="S151" s="73"/>
      <c r="T151" s="13"/>
      <c r="V151" s="12" t="str">
        <f t="shared" si="4"/>
        <v/>
      </c>
      <c r="W151" s="12" t="str">
        <f t="shared" si="5"/>
        <v/>
      </c>
    </row>
    <row r="152" spans="4:23" x14ac:dyDescent="0.25">
      <c r="D152" s="12"/>
      <c r="E152" s="12"/>
      <c r="F152" s="12"/>
      <c r="G152" s="18"/>
      <c r="H152" s="12"/>
      <c r="I152" s="18"/>
      <c r="J152" s="18"/>
      <c r="K152" s="12"/>
      <c r="L152" s="12"/>
      <c r="M152" s="12"/>
      <c r="N152" s="12"/>
      <c r="Q152" s="22"/>
      <c r="S152" s="73"/>
      <c r="T152" s="13"/>
      <c r="V152" s="12" t="str">
        <f t="shared" si="4"/>
        <v/>
      </c>
      <c r="W152" s="12" t="str">
        <f t="shared" si="5"/>
        <v/>
      </c>
    </row>
    <row r="153" spans="4:23" x14ac:dyDescent="0.25">
      <c r="D153" s="12"/>
      <c r="E153" s="12"/>
      <c r="F153" s="12"/>
      <c r="G153" s="18"/>
      <c r="H153" s="12"/>
      <c r="I153" s="18"/>
      <c r="J153" s="18"/>
      <c r="K153" s="12"/>
      <c r="L153" s="12"/>
      <c r="M153" s="12"/>
      <c r="N153" s="12"/>
      <c r="Q153" s="22"/>
      <c r="S153" s="73"/>
      <c r="T153" s="13"/>
      <c r="V153" s="12" t="str">
        <f t="shared" si="4"/>
        <v/>
      </c>
      <c r="W153" s="12" t="str">
        <f t="shared" si="5"/>
        <v/>
      </c>
    </row>
    <row r="154" spans="4:23" x14ac:dyDescent="0.25">
      <c r="D154" s="12"/>
      <c r="E154" s="12"/>
      <c r="F154" s="12"/>
      <c r="G154" s="18"/>
      <c r="H154" s="12"/>
      <c r="I154" s="18"/>
      <c r="J154" s="18"/>
      <c r="K154" s="12"/>
      <c r="L154" s="12"/>
      <c r="M154" s="12"/>
      <c r="N154" s="12"/>
      <c r="Q154" s="22"/>
      <c r="S154" s="73"/>
      <c r="T154" s="13"/>
      <c r="V154" s="12" t="str">
        <f t="shared" si="4"/>
        <v/>
      </c>
      <c r="W154" s="12" t="str">
        <f t="shared" si="5"/>
        <v/>
      </c>
    </row>
    <row r="155" spans="4:23" x14ac:dyDescent="0.25">
      <c r="D155" s="12"/>
      <c r="E155" s="12"/>
      <c r="F155" s="12"/>
      <c r="G155" s="18"/>
      <c r="H155" s="12"/>
      <c r="I155" s="18"/>
      <c r="J155" s="18"/>
      <c r="K155" s="12"/>
      <c r="L155" s="12"/>
      <c r="M155" s="12"/>
      <c r="N155" s="12"/>
      <c r="Q155" s="22"/>
      <c r="S155" s="73"/>
      <c r="T155" s="13"/>
      <c r="V155" s="12" t="str">
        <f t="shared" si="4"/>
        <v/>
      </c>
      <c r="W155" s="12" t="str">
        <f t="shared" si="5"/>
        <v/>
      </c>
    </row>
    <row r="156" spans="4:23" x14ac:dyDescent="0.25">
      <c r="D156" s="12"/>
      <c r="E156" s="12"/>
      <c r="F156" s="12"/>
      <c r="G156" s="18"/>
      <c r="H156" s="12"/>
      <c r="I156" s="18"/>
      <c r="J156" s="18"/>
      <c r="K156" s="12"/>
      <c r="L156" s="12"/>
      <c r="M156" s="12"/>
      <c r="N156" s="12"/>
      <c r="Q156" s="22"/>
      <c r="S156" s="73"/>
      <c r="T156" s="13"/>
      <c r="V156" s="12" t="str">
        <f t="shared" si="4"/>
        <v/>
      </c>
      <c r="W156" s="12" t="str">
        <f t="shared" si="5"/>
        <v/>
      </c>
    </row>
    <row r="157" spans="4:23" x14ac:dyDescent="0.25">
      <c r="D157" s="12"/>
      <c r="E157" s="12"/>
      <c r="F157" s="12"/>
      <c r="G157" s="18"/>
      <c r="H157" s="12"/>
      <c r="I157" s="18"/>
      <c r="J157" s="18"/>
      <c r="K157" s="12"/>
      <c r="L157" s="12"/>
      <c r="M157" s="12"/>
      <c r="N157" s="12"/>
      <c r="Q157" s="22"/>
      <c r="S157" s="73"/>
      <c r="T157" s="13"/>
      <c r="V157" s="12" t="str">
        <f t="shared" si="4"/>
        <v/>
      </c>
      <c r="W157" s="12" t="str">
        <f t="shared" si="5"/>
        <v/>
      </c>
    </row>
    <row r="158" spans="4:23" x14ac:dyDescent="0.25">
      <c r="D158" s="12"/>
      <c r="E158" s="12"/>
      <c r="F158" s="12"/>
      <c r="G158" s="18"/>
      <c r="H158" s="12"/>
      <c r="I158" s="18"/>
      <c r="J158" s="18"/>
      <c r="K158" s="12"/>
      <c r="L158" s="12"/>
      <c r="M158" s="12"/>
      <c r="N158" s="12"/>
      <c r="Q158" s="22"/>
      <c r="S158" s="73"/>
      <c r="T158" s="13"/>
      <c r="V158" s="12" t="str">
        <f t="shared" si="4"/>
        <v/>
      </c>
      <c r="W158" s="12" t="str">
        <f t="shared" si="5"/>
        <v/>
      </c>
    </row>
    <row r="159" spans="4:23" x14ac:dyDescent="0.25">
      <c r="D159" s="12"/>
      <c r="E159" s="12"/>
      <c r="F159" s="12"/>
      <c r="G159" s="18"/>
      <c r="H159" s="12"/>
      <c r="I159" s="18"/>
      <c r="J159" s="18"/>
      <c r="K159" s="12"/>
      <c r="L159" s="12"/>
      <c r="M159" s="12"/>
      <c r="N159" s="12"/>
      <c r="Q159" s="22"/>
      <c r="S159" s="73"/>
      <c r="T159" s="13"/>
      <c r="V159" s="12" t="str">
        <f t="shared" si="4"/>
        <v/>
      </c>
      <c r="W159" s="12" t="str">
        <f t="shared" si="5"/>
        <v/>
      </c>
    </row>
    <row r="160" spans="4:23" x14ac:dyDescent="0.25">
      <c r="D160" s="12"/>
      <c r="E160" s="12"/>
      <c r="F160" s="12"/>
      <c r="G160" s="18"/>
      <c r="H160" s="12"/>
      <c r="I160" s="18"/>
      <c r="J160" s="18"/>
      <c r="K160" s="12"/>
      <c r="L160" s="12"/>
      <c r="M160" s="12"/>
      <c r="N160" s="12"/>
      <c r="Q160" s="22"/>
      <c r="S160" s="73"/>
      <c r="T160" s="13"/>
      <c r="V160" s="12" t="str">
        <f t="shared" si="4"/>
        <v/>
      </c>
      <c r="W160" s="12" t="str">
        <f t="shared" si="5"/>
        <v/>
      </c>
    </row>
    <row r="161" spans="4:23" x14ac:dyDescent="0.25">
      <c r="D161" s="12"/>
      <c r="E161" s="12"/>
      <c r="F161" s="12"/>
      <c r="G161" s="18"/>
      <c r="H161" s="12"/>
      <c r="I161" s="18"/>
      <c r="J161" s="18"/>
      <c r="K161" s="12"/>
      <c r="L161" s="12"/>
      <c r="M161" s="12"/>
      <c r="N161" s="12"/>
      <c r="Q161" s="22"/>
      <c r="S161" s="73"/>
      <c r="T161" s="13"/>
      <c r="V161" s="12" t="str">
        <f t="shared" si="4"/>
        <v/>
      </c>
      <c r="W161" s="12" t="str">
        <f t="shared" si="5"/>
        <v/>
      </c>
    </row>
    <row r="162" spans="4:23" x14ac:dyDescent="0.25">
      <c r="D162" s="12"/>
      <c r="E162" s="12"/>
      <c r="F162" s="12"/>
      <c r="G162" s="18"/>
      <c r="H162" s="12"/>
      <c r="I162" s="18"/>
      <c r="J162" s="18"/>
      <c r="K162" s="12"/>
      <c r="L162" s="12"/>
      <c r="M162" s="12"/>
      <c r="N162" s="12"/>
      <c r="Q162" s="22"/>
      <c r="S162" s="73"/>
      <c r="T162" s="13"/>
      <c r="V162" s="12" t="str">
        <f t="shared" si="4"/>
        <v/>
      </c>
      <c r="W162" s="12" t="str">
        <f t="shared" si="5"/>
        <v/>
      </c>
    </row>
    <row r="163" spans="4:23" x14ac:dyDescent="0.25">
      <c r="D163" s="12"/>
      <c r="E163" s="12"/>
      <c r="F163" s="12"/>
      <c r="G163" s="18"/>
      <c r="H163" s="12"/>
      <c r="I163" s="18"/>
      <c r="J163" s="18"/>
      <c r="K163" s="12"/>
      <c r="L163" s="12"/>
      <c r="M163" s="12"/>
      <c r="N163" s="12"/>
      <c r="Q163" s="22"/>
      <c r="S163" s="73"/>
      <c r="T163" s="13"/>
      <c r="V163" s="12" t="str">
        <f t="shared" si="4"/>
        <v/>
      </c>
      <c r="W163" s="12" t="str">
        <f t="shared" si="5"/>
        <v/>
      </c>
    </row>
    <row r="164" spans="4:23" x14ac:dyDescent="0.25">
      <c r="D164" s="12"/>
      <c r="E164" s="12"/>
      <c r="F164" s="12"/>
      <c r="G164" s="18"/>
      <c r="H164" s="12"/>
      <c r="I164" s="18"/>
      <c r="J164" s="18"/>
      <c r="K164" s="12"/>
      <c r="L164" s="12"/>
      <c r="M164" s="12"/>
      <c r="N164" s="12"/>
      <c r="Q164" s="22"/>
      <c r="S164" s="73"/>
      <c r="T164" s="13"/>
      <c r="V164" s="12" t="str">
        <f t="shared" si="4"/>
        <v/>
      </c>
      <c r="W164" s="12" t="str">
        <f t="shared" ref="W164:W198" si="6">IF(A164=0,"",ROW())</f>
        <v/>
      </c>
    </row>
    <row r="165" spans="4:23" x14ac:dyDescent="0.25">
      <c r="D165" s="12"/>
      <c r="E165" s="12"/>
      <c r="F165" s="12"/>
      <c r="G165" s="18"/>
      <c r="H165" s="12"/>
      <c r="I165" s="18"/>
      <c r="J165" s="18"/>
      <c r="K165" s="12"/>
      <c r="L165" s="12"/>
      <c r="M165" s="12"/>
      <c r="N165" s="12"/>
      <c r="Q165" s="22"/>
      <c r="S165" s="73"/>
      <c r="T165" s="13"/>
      <c r="V165" s="12" t="str">
        <f t="shared" si="4"/>
        <v/>
      </c>
      <c r="W165" s="12" t="str">
        <f t="shared" si="6"/>
        <v/>
      </c>
    </row>
    <row r="166" spans="4:23" x14ac:dyDescent="0.25">
      <c r="D166" s="12"/>
      <c r="E166" s="12"/>
      <c r="F166" s="12"/>
      <c r="G166" s="18"/>
      <c r="H166" s="12"/>
      <c r="I166" s="18"/>
      <c r="J166" s="18"/>
      <c r="K166" s="12"/>
      <c r="L166" s="12"/>
      <c r="M166" s="12"/>
      <c r="N166" s="12"/>
      <c r="Q166" s="22"/>
      <c r="S166" s="73"/>
      <c r="T166" s="13"/>
      <c r="V166" s="12" t="str">
        <f t="shared" si="4"/>
        <v/>
      </c>
      <c r="W166" s="12" t="str">
        <f t="shared" si="6"/>
        <v/>
      </c>
    </row>
    <row r="167" spans="4:23" x14ac:dyDescent="0.25">
      <c r="D167" s="12"/>
      <c r="E167" s="12"/>
      <c r="F167" s="12"/>
      <c r="G167" s="18"/>
      <c r="H167" s="12"/>
      <c r="I167" s="18"/>
      <c r="J167" s="18"/>
      <c r="K167" s="12"/>
      <c r="L167" s="12"/>
      <c r="M167" s="12"/>
      <c r="N167" s="12"/>
      <c r="Q167" s="22"/>
      <c r="S167" s="73"/>
      <c r="T167" s="13"/>
      <c r="V167" s="12" t="str">
        <f t="shared" si="4"/>
        <v/>
      </c>
      <c r="W167" s="12" t="str">
        <f t="shared" si="6"/>
        <v/>
      </c>
    </row>
    <row r="168" spans="4:23" x14ac:dyDescent="0.25">
      <c r="D168" s="12"/>
      <c r="E168" s="12"/>
      <c r="F168" s="12"/>
      <c r="G168" s="18"/>
      <c r="H168" s="12"/>
      <c r="I168" s="18"/>
      <c r="J168" s="18"/>
      <c r="K168" s="12"/>
      <c r="L168" s="12"/>
      <c r="M168" s="12"/>
      <c r="N168" s="12"/>
      <c r="Q168" s="22"/>
      <c r="S168" s="73"/>
      <c r="T168" s="13"/>
      <c r="V168" s="12" t="str">
        <f t="shared" si="4"/>
        <v/>
      </c>
      <c r="W168" s="12" t="str">
        <f t="shared" si="6"/>
        <v/>
      </c>
    </row>
    <row r="169" spans="4:23" x14ac:dyDescent="0.25">
      <c r="D169" s="12"/>
      <c r="E169" s="12"/>
      <c r="F169" s="12"/>
      <c r="G169" s="18"/>
      <c r="H169" s="12"/>
      <c r="I169" s="18"/>
      <c r="J169" s="18"/>
      <c r="K169" s="12"/>
      <c r="L169" s="12"/>
      <c r="M169" s="12"/>
      <c r="N169" s="12"/>
      <c r="Q169" s="22"/>
      <c r="S169" s="73"/>
      <c r="T169" s="13"/>
      <c r="V169" s="12" t="str">
        <f t="shared" si="4"/>
        <v/>
      </c>
      <c r="W169" s="12" t="str">
        <f t="shared" si="6"/>
        <v/>
      </c>
    </row>
    <row r="170" spans="4:23" x14ac:dyDescent="0.25">
      <c r="D170" s="12"/>
      <c r="E170" s="12"/>
      <c r="F170" s="12"/>
      <c r="G170" s="18"/>
      <c r="H170" s="12"/>
      <c r="I170" s="18"/>
      <c r="J170" s="18"/>
      <c r="K170" s="12"/>
      <c r="L170" s="12"/>
      <c r="M170" s="12"/>
      <c r="N170" s="12"/>
      <c r="Q170" s="22"/>
      <c r="S170" s="73"/>
      <c r="T170" s="13"/>
      <c r="V170" s="12" t="str">
        <f t="shared" si="4"/>
        <v/>
      </c>
      <c r="W170" s="12" t="str">
        <f t="shared" si="6"/>
        <v/>
      </c>
    </row>
    <row r="171" spans="4:23" x14ac:dyDescent="0.25">
      <c r="D171" s="12"/>
      <c r="E171" s="12"/>
      <c r="F171" s="12"/>
      <c r="G171" s="18"/>
      <c r="H171" s="12"/>
      <c r="I171" s="18"/>
      <c r="J171" s="18"/>
      <c r="K171" s="12"/>
      <c r="L171" s="12"/>
      <c r="M171" s="12"/>
      <c r="N171" s="12"/>
      <c r="Q171" s="22"/>
      <c r="S171" s="73"/>
      <c r="T171" s="13"/>
      <c r="V171" s="12" t="str">
        <f t="shared" si="4"/>
        <v/>
      </c>
      <c r="W171" s="12" t="str">
        <f t="shared" si="6"/>
        <v/>
      </c>
    </row>
    <row r="172" spans="4:23" x14ac:dyDescent="0.25">
      <c r="D172" s="12"/>
      <c r="E172" s="12"/>
      <c r="F172" s="12"/>
      <c r="G172" s="18"/>
      <c r="H172" s="12"/>
      <c r="I172" s="18"/>
      <c r="J172" s="18"/>
      <c r="K172" s="12"/>
      <c r="L172" s="12"/>
      <c r="M172" s="12"/>
      <c r="N172" s="12"/>
      <c r="Q172" s="22"/>
      <c r="S172" s="73"/>
      <c r="T172" s="13"/>
      <c r="V172" s="12" t="str">
        <f t="shared" si="4"/>
        <v/>
      </c>
      <c r="W172" s="12" t="str">
        <f t="shared" si="6"/>
        <v/>
      </c>
    </row>
    <row r="173" spans="4:23" x14ac:dyDescent="0.25">
      <c r="D173" s="12"/>
      <c r="E173" s="12"/>
      <c r="F173" s="12"/>
      <c r="G173" s="18"/>
      <c r="H173" s="12"/>
      <c r="I173" s="18"/>
      <c r="J173" s="18"/>
      <c r="K173" s="12"/>
      <c r="L173" s="12"/>
      <c r="M173" s="12"/>
      <c r="N173" s="12"/>
      <c r="Q173" s="22"/>
      <c r="S173" s="73"/>
      <c r="T173" s="13"/>
      <c r="V173" s="12" t="str">
        <f t="shared" si="4"/>
        <v/>
      </c>
      <c r="W173" s="12" t="str">
        <f t="shared" si="6"/>
        <v/>
      </c>
    </row>
    <row r="174" spans="4:23" x14ac:dyDescent="0.25">
      <c r="D174" s="12"/>
      <c r="E174" s="12"/>
      <c r="F174" s="12"/>
      <c r="G174" s="18"/>
      <c r="H174" s="12"/>
      <c r="I174" s="18"/>
      <c r="J174" s="18"/>
      <c r="K174" s="12"/>
      <c r="L174" s="12"/>
      <c r="M174" s="12"/>
      <c r="N174" s="12"/>
      <c r="Q174" s="22"/>
      <c r="S174" s="73"/>
      <c r="T174" s="13"/>
      <c r="V174" s="12" t="str">
        <f t="shared" si="4"/>
        <v/>
      </c>
      <c r="W174" s="12" t="str">
        <f t="shared" si="6"/>
        <v/>
      </c>
    </row>
    <row r="175" spans="4:23" x14ac:dyDescent="0.25">
      <c r="D175" s="12"/>
      <c r="E175" s="12"/>
      <c r="F175" s="12"/>
      <c r="G175" s="18"/>
      <c r="H175" s="12"/>
      <c r="I175" s="18"/>
      <c r="J175" s="18"/>
      <c r="K175" s="12"/>
      <c r="L175" s="12"/>
      <c r="M175" s="12"/>
      <c r="N175" s="12"/>
      <c r="Q175" s="22"/>
      <c r="S175" s="73"/>
      <c r="T175" s="13"/>
      <c r="V175" s="12" t="str">
        <f t="shared" si="4"/>
        <v/>
      </c>
      <c r="W175" s="12" t="str">
        <f t="shared" si="6"/>
        <v/>
      </c>
    </row>
    <row r="176" spans="4:23" x14ac:dyDescent="0.25">
      <c r="D176" s="12"/>
      <c r="E176" s="12"/>
      <c r="F176" s="12"/>
      <c r="G176" s="18"/>
      <c r="H176" s="12"/>
      <c r="I176" s="18"/>
      <c r="J176" s="18"/>
      <c r="K176" s="12"/>
      <c r="L176" s="12"/>
      <c r="M176" s="12"/>
      <c r="N176" s="12"/>
      <c r="Q176" s="22"/>
      <c r="S176" s="73"/>
      <c r="T176" s="13"/>
      <c r="V176" s="12" t="str">
        <f t="shared" si="4"/>
        <v/>
      </c>
      <c r="W176" s="12" t="str">
        <f t="shared" si="6"/>
        <v/>
      </c>
    </row>
    <row r="177" spans="4:23" x14ac:dyDescent="0.25">
      <c r="D177" s="12"/>
      <c r="E177" s="12"/>
      <c r="F177" s="12"/>
      <c r="G177" s="18"/>
      <c r="H177" s="12"/>
      <c r="I177" s="18"/>
      <c r="J177" s="18"/>
      <c r="K177" s="12"/>
      <c r="L177" s="12"/>
      <c r="M177" s="12"/>
      <c r="N177" s="12"/>
      <c r="Q177" s="22"/>
      <c r="S177" s="73"/>
      <c r="T177" s="13"/>
      <c r="V177" s="12" t="str">
        <f t="shared" si="4"/>
        <v/>
      </c>
      <c r="W177" s="12" t="str">
        <f t="shared" si="6"/>
        <v/>
      </c>
    </row>
    <row r="178" spans="4:23" x14ac:dyDescent="0.25">
      <c r="D178" s="12"/>
      <c r="E178" s="12"/>
      <c r="F178" s="12"/>
      <c r="G178" s="18"/>
      <c r="H178" s="12"/>
      <c r="I178" s="18"/>
      <c r="J178" s="18"/>
      <c r="K178" s="12"/>
      <c r="L178" s="12"/>
      <c r="M178" s="12"/>
      <c r="N178" s="12"/>
      <c r="Q178" s="22"/>
      <c r="S178" s="73"/>
      <c r="T178" s="13"/>
      <c r="V178" s="12" t="str">
        <f t="shared" si="4"/>
        <v/>
      </c>
      <c r="W178" s="12" t="str">
        <f t="shared" si="6"/>
        <v/>
      </c>
    </row>
    <row r="179" spans="4:23" x14ac:dyDescent="0.25">
      <c r="D179" s="12"/>
      <c r="E179" s="12"/>
      <c r="F179" s="12"/>
      <c r="G179" s="18"/>
      <c r="H179" s="12"/>
      <c r="I179" s="18"/>
      <c r="J179" s="18"/>
      <c r="K179" s="12"/>
      <c r="L179" s="12"/>
      <c r="M179" s="12"/>
      <c r="N179" s="12"/>
      <c r="Q179" s="22"/>
      <c r="S179" s="73"/>
      <c r="T179" s="13"/>
      <c r="V179" s="12" t="str">
        <f t="shared" si="4"/>
        <v/>
      </c>
      <c r="W179" s="12" t="str">
        <f t="shared" si="6"/>
        <v/>
      </c>
    </row>
    <row r="180" spans="4:23" x14ac:dyDescent="0.25">
      <c r="D180" s="12"/>
      <c r="E180" s="12"/>
      <c r="F180" s="12"/>
      <c r="G180" s="18"/>
      <c r="H180" s="12"/>
      <c r="I180" s="18"/>
      <c r="J180" s="18"/>
      <c r="K180" s="12"/>
      <c r="L180" s="12"/>
      <c r="M180" s="12"/>
      <c r="N180" s="12"/>
      <c r="Q180" s="22"/>
      <c r="S180" s="73"/>
      <c r="T180" s="13"/>
      <c r="V180" s="12" t="str">
        <f t="shared" ref="V180:V198" si="7">IF(B180=0,"",IF(B180="-",V179+1,0))</f>
        <v/>
      </c>
      <c r="W180" s="12" t="str">
        <f t="shared" si="6"/>
        <v/>
      </c>
    </row>
    <row r="181" spans="4:23" x14ac:dyDescent="0.25">
      <c r="D181" s="12"/>
      <c r="E181" s="12"/>
      <c r="F181" s="12"/>
      <c r="G181" s="18"/>
      <c r="H181" s="12"/>
      <c r="I181" s="18"/>
      <c r="J181" s="18"/>
      <c r="K181" s="12"/>
      <c r="L181" s="12"/>
      <c r="M181" s="12"/>
      <c r="N181" s="12"/>
      <c r="Q181" s="22"/>
      <c r="S181" s="73"/>
      <c r="T181" s="13"/>
      <c r="V181" s="12" t="str">
        <f t="shared" si="7"/>
        <v/>
      </c>
      <c r="W181" s="12" t="str">
        <f t="shared" si="6"/>
        <v/>
      </c>
    </row>
    <row r="182" spans="4:23" x14ac:dyDescent="0.25">
      <c r="D182" s="12"/>
      <c r="E182" s="12"/>
      <c r="F182" s="12"/>
      <c r="G182" s="18"/>
      <c r="H182" s="12"/>
      <c r="I182" s="18"/>
      <c r="J182" s="18"/>
      <c r="K182" s="12"/>
      <c r="L182" s="12"/>
      <c r="M182" s="12"/>
      <c r="N182" s="12"/>
      <c r="Q182" s="22"/>
      <c r="S182" s="73"/>
      <c r="T182" s="13"/>
      <c r="V182" s="12" t="str">
        <f t="shared" si="7"/>
        <v/>
      </c>
      <c r="W182" s="12" t="str">
        <f t="shared" si="6"/>
        <v/>
      </c>
    </row>
    <row r="183" spans="4:23" x14ac:dyDescent="0.25">
      <c r="D183" s="12"/>
      <c r="E183" s="12"/>
      <c r="F183" s="12"/>
      <c r="G183" s="18"/>
      <c r="H183" s="12"/>
      <c r="I183" s="18"/>
      <c r="J183" s="18"/>
      <c r="K183" s="12"/>
      <c r="L183" s="12"/>
      <c r="M183" s="12"/>
      <c r="N183" s="12"/>
      <c r="Q183" s="22"/>
      <c r="S183" s="73"/>
      <c r="T183" s="13"/>
      <c r="V183" s="12" t="str">
        <f t="shared" si="7"/>
        <v/>
      </c>
      <c r="W183" s="12" t="str">
        <f t="shared" si="6"/>
        <v/>
      </c>
    </row>
    <row r="184" spans="4:23" x14ac:dyDescent="0.25">
      <c r="D184" s="12"/>
      <c r="E184" s="12"/>
      <c r="F184" s="12"/>
      <c r="G184" s="18"/>
      <c r="H184" s="12"/>
      <c r="I184" s="18"/>
      <c r="J184" s="18"/>
      <c r="K184" s="12"/>
      <c r="L184" s="12"/>
      <c r="M184" s="12"/>
      <c r="N184" s="12"/>
      <c r="Q184" s="22"/>
      <c r="S184" s="73"/>
      <c r="T184" s="13"/>
      <c r="V184" s="12" t="str">
        <f t="shared" si="7"/>
        <v/>
      </c>
      <c r="W184" s="12" t="str">
        <f t="shared" si="6"/>
        <v/>
      </c>
    </row>
    <row r="185" spans="4:23" x14ac:dyDescent="0.25">
      <c r="D185" s="12"/>
      <c r="E185" s="12"/>
      <c r="F185" s="12"/>
      <c r="G185" s="18"/>
      <c r="H185" s="12"/>
      <c r="I185" s="18"/>
      <c r="J185" s="18"/>
      <c r="K185" s="12"/>
      <c r="L185" s="12"/>
      <c r="M185" s="12"/>
      <c r="N185" s="12"/>
      <c r="Q185" s="22"/>
      <c r="S185" s="73"/>
      <c r="T185" s="13"/>
      <c r="V185" s="12" t="str">
        <f t="shared" si="7"/>
        <v/>
      </c>
      <c r="W185" s="12" t="str">
        <f t="shared" si="6"/>
        <v/>
      </c>
    </row>
    <row r="186" spans="4:23" x14ac:dyDescent="0.25">
      <c r="D186" s="12"/>
      <c r="E186" s="12"/>
      <c r="F186" s="12"/>
      <c r="G186" s="18"/>
      <c r="H186" s="12"/>
      <c r="I186" s="18"/>
      <c r="J186" s="18"/>
      <c r="K186" s="12"/>
      <c r="L186" s="12"/>
      <c r="M186" s="12"/>
      <c r="N186" s="12"/>
      <c r="Q186" s="22"/>
      <c r="S186" s="73"/>
      <c r="T186" s="13"/>
      <c r="V186" s="12" t="str">
        <f t="shared" si="7"/>
        <v/>
      </c>
      <c r="W186" s="12" t="str">
        <f t="shared" si="6"/>
        <v/>
      </c>
    </row>
    <row r="187" spans="4:23" x14ac:dyDescent="0.25">
      <c r="D187" s="12"/>
      <c r="E187" s="12"/>
      <c r="F187" s="12"/>
      <c r="G187" s="18"/>
      <c r="H187" s="12"/>
      <c r="I187" s="18"/>
      <c r="J187" s="18"/>
      <c r="K187" s="12"/>
      <c r="L187" s="12"/>
      <c r="M187" s="12"/>
      <c r="N187" s="12"/>
      <c r="Q187" s="22"/>
      <c r="S187" s="73"/>
      <c r="T187" s="13"/>
      <c r="V187" s="12" t="str">
        <f t="shared" si="7"/>
        <v/>
      </c>
      <c r="W187" s="12" t="str">
        <f t="shared" si="6"/>
        <v/>
      </c>
    </row>
    <row r="188" spans="4:23" x14ac:dyDescent="0.25">
      <c r="D188" s="12"/>
      <c r="E188" s="12"/>
      <c r="F188" s="12"/>
      <c r="G188" s="18"/>
      <c r="H188" s="12"/>
      <c r="I188" s="18"/>
      <c r="J188" s="18"/>
      <c r="K188" s="12"/>
      <c r="L188" s="12"/>
      <c r="M188" s="12"/>
      <c r="N188" s="12"/>
      <c r="Q188" s="22"/>
      <c r="S188" s="73"/>
      <c r="T188" s="13"/>
      <c r="V188" s="12" t="str">
        <f t="shared" si="7"/>
        <v/>
      </c>
      <c r="W188" s="12" t="str">
        <f t="shared" si="6"/>
        <v/>
      </c>
    </row>
    <row r="189" spans="4:23" x14ac:dyDescent="0.25">
      <c r="D189" s="12"/>
      <c r="E189" s="12"/>
      <c r="F189" s="12"/>
      <c r="G189" s="18"/>
      <c r="H189" s="12"/>
      <c r="I189" s="18"/>
      <c r="J189" s="18"/>
      <c r="K189" s="12"/>
      <c r="L189" s="12"/>
      <c r="M189" s="12"/>
      <c r="N189" s="12"/>
      <c r="Q189" s="22"/>
      <c r="S189" s="73"/>
      <c r="T189" s="13"/>
      <c r="V189" s="12" t="str">
        <f t="shared" si="7"/>
        <v/>
      </c>
      <c r="W189" s="12" t="str">
        <f t="shared" si="6"/>
        <v/>
      </c>
    </row>
    <row r="190" spans="4:23" x14ac:dyDescent="0.25">
      <c r="D190" s="12"/>
      <c r="E190" s="12"/>
      <c r="F190" s="12"/>
      <c r="G190" s="18"/>
      <c r="H190" s="12"/>
      <c r="I190" s="18"/>
      <c r="J190" s="18"/>
      <c r="K190" s="12"/>
      <c r="L190" s="12"/>
      <c r="M190" s="12"/>
      <c r="N190" s="12"/>
      <c r="Q190" s="22"/>
      <c r="S190" s="73"/>
      <c r="T190" s="13"/>
      <c r="V190" s="12" t="str">
        <f t="shared" si="7"/>
        <v/>
      </c>
      <c r="W190" s="12" t="str">
        <f t="shared" si="6"/>
        <v/>
      </c>
    </row>
    <row r="191" spans="4:23" x14ac:dyDescent="0.25">
      <c r="D191" s="12"/>
      <c r="E191" s="12"/>
      <c r="F191" s="12"/>
      <c r="G191" s="18"/>
      <c r="H191" s="12"/>
      <c r="I191" s="18"/>
      <c r="J191" s="18"/>
      <c r="K191" s="12"/>
      <c r="L191" s="12"/>
      <c r="M191" s="12"/>
      <c r="N191" s="12"/>
      <c r="Q191" s="22"/>
      <c r="S191" s="73"/>
      <c r="T191" s="13"/>
      <c r="V191" s="12" t="str">
        <f t="shared" si="7"/>
        <v/>
      </c>
      <c r="W191" s="12" t="str">
        <f t="shared" si="6"/>
        <v/>
      </c>
    </row>
    <row r="192" spans="4:23" x14ac:dyDescent="0.25">
      <c r="D192" s="12"/>
      <c r="E192" s="12"/>
      <c r="F192" s="12"/>
      <c r="G192" s="18"/>
      <c r="H192" s="12"/>
      <c r="I192" s="18"/>
      <c r="J192" s="18"/>
      <c r="K192" s="12"/>
      <c r="L192" s="12"/>
      <c r="M192" s="12"/>
      <c r="N192" s="12"/>
      <c r="Q192" s="22"/>
      <c r="S192" s="73"/>
      <c r="T192" s="13"/>
      <c r="V192" s="12" t="str">
        <f t="shared" si="7"/>
        <v/>
      </c>
      <c r="W192" s="12" t="str">
        <f t="shared" si="6"/>
        <v/>
      </c>
    </row>
    <row r="193" spans="4:23" x14ac:dyDescent="0.25">
      <c r="D193" s="12"/>
      <c r="E193" s="12"/>
      <c r="F193" s="12"/>
      <c r="G193" s="18"/>
      <c r="H193" s="12"/>
      <c r="I193" s="18"/>
      <c r="J193" s="18"/>
      <c r="K193" s="12"/>
      <c r="L193" s="12"/>
      <c r="M193" s="12"/>
      <c r="N193" s="12"/>
      <c r="Q193" s="22"/>
      <c r="S193" s="73"/>
      <c r="T193" s="13"/>
      <c r="V193" s="12" t="str">
        <f t="shared" si="7"/>
        <v/>
      </c>
      <c r="W193" s="12" t="str">
        <f t="shared" si="6"/>
        <v/>
      </c>
    </row>
    <row r="194" spans="4:23" x14ac:dyDescent="0.25">
      <c r="D194" s="12"/>
      <c r="E194" s="12"/>
      <c r="F194" s="12"/>
      <c r="G194" s="18"/>
      <c r="H194" s="12"/>
      <c r="I194" s="18"/>
      <c r="J194" s="18"/>
      <c r="K194" s="12"/>
      <c r="L194" s="12"/>
      <c r="M194" s="12"/>
      <c r="N194" s="12"/>
      <c r="Q194" s="22"/>
      <c r="S194" s="73"/>
      <c r="T194" s="13"/>
      <c r="V194" s="12" t="str">
        <f t="shared" si="7"/>
        <v/>
      </c>
      <c r="W194" s="12" t="str">
        <f t="shared" si="6"/>
        <v/>
      </c>
    </row>
    <row r="195" spans="4:23" x14ac:dyDescent="0.25">
      <c r="D195" s="12"/>
      <c r="E195" s="12"/>
      <c r="F195" s="12"/>
      <c r="G195" s="18"/>
      <c r="H195" s="12"/>
      <c r="I195" s="18"/>
      <c r="J195" s="18"/>
      <c r="K195" s="12"/>
      <c r="L195" s="12"/>
      <c r="M195" s="12"/>
      <c r="N195" s="12"/>
      <c r="Q195" s="22"/>
      <c r="S195" s="73"/>
      <c r="T195" s="13"/>
      <c r="V195" s="12" t="str">
        <f t="shared" si="7"/>
        <v/>
      </c>
      <c r="W195" s="12" t="str">
        <f t="shared" si="6"/>
        <v/>
      </c>
    </row>
    <row r="196" spans="4:23" x14ac:dyDescent="0.25">
      <c r="D196" s="12"/>
      <c r="E196" s="12"/>
      <c r="F196" s="12"/>
      <c r="G196" s="18"/>
      <c r="H196" s="12"/>
      <c r="I196" s="18"/>
      <c r="J196" s="18"/>
      <c r="K196" s="12"/>
      <c r="L196" s="12"/>
      <c r="M196" s="12"/>
      <c r="N196" s="12"/>
      <c r="Q196" s="22"/>
      <c r="S196" s="73"/>
      <c r="T196" s="13"/>
      <c r="V196" s="12" t="str">
        <f t="shared" si="7"/>
        <v/>
      </c>
      <c r="W196" s="12" t="str">
        <f t="shared" si="6"/>
        <v/>
      </c>
    </row>
    <row r="197" spans="4:23" x14ac:dyDescent="0.25">
      <c r="D197" s="12"/>
      <c r="E197" s="12"/>
      <c r="F197" s="12"/>
      <c r="G197" s="18"/>
      <c r="H197" s="12"/>
      <c r="I197" s="18"/>
      <c r="J197" s="18"/>
      <c r="K197" s="12"/>
      <c r="L197" s="12"/>
      <c r="M197" s="12"/>
      <c r="N197" s="12"/>
      <c r="Q197" s="22"/>
      <c r="S197" s="73"/>
      <c r="T197" s="13"/>
      <c r="V197" s="12" t="str">
        <f t="shared" si="7"/>
        <v/>
      </c>
      <c r="W197" s="12" t="str">
        <f t="shared" si="6"/>
        <v/>
      </c>
    </row>
    <row r="198" spans="4:23" x14ac:dyDescent="0.25">
      <c r="D198" s="12"/>
      <c r="E198" s="12"/>
      <c r="F198" s="12"/>
      <c r="G198" s="18"/>
      <c r="H198" s="12"/>
      <c r="I198" s="18"/>
      <c r="J198" s="18"/>
      <c r="K198" s="12"/>
      <c r="L198" s="12"/>
      <c r="M198" s="12"/>
      <c r="N198" s="12"/>
      <c r="Q198" s="22"/>
      <c r="S198" s="73"/>
      <c r="T198" s="13"/>
      <c r="V198" s="12" t="str">
        <f t="shared" si="7"/>
        <v/>
      </c>
      <c r="W198" s="12" t="str">
        <f t="shared" si="6"/>
        <v/>
      </c>
    </row>
    <row r="199" spans="4:23" x14ac:dyDescent="0.25">
      <c r="D199" s="12"/>
      <c r="E199" s="12"/>
      <c r="F199" s="12"/>
      <c r="G199" s="18"/>
      <c r="H199" s="12"/>
      <c r="I199" s="18"/>
      <c r="J199" s="18"/>
      <c r="K199" s="12"/>
      <c r="L199" s="12"/>
      <c r="M199" s="12"/>
      <c r="N199" s="12"/>
      <c r="Q199" s="22"/>
      <c r="S199" s="73"/>
      <c r="T199" s="13"/>
      <c r="V199" s="12" t="str">
        <f t="shared" ref="V199:V262" si="8">IF(B199=0,"",IF(B199="-",V198+1,0))</f>
        <v/>
      </c>
      <c r="W199" s="12" t="str">
        <f t="shared" ref="W199:W262" si="9">IF(A199=0,"",ROW())</f>
        <v/>
      </c>
    </row>
    <row r="200" spans="4:23" x14ac:dyDescent="0.25">
      <c r="D200" s="12"/>
      <c r="E200" s="12"/>
      <c r="F200" s="12"/>
      <c r="G200" s="18"/>
      <c r="H200" s="12"/>
      <c r="I200" s="18"/>
      <c r="J200" s="18"/>
      <c r="K200" s="12"/>
      <c r="L200" s="12"/>
      <c r="M200" s="12"/>
      <c r="N200" s="12"/>
      <c r="Q200" s="22"/>
      <c r="S200" s="73"/>
      <c r="T200" s="13"/>
      <c r="V200" s="12" t="str">
        <f t="shared" si="8"/>
        <v/>
      </c>
      <c r="W200" s="12" t="str">
        <f t="shared" si="9"/>
        <v/>
      </c>
    </row>
    <row r="201" spans="4:23" x14ac:dyDescent="0.25">
      <c r="D201" s="12"/>
      <c r="E201" s="12"/>
      <c r="F201" s="12"/>
      <c r="G201" s="18"/>
      <c r="H201" s="12"/>
      <c r="I201" s="18"/>
      <c r="J201" s="18"/>
      <c r="K201" s="12"/>
      <c r="L201" s="12"/>
      <c r="M201" s="12"/>
      <c r="N201" s="12"/>
      <c r="Q201" s="22"/>
      <c r="S201" s="73"/>
      <c r="T201" s="13"/>
      <c r="V201" s="12" t="str">
        <f t="shared" si="8"/>
        <v/>
      </c>
      <c r="W201" s="12" t="str">
        <f t="shared" si="9"/>
        <v/>
      </c>
    </row>
    <row r="202" spans="4:23" x14ac:dyDescent="0.25">
      <c r="D202" s="12"/>
      <c r="E202" s="12"/>
      <c r="F202" s="12"/>
      <c r="G202" s="18"/>
      <c r="H202" s="12"/>
      <c r="I202" s="18"/>
      <c r="J202" s="18"/>
      <c r="K202" s="12"/>
      <c r="L202" s="12"/>
      <c r="M202" s="12"/>
      <c r="N202" s="12"/>
      <c r="Q202" s="22"/>
      <c r="S202" s="73"/>
      <c r="T202" s="13"/>
      <c r="V202" s="12" t="str">
        <f t="shared" si="8"/>
        <v/>
      </c>
      <c r="W202" s="12" t="str">
        <f t="shared" si="9"/>
        <v/>
      </c>
    </row>
    <row r="203" spans="4:23" x14ac:dyDescent="0.25">
      <c r="D203" s="12"/>
      <c r="E203" s="12"/>
      <c r="F203" s="12"/>
      <c r="G203" s="18"/>
      <c r="H203" s="12"/>
      <c r="I203" s="18"/>
      <c r="J203" s="18"/>
      <c r="K203" s="12"/>
      <c r="L203" s="12"/>
      <c r="M203" s="12"/>
      <c r="N203" s="12"/>
      <c r="Q203" s="22"/>
      <c r="S203" s="73"/>
      <c r="T203" s="13"/>
      <c r="V203" s="12" t="str">
        <f t="shared" si="8"/>
        <v/>
      </c>
      <c r="W203" s="12" t="str">
        <f t="shared" si="9"/>
        <v/>
      </c>
    </row>
    <row r="204" spans="4:23" x14ac:dyDescent="0.25">
      <c r="D204" s="12"/>
      <c r="E204" s="12"/>
      <c r="F204" s="12"/>
      <c r="G204" s="18"/>
      <c r="H204" s="12"/>
      <c r="I204" s="18"/>
      <c r="J204" s="18"/>
      <c r="K204" s="12"/>
      <c r="L204" s="12"/>
      <c r="M204" s="12"/>
      <c r="N204" s="12"/>
      <c r="Q204" s="22"/>
      <c r="S204" s="73"/>
      <c r="T204" s="13"/>
      <c r="V204" s="12" t="str">
        <f t="shared" si="8"/>
        <v/>
      </c>
      <c r="W204" s="12" t="str">
        <f t="shared" si="9"/>
        <v/>
      </c>
    </row>
    <row r="205" spans="4:23" x14ac:dyDescent="0.25">
      <c r="D205" s="12"/>
      <c r="E205" s="12"/>
      <c r="F205" s="12"/>
      <c r="G205" s="18"/>
      <c r="H205" s="12"/>
      <c r="I205" s="18"/>
      <c r="J205" s="18"/>
      <c r="K205" s="12"/>
      <c r="L205" s="12"/>
      <c r="M205" s="12"/>
      <c r="N205" s="12"/>
      <c r="Q205" s="22"/>
      <c r="S205" s="73"/>
      <c r="T205" s="13"/>
      <c r="V205" s="12" t="str">
        <f t="shared" si="8"/>
        <v/>
      </c>
      <c r="W205" s="12" t="str">
        <f t="shared" si="9"/>
        <v/>
      </c>
    </row>
    <row r="206" spans="4:23" x14ac:dyDescent="0.25">
      <c r="D206" s="12"/>
      <c r="E206" s="12"/>
      <c r="F206" s="12"/>
      <c r="G206" s="18"/>
      <c r="H206" s="12"/>
      <c r="I206" s="18"/>
      <c r="J206" s="18"/>
      <c r="K206" s="12"/>
      <c r="L206" s="12"/>
      <c r="M206" s="12"/>
      <c r="N206" s="12"/>
      <c r="Q206" s="22"/>
      <c r="S206" s="73"/>
      <c r="T206" s="13"/>
      <c r="V206" s="12" t="str">
        <f t="shared" si="8"/>
        <v/>
      </c>
      <c r="W206" s="12" t="str">
        <f t="shared" si="9"/>
        <v/>
      </c>
    </row>
    <row r="207" spans="4:23" x14ac:dyDescent="0.25">
      <c r="D207" s="12"/>
      <c r="E207" s="12"/>
      <c r="F207" s="12"/>
      <c r="G207" s="18"/>
      <c r="H207" s="12"/>
      <c r="I207" s="18"/>
      <c r="J207" s="18"/>
      <c r="K207" s="12"/>
      <c r="L207" s="12"/>
      <c r="M207" s="12"/>
      <c r="N207" s="12"/>
      <c r="Q207" s="22"/>
      <c r="S207" s="73"/>
      <c r="T207" s="13"/>
      <c r="V207" s="12" t="str">
        <f t="shared" si="8"/>
        <v/>
      </c>
      <c r="W207" s="12" t="str">
        <f t="shared" si="9"/>
        <v/>
      </c>
    </row>
    <row r="208" spans="4:23" x14ac:dyDescent="0.25">
      <c r="D208" s="12"/>
      <c r="E208" s="12"/>
      <c r="F208" s="12"/>
      <c r="G208" s="18"/>
      <c r="H208" s="12"/>
      <c r="I208" s="18"/>
      <c r="J208" s="18"/>
      <c r="K208" s="12"/>
      <c r="L208" s="12"/>
      <c r="M208" s="12"/>
      <c r="N208" s="12"/>
      <c r="Q208" s="22"/>
      <c r="S208" s="73"/>
      <c r="T208" s="13"/>
      <c r="V208" s="12" t="str">
        <f t="shared" si="8"/>
        <v/>
      </c>
      <c r="W208" s="12" t="str">
        <f t="shared" si="9"/>
        <v/>
      </c>
    </row>
    <row r="209" spans="4:23" x14ac:dyDescent="0.25">
      <c r="D209" s="12"/>
      <c r="E209" s="12"/>
      <c r="F209" s="12"/>
      <c r="G209" s="18"/>
      <c r="H209" s="12"/>
      <c r="I209" s="18"/>
      <c r="J209" s="18"/>
      <c r="K209" s="12"/>
      <c r="L209" s="12"/>
      <c r="M209" s="12"/>
      <c r="N209" s="12"/>
      <c r="Q209" s="22"/>
      <c r="S209" s="73"/>
      <c r="T209" s="13"/>
      <c r="V209" s="12" t="str">
        <f t="shared" si="8"/>
        <v/>
      </c>
      <c r="W209" s="12" t="str">
        <f t="shared" si="9"/>
        <v/>
      </c>
    </row>
    <row r="210" spans="4:23" x14ac:dyDescent="0.25">
      <c r="D210" s="12"/>
      <c r="E210" s="12"/>
      <c r="F210" s="12"/>
      <c r="G210" s="18"/>
      <c r="H210" s="12"/>
      <c r="I210" s="18"/>
      <c r="J210" s="18"/>
      <c r="K210" s="12"/>
      <c r="L210" s="12"/>
      <c r="M210" s="12"/>
      <c r="N210" s="12"/>
      <c r="Q210" s="22"/>
      <c r="S210" s="73"/>
      <c r="T210" s="13"/>
      <c r="V210" s="12" t="str">
        <f t="shared" si="8"/>
        <v/>
      </c>
      <c r="W210" s="12" t="str">
        <f t="shared" si="9"/>
        <v/>
      </c>
    </row>
    <row r="211" spans="4:23" x14ac:dyDescent="0.25">
      <c r="D211" s="12"/>
      <c r="E211" s="12"/>
      <c r="F211" s="12"/>
      <c r="G211" s="18"/>
      <c r="H211" s="12"/>
      <c r="I211" s="18"/>
      <c r="J211" s="18"/>
      <c r="K211" s="12"/>
      <c r="L211" s="12"/>
      <c r="M211" s="12"/>
      <c r="N211" s="12"/>
      <c r="Q211" s="22"/>
      <c r="S211" s="73"/>
      <c r="T211" s="13"/>
      <c r="V211" s="12" t="str">
        <f t="shared" si="8"/>
        <v/>
      </c>
      <c r="W211" s="12" t="str">
        <f t="shared" si="9"/>
        <v/>
      </c>
    </row>
    <row r="212" spans="4:23" x14ac:dyDescent="0.25">
      <c r="D212" s="12"/>
      <c r="E212" s="12"/>
      <c r="F212" s="12"/>
      <c r="G212" s="18"/>
      <c r="H212" s="12"/>
      <c r="I212" s="18"/>
      <c r="J212" s="18"/>
      <c r="K212" s="12"/>
      <c r="L212" s="12"/>
      <c r="M212" s="12"/>
      <c r="N212" s="12"/>
      <c r="Q212" s="22"/>
      <c r="S212" s="73"/>
      <c r="T212" s="13"/>
      <c r="V212" s="12" t="str">
        <f t="shared" si="8"/>
        <v/>
      </c>
      <c r="W212" s="12" t="str">
        <f t="shared" si="9"/>
        <v/>
      </c>
    </row>
    <row r="213" spans="4:23" x14ac:dyDescent="0.25">
      <c r="D213" s="12"/>
      <c r="E213" s="12"/>
      <c r="F213" s="12"/>
      <c r="G213" s="18"/>
      <c r="H213" s="12"/>
      <c r="I213" s="18"/>
      <c r="J213" s="18"/>
      <c r="K213" s="12"/>
      <c r="L213" s="12"/>
      <c r="M213" s="12"/>
      <c r="N213" s="12"/>
      <c r="Q213" s="22"/>
      <c r="S213" s="73"/>
      <c r="T213" s="13"/>
      <c r="V213" s="12" t="str">
        <f t="shared" si="8"/>
        <v/>
      </c>
      <c r="W213" s="12" t="str">
        <f t="shared" si="9"/>
        <v/>
      </c>
    </row>
    <row r="214" spans="4:23" x14ac:dyDescent="0.25">
      <c r="D214" s="12"/>
      <c r="E214" s="12"/>
      <c r="F214" s="12"/>
      <c r="G214" s="18"/>
      <c r="H214" s="12"/>
      <c r="I214" s="18"/>
      <c r="J214" s="18"/>
      <c r="K214" s="12"/>
      <c r="L214" s="12"/>
      <c r="M214" s="12"/>
      <c r="N214" s="12"/>
      <c r="Q214" s="22"/>
      <c r="S214" s="73"/>
      <c r="T214" s="13"/>
      <c r="V214" s="12" t="str">
        <f t="shared" si="8"/>
        <v/>
      </c>
      <c r="W214" s="12" t="str">
        <f t="shared" si="9"/>
        <v/>
      </c>
    </row>
    <row r="215" spans="4:23" x14ac:dyDescent="0.25">
      <c r="D215" s="12"/>
      <c r="E215" s="12"/>
      <c r="F215" s="12"/>
      <c r="G215" s="18"/>
      <c r="H215" s="12"/>
      <c r="I215" s="18"/>
      <c r="J215" s="18"/>
      <c r="K215" s="12"/>
      <c r="L215" s="12"/>
      <c r="M215" s="12"/>
      <c r="N215" s="12"/>
      <c r="Q215" s="22"/>
      <c r="S215" s="73"/>
      <c r="T215" s="13"/>
      <c r="V215" s="12" t="str">
        <f t="shared" si="8"/>
        <v/>
      </c>
      <c r="W215" s="12" t="str">
        <f t="shared" si="9"/>
        <v/>
      </c>
    </row>
    <row r="216" spans="4:23" x14ac:dyDescent="0.25">
      <c r="D216" s="12"/>
      <c r="E216" s="12"/>
      <c r="F216" s="12"/>
      <c r="G216" s="18"/>
      <c r="H216" s="12"/>
      <c r="I216" s="18"/>
      <c r="J216" s="18"/>
      <c r="K216" s="12"/>
      <c r="L216" s="12"/>
      <c r="M216" s="12"/>
      <c r="N216" s="12"/>
      <c r="Q216" s="22"/>
      <c r="S216" s="73"/>
      <c r="T216" s="13"/>
      <c r="V216" s="12" t="str">
        <f t="shared" si="8"/>
        <v/>
      </c>
      <c r="W216" s="12" t="str">
        <f t="shared" si="9"/>
        <v/>
      </c>
    </row>
    <row r="217" spans="4:23" x14ac:dyDescent="0.25">
      <c r="D217" s="12"/>
      <c r="E217" s="12"/>
      <c r="F217" s="12"/>
      <c r="G217" s="18"/>
      <c r="H217" s="12"/>
      <c r="I217" s="18"/>
      <c r="J217" s="18"/>
      <c r="K217" s="12"/>
      <c r="L217" s="12"/>
      <c r="M217" s="12"/>
      <c r="N217" s="12"/>
      <c r="Q217" s="22"/>
      <c r="S217" s="73"/>
      <c r="T217" s="13"/>
      <c r="V217" s="12" t="str">
        <f t="shared" si="8"/>
        <v/>
      </c>
      <c r="W217" s="12" t="str">
        <f t="shared" si="9"/>
        <v/>
      </c>
    </row>
    <row r="218" spans="4:23" x14ac:dyDescent="0.25">
      <c r="D218" s="12"/>
      <c r="E218" s="12"/>
      <c r="F218" s="12"/>
      <c r="G218" s="18"/>
      <c r="H218" s="12"/>
      <c r="I218" s="18"/>
      <c r="J218" s="18"/>
      <c r="K218" s="12"/>
      <c r="L218" s="12"/>
      <c r="M218" s="12"/>
      <c r="N218" s="12"/>
      <c r="Q218" s="22"/>
      <c r="S218" s="73"/>
      <c r="T218" s="13"/>
      <c r="V218" s="12" t="str">
        <f t="shared" si="8"/>
        <v/>
      </c>
      <c r="W218" s="12" t="str">
        <f t="shared" si="9"/>
        <v/>
      </c>
    </row>
    <row r="219" spans="4:23" x14ac:dyDescent="0.25">
      <c r="D219" s="12"/>
      <c r="E219" s="12"/>
      <c r="F219" s="12"/>
      <c r="G219" s="18"/>
      <c r="H219" s="12"/>
      <c r="I219" s="18"/>
      <c r="J219" s="18"/>
      <c r="K219" s="12"/>
      <c r="L219" s="12"/>
      <c r="M219" s="12"/>
      <c r="N219" s="12"/>
      <c r="Q219" s="22"/>
      <c r="S219" s="73"/>
      <c r="T219" s="13"/>
      <c r="V219" s="12" t="str">
        <f t="shared" si="8"/>
        <v/>
      </c>
      <c r="W219" s="12" t="str">
        <f t="shared" si="9"/>
        <v/>
      </c>
    </row>
    <row r="220" spans="4:23" x14ac:dyDescent="0.25">
      <c r="D220" s="12"/>
      <c r="E220" s="12"/>
      <c r="F220" s="12"/>
      <c r="G220" s="18"/>
      <c r="H220" s="12"/>
      <c r="I220" s="18"/>
      <c r="J220" s="18"/>
      <c r="K220" s="12"/>
      <c r="L220" s="12"/>
      <c r="M220" s="12"/>
      <c r="N220" s="12"/>
      <c r="Q220" s="22"/>
      <c r="S220" s="73"/>
      <c r="T220" s="13"/>
      <c r="V220" s="12" t="str">
        <f t="shared" si="8"/>
        <v/>
      </c>
      <c r="W220" s="12" t="str">
        <f t="shared" si="9"/>
        <v/>
      </c>
    </row>
    <row r="221" spans="4:23" x14ac:dyDescent="0.25">
      <c r="D221" s="12"/>
      <c r="E221" s="12"/>
      <c r="F221" s="12"/>
      <c r="G221" s="18"/>
      <c r="H221" s="12"/>
      <c r="I221" s="18"/>
      <c r="J221" s="18"/>
      <c r="K221" s="12"/>
      <c r="L221" s="12"/>
      <c r="M221" s="12"/>
      <c r="N221" s="12"/>
      <c r="Q221" s="22"/>
      <c r="S221" s="73"/>
      <c r="T221" s="13"/>
      <c r="V221" s="12" t="str">
        <f t="shared" si="8"/>
        <v/>
      </c>
      <c r="W221" s="12" t="str">
        <f t="shared" si="9"/>
        <v/>
      </c>
    </row>
    <row r="222" spans="4:23" x14ac:dyDescent="0.25">
      <c r="D222" s="12"/>
      <c r="E222" s="12"/>
      <c r="F222" s="12"/>
      <c r="G222" s="18"/>
      <c r="H222" s="12"/>
      <c r="I222" s="18"/>
      <c r="J222" s="18"/>
      <c r="K222" s="12"/>
      <c r="L222" s="12"/>
      <c r="M222" s="12"/>
      <c r="N222" s="12"/>
      <c r="Q222" s="22"/>
      <c r="S222" s="73"/>
      <c r="T222" s="13"/>
      <c r="V222" s="12" t="str">
        <f t="shared" si="8"/>
        <v/>
      </c>
      <c r="W222" s="12" t="str">
        <f t="shared" si="9"/>
        <v/>
      </c>
    </row>
    <row r="223" spans="4:23" x14ac:dyDescent="0.25">
      <c r="D223" s="12"/>
      <c r="E223" s="12"/>
      <c r="F223" s="12"/>
      <c r="G223" s="18"/>
      <c r="H223" s="12"/>
      <c r="I223" s="18"/>
      <c r="J223" s="18"/>
      <c r="K223" s="12"/>
      <c r="L223" s="12"/>
      <c r="M223" s="12"/>
      <c r="N223" s="12"/>
      <c r="Q223" s="22"/>
      <c r="S223" s="73"/>
      <c r="T223" s="13"/>
      <c r="V223" s="12" t="str">
        <f t="shared" si="8"/>
        <v/>
      </c>
      <c r="W223" s="12" t="str">
        <f t="shared" si="9"/>
        <v/>
      </c>
    </row>
    <row r="224" spans="4:23" x14ac:dyDescent="0.25">
      <c r="D224" s="12"/>
      <c r="E224" s="12"/>
      <c r="F224" s="12"/>
      <c r="G224" s="18"/>
      <c r="H224" s="12"/>
      <c r="I224" s="18"/>
      <c r="J224" s="18"/>
      <c r="K224" s="12"/>
      <c r="L224" s="12"/>
      <c r="M224" s="12"/>
      <c r="N224" s="12"/>
      <c r="Q224" s="22"/>
      <c r="S224" s="73"/>
      <c r="T224" s="13"/>
      <c r="V224" s="12" t="str">
        <f t="shared" si="8"/>
        <v/>
      </c>
      <c r="W224" s="12" t="str">
        <f t="shared" si="9"/>
        <v/>
      </c>
    </row>
    <row r="225" spans="4:23" x14ac:dyDescent="0.25">
      <c r="D225" s="12"/>
      <c r="E225" s="12"/>
      <c r="F225" s="12"/>
      <c r="G225" s="18"/>
      <c r="H225" s="12"/>
      <c r="I225" s="18"/>
      <c r="J225" s="18"/>
      <c r="K225" s="12"/>
      <c r="L225" s="12"/>
      <c r="M225" s="12"/>
      <c r="N225" s="12"/>
      <c r="Q225" s="22"/>
      <c r="S225" s="73"/>
      <c r="T225" s="13"/>
      <c r="V225" s="12" t="str">
        <f t="shared" si="8"/>
        <v/>
      </c>
      <c r="W225" s="12" t="str">
        <f t="shared" si="9"/>
        <v/>
      </c>
    </row>
    <row r="226" spans="4:23" x14ac:dyDescent="0.25">
      <c r="D226" s="12"/>
      <c r="E226" s="12"/>
      <c r="F226" s="12"/>
      <c r="G226" s="18"/>
      <c r="H226" s="12"/>
      <c r="I226" s="18"/>
      <c r="J226" s="18"/>
      <c r="K226" s="12"/>
      <c r="L226" s="12"/>
      <c r="M226" s="12"/>
      <c r="N226" s="12"/>
      <c r="Q226" s="22"/>
      <c r="S226" s="73"/>
      <c r="T226" s="13"/>
      <c r="V226" s="12" t="str">
        <f t="shared" si="8"/>
        <v/>
      </c>
      <c r="W226" s="12" t="str">
        <f t="shared" si="9"/>
        <v/>
      </c>
    </row>
    <row r="227" spans="4:23" x14ac:dyDescent="0.25">
      <c r="D227" s="12"/>
      <c r="E227" s="12"/>
      <c r="F227" s="12"/>
      <c r="G227" s="18"/>
      <c r="H227" s="12"/>
      <c r="I227" s="18"/>
      <c r="J227" s="18"/>
      <c r="K227" s="12"/>
      <c r="L227" s="12"/>
      <c r="M227" s="12"/>
      <c r="N227" s="12"/>
      <c r="Q227" s="22"/>
      <c r="S227" s="73"/>
      <c r="T227" s="13"/>
      <c r="V227" s="12" t="str">
        <f t="shared" si="8"/>
        <v/>
      </c>
      <c r="W227" s="12" t="str">
        <f t="shared" si="9"/>
        <v/>
      </c>
    </row>
    <row r="228" spans="4:23" x14ac:dyDescent="0.25">
      <c r="D228" s="12"/>
      <c r="E228" s="12"/>
      <c r="F228" s="12"/>
      <c r="G228" s="18"/>
      <c r="H228" s="12"/>
      <c r="I228" s="18"/>
      <c r="J228" s="18"/>
      <c r="K228" s="12"/>
      <c r="L228" s="12"/>
      <c r="M228" s="12"/>
      <c r="N228" s="12"/>
      <c r="Q228" s="22"/>
      <c r="S228" s="73"/>
      <c r="T228" s="13"/>
      <c r="V228" s="12" t="str">
        <f t="shared" si="8"/>
        <v/>
      </c>
      <c r="W228" s="12" t="str">
        <f t="shared" si="9"/>
        <v/>
      </c>
    </row>
    <row r="229" spans="4:23" x14ac:dyDescent="0.25">
      <c r="D229" s="12"/>
      <c r="E229" s="12"/>
      <c r="F229" s="12"/>
      <c r="G229" s="18"/>
      <c r="H229" s="12"/>
      <c r="I229" s="18"/>
      <c r="J229" s="18"/>
      <c r="K229" s="12"/>
      <c r="L229" s="12"/>
      <c r="M229" s="12"/>
      <c r="N229" s="12"/>
      <c r="Q229" s="22"/>
      <c r="S229" s="73"/>
      <c r="T229" s="13"/>
      <c r="V229" s="12" t="str">
        <f t="shared" si="8"/>
        <v/>
      </c>
      <c r="W229" s="12" t="str">
        <f t="shared" si="9"/>
        <v/>
      </c>
    </row>
    <row r="230" spans="4:23" x14ac:dyDescent="0.25">
      <c r="D230" s="12"/>
      <c r="E230" s="12"/>
      <c r="F230" s="12"/>
      <c r="G230" s="18"/>
      <c r="H230" s="12"/>
      <c r="I230" s="18"/>
      <c r="J230" s="18"/>
      <c r="K230" s="12"/>
      <c r="L230" s="12"/>
      <c r="M230" s="12"/>
      <c r="N230" s="12"/>
      <c r="Q230" s="22"/>
      <c r="S230" s="73"/>
      <c r="T230" s="13"/>
      <c r="V230" s="12" t="str">
        <f t="shared" si="8"/>
        <v/>
      </c>
      <c r="W230" s="12" t="str">
        <f t="shared" si="9"/>
        <v/>
      </c>
    </row>
    <row r="231" spans="4:23" x14ac:dyDescent="0.25">
      <c r="D231" s="12"/>
      <c r="E231" s="12"/>
      <c r="F231" s="12"/>
      <c r="G231" s="18"/>
      <c r="H231" s="12"/>
      <c r="I231" s="18"/>
      <c r="J231" s="18"/>
      <c r="K231" s="12"/>
      <c r="L231" s="12"/>
      <c r="M231" s="12"/>
      <c r="N231" s="12"/>
      <c r="Q231" s="22"/>
      <c r="S231" s="73"/>
      <c r="T231" s="13"/>
      <c r="V231" s="12" t="str">
        <f t="shared" si="8"/>
        <v/>
      </c>
      <c r="W231" s="12" t="str">
        <f t="shared" si="9"/>
        <v/>
      </c>
    </row>
    <row r="232" spans="4:23" x14ac:dyDescent="0.25">
      <c r="D232" s="12"/>
      <c r="E232" s="12"/>
      <c r="F232" s="12"/>
      <c r="G232" s="18"/>
      <c r="H232" s="12"/>
      <c r="I232" s="18"/>
      <c r="J232" s="18"/>
      <c r="K232" s="12"/>
      <c r="L232" s="12"/>
      <c r="M232" s="12"/>
      <c r="N232" s="12"/>
      <c r="Q232" s="22"/>
      <c r="S232" s="73"/>
      <c r="T232" s="13"/>
      <c r="V232" s="12" t="str">
        <f t="shared" si="8"/>
        <v/>
      </c>
      <c r="W232" s="12" t="str">
        <f t="shared" si="9"/>
        <v/>
      </c>
    </row>
    <row r="233" spans="4:23" x14ac:dyDescent="0.25">
      <c r="D233" s="12"/>
      <c r="E233" s="12"/>
      <c r="F233" s="12"/>
      <c r="G233" s="18"/>
      <c r="H233" s="12"/>
      <c r="I233" s="18"/>
      <c r="J233" s="18"/>
      <c r="K233" s="12"/>
      <c r="L233" s="12"/>
      <c r="M233" s="12"/>
      <c r="N233" s="12"/>
      <c r="Q233" s="22"/>
      <c r="S233" s="73"/>
      <c r="T233" s="13"/>
      <c r="V233" s="12" t="str">
        <f t="shared" si="8"/>
        <v/>
      </c>
      <c r="W233" s="12" t="str">
        <f t="shared" si="9"/>
        <v/>
      </c>
    </row>
    <row r="234" spans="4:23" x14ac:dyDescent="0.25">
      <c r="D234" s="12"/>
      <c r="E234" s="12"/>
      <c r="F234" s="12"/>
      <c r="G234" s="18"/>
      <c r="H234" s="12"/>
      <c r="I234" s="18"/>
      <c r="J234" s="18"/>
      <c r="K234" s="12"/>
      <c r="L234" s="12"/>
      <c r="M234" s="12"/>
      <c r="N234" s="12"/>
      <c r="Q234" s="22"/>
      <c r="S234" s="73"/>
      <c r="T234" s="13"/>
      <c r="V234" s="12" t="str">
        <f t="shared" si="8"/>
        <v/>
      </c>
      <c r="W234" s="12" t="str">
        <f t="shared" si="9"/>
        <v/>
      </c>
    </row>
    <row r="235" spans="4:23" x14ac:dyDescent="0.25">
      <c r="D235" s="12"/>
      <c r="E235" s="12"/>
      <c r="F235" s="12"/>
      <c r="G235" s="18"/>
      <c r="H235" s="12"/>
      <c r="I235" s="18"/>
      <c r="J235" s="18"/>
      <c r="K235" s="12"/>
      <c r="L235" s="12"/>
      <c r="M235" s="12"/>
      <c r="N235" s="12"/>
      <c r="Q235" s="22"/>
      <c r="S235" s="73"/>
      <c r="T235" s="13"/>
      <c r="V235" s="12" t="str">
        <f t="shared" si="8"/>
        <v/>
      </c>
      <c r="W235" s="12" t="str">
        <f t="shared" si="9"/>
        <v/>
      </c>
    </row>
    <row r="236" spans="4:23" x14ac:dyDescent="0.25">
      <c r="D236" s="12"/>
      <c r="E236" s="12"/>
      <c r="F236" s="12"/>
      <c r="G236" s="18"/>
      <c r="H236" s="12"/>
      <c r="I236" s="18"/>
      <c r="J236" s="18"/>
      <c r="K236" s="12"/>
      <c r="L236" s="12"/>
      <c r="M236" s="12"/>
      <c r="N236" s="12"/>
      <c r="Q236" s="22"/>
      <c r="S236" s="73"/>
      <c r="T236" s="13"/>
      <c r="V236" s="12" t="str">
        <f t="shared" si="8"/>
        <v/>
      </c>
      <c r="W236" s="12" t="str">
        <f t="shared" si="9"/>
        <v/>
      </c>
    </row>
    <row r="237" spans="4:23" x14ac:dyDescent="0.25">
      <c r="D237" s="12"/>
      <c r="E237" s="12"/>
      <c r="F237" s="12"/>
      <c r="G237" s="18"/>
      <c r="H237" s="12"/>
      <c r="I237" s="18"/>
      <c r="J237" s="18"/>
      <c r="K237" s="12"/>
      <c r="L237" s="12"/>
      <c r="M237" s="12"/>
      <c r="N237" s="12"/>
      <c r="Q237" s="22"/>
      <c r="S237" s="73"/>
      <c r="T237" s="13"/>
      <c r="V237" s="12" t="str">
        <f t="shared" si="8"/>
        <v/>
      </c>
      <c r="W237" s="12" t="str">
        <f t="shared" si="9"/>
        <v/>
      </c>
    </row>
    <row r="238" spans="4:23" x14ac:dyDescent="0.25">
      <c r="D238" s="12"/>
      <c r="E238" s="12"/>
      <c r="F238" s="12"/>
      <c r="G238" s="18"/>
      <c r="H238" s="12"/>
      <c r="I238" s="18"/>
      <c r="J238" s="18"/>
      <c r="K238" s="12"/>
      <c r="L238" s="12"/>
      <c r="M238" s="12"/>
      <c r="N238" s="12"/>
      <c r="Q238" s="22"/>
      <c r="S238" s="73"/>
      <c r="T238" s="13"/>
      <c r="V238" s="12" t="str">
        <f t="shared" si="8"/>
        <v/>
      </c>
      <c r="W238" s="12" t="str">
        <f t="shared" si="9"/>
        <v/>
      </c>
    </row>
    <row r="239" spans="4:23" x14ac:dyDescent="0.25">
      <c r="D239" s="12"/>
      <c r="E239" s="12"/>
      <c r="F239" s="12"/>
      <c r="G239" s="18"/>
      <c r="H239" s="12"/>
      <c r="I239" s="18"/>
      <c r="J239" s="18"/>
      <c r="K239" s="12"/>
      <c r="L239" s="12"/>
      <c r="M239" s="12"/>
      <c r="N239" s="12"/>
      <c r="Q239" s="22"/>
      <c r="S239" s="73"/>
      <c r="T239" s="13"/>
      <c r="V239" s="12" t="str">
        <f t="shared" si="8"/>
        <v/>
      </c>
      <c r="W239" s="12" t="str">
        <f t="shared" si="9"/>
        <v/>
      </c>
    </row>
    <row r="240" spans="4:23" x14ac:dyDescent="0.25">
      <c r="D240" s="12"/>
      <c r="E240" s="12"/>
      <c r="F240" s="12"/>
      <c r="G240" s="18"/>
      <c r="H240" s="12"/>
      <c r="I240" s="18"/>
      <c r="J240" s="18"/>
      <c r="K240" s="12"/>
      <c r="L240" s="12"/>
      <c r="M240" s="12"/>
      <c r="N240" s="12"/>
      <c r="Q240" s="22"/>
      <c r="S240" s="73"/>
      <c r="T240" s="13"/>
      <c r="V240" s="12" t="str">
        <f t="shared" si="8"/>
        <v/>
      </c>
      <c r="W240" s="12" t="str">
        <f t="shared" si="9"/>
        <v/>
      </c>
    </row>
    <row r="241" spans="4:23" x14ac:dyDescent="0.25">
      <c r="D241" s="12"/>
      <c r="E241" s="12"/>
      <c r="F241" s="12"/>
      <c r="G241" s="18"/>
      <c r="H241" s="12"/>
      <c r="I241" s="18"/>
      <c r="J241" s="18"/>
      <c r="K241" s="12"/>
      <c r="L241" s="12"/>
      <c r="M241" s="12"/>
      <c r="N241" s="12"/>
      <c r="Q241" s="22"/>
      <c r="S241" s="73"/>
      <c r="T241" s="13"/>
      <c r="V241" s="12" t="str">
        <f t="shared" si="8"/>
        <v/>
      </c>
      <c r="W241" s="12" t="str">
        <f t="shared" si="9"/>
        <v/>
      </c>
    </row>
    <row r="242" spans="4:23" x14ac:dyDescent="0.25">
      <c r="D242" s="12"/>
      <c r="E242" s="12"/>
      <c r="F242" s="12"/>
      <c r="G242" s="18"/>
      <c r="H242" s="12"/>
      <c r="I242" s="18"/>
      <c r="J242" s="18"/>
      <c r="K242" s="12"/>
      <c r="L242" s="12"/>
      <c r="M242" s="12"/>
      <c r="N242" s="12"/>
      <c r="Q242" s="22"/>
      <c r="S242" s="73"/>
      <c r="T242" s="13"/>
      <c r="V242" s="12" t="str">
        <f t="shared" si="8"/>
        <v/>
      </c>
      <c r="W242" s="12" t="str">
        <f t="shared" si="9"/>
        <v/>
      </c>
    </row>
    <row r="243" spans="4:23" x14ac:dyDescent="0.25">
      <c r="D243" s="12"/>
      <c r="E243" s="12"/>
      <c r="F243" s="12"/>
      <c r="G243" s="18"/>
      <c r="H243" s="12"/>
      <c r="I243" s="18"/>
      <c r="J243" s="18"/>
      <c r="K243" s="12"/>
      <c r="L243" s="12"/>
      <c r="M243" s="12"/>
      <c r="N243" s="12"/>
      <c r="Q243" s="22"/>
      <c r="S243" s="73"/>
      <c r="T243" s="13"/>
      <c r="V243" s="12" t="str">
        <f t="shared" si="8"/>
        <v/>
      </c>
      <c r="W243" s="12" t="str">
        <f t="shared" si="9"/>
        <v/>
      </c>
    </row>
    <row r="244" spans="4:23" x14ac:dyDescent="0.25">
      <c r="D244" s="12"/>
      <c r="E244" s="12"/>
      <c r="F244" s="12"/>
      <c r="G244" s="18"/>
      <c r="H244" s="12"/>
      <c r="I244" s="18"/>
      <c r="J244" s="18"/>
      <c r="K244" s="12"/>
      <c r="L244" s="12"/>
      <c r="M244" s="12"/>
      <c r="N244" s="12"/>
      <c r="Q244" s="22"/>
      <c r="S244" s="73"/>
      <c r="T244" s="13"/>
      <c r="V244" s="12" t="str">
        <f t="shared" si="8"/>
        <v/>
      </c>
      <c r="W244" s="12" t="str">
        <f t="shared" si="9"/>
        <v/>
      </c>
    </row>
    <row r="245" spans="4:23" x14ac:dyDescent="0.25">
      <c r="D245" s="12"/>
      <c r="E245" s="12"/>
      <c r="F245" s="12"/>
      <c r="G245" s="18"/>
      <c r="H245" s="12"/>
      <c r="I245" s="18"/>
      <c r="J245" s="18"/>
      <c r="K245" s="12"/>
      <c r="L245" s="12"/>
      <c r="M245" s="12"/>
      <c r="N245" s="12"/>
      <c r="Q245" s="22"/>
      <c r="S245" s="73"/>
      <c r="T245" s="13"/>
      <c r="V245" s="12" t="str">
        <f t="shared" si="8"/>
        <v/>
      </c>
      <c r="W245" s="12" t="str">
        <f t="shared" si="9"/>
        <v/>
      </c>
    </row>
    <row r="246" spans="4:23" x14ac:dyDescent="0.25">
      <c r="D246" s="12"/>
      <c r="E246" s="12"/>
      <c r="F246" s="12"/>
      <c r="G246" s="18"/>
      <c r="H246" s="12"/>
      <c r="I246" s="18"/>
      <c r="J246" s="18"/>
      <c r="K246" s="12"/>
      <c r="L246" s="12"/>
      <c r="M246" s="12"/>
      <c r="N246" s="12"/>
      <c r="Q246" s="22"/>
      <c r="S246" s="73"/>
      <c r="T246" s="13"/>
      <c r="V246" s="12" t="str">
        <f t="shared" si="8"/>
        <v/>
      </c>
      <c r="W246" s="12" t="str">
        <f t="shared" si="9"/>
        <v/>
      </c>
    </row>
    <row r="247" spans="4:23" x14ac:dyDescent="0.25">
      <c r="D247" s="12"/>
      <c r="E247" s="12"/>
      <c r="F247" s="12"/>
      <c r="G247" s="18"/>
      <c r="H247" s="12"/>
      <c r="I247" s="18"/>
      <c r="J247" s="18"/>
      <c r="K247" s="12"/>
      <c r="L247" s="12"/>
      <c r="M247" s="12"/>
      <c r="N247" s="12"/>
      <c r="Q247" s="22"/>
      <c r="S247" s="73"/>
      <c r="T247" s="13"/>
      <c r="V247" s="12" t="str">
        <f t="shared" si="8"/>
        <v/>
      </c>
      <c r="W247" s="12" t="str">
        <f t="shared" si="9"/>
        <v/>
      </c>
    </row>
    <row r="248" spans="4:23" x14ac:dyDescent="0.25">
      <c r="D248" s="12"/>
      <c r="E248" s="12"/>
      <c r="F248" s="12"/>
      <c r="G248" s="18"/>
      <c r="H248" s="12"/>
      <c r="I248" s="18"/>
      <c r="J248" s="18"/>
      <c r="K248" s="12"/>
      <c r="L248" s="12"/>
      <c r="M248" s="12"/>
      <c r="N248" s="12"/>
      <c r="Q248" s="22"/>
      <c r="S248" s="73"/>
      <c r="T248" s="13"/>
      <c r="V248" s="12" t="str">
        <f t="shared" si="8"/>
        <v/>
      </c>
      <c r="W248" s="12" t="str">
        <f t="shared" si="9"/>
        <v/>
      </c>
    </row>
    <row r="249" spans="4:23" x14ac:dyDescent="0.25">
      <c r="D249" s="12"/>
      <c r="E249" s="12"/>
      <c r="F249" s="12"/>
      <c r="G249" s="18"/>
      <c r="H249" s="12"/>
      <c r="I249" s="18"/>
      <c r="J249" s="18"/>
      <c r="K249" s="12"/>
      <c r="L249" s="12"/>
      <c r="M249" s="12"/>
      <c r="N249" s="12"/>
      <c r="Q249" s="22"/>
      <c r="S249" s="73"/>
      <c r="T249" s="13"/>
      <c r="V249" s="12" t="str">
        <f t="shared" si="8"/>
        <v/>
      </c>
      <c r="W249" s="12" t="str">
        <f t="shared" si="9"/>
        <v/>
      </c>
    </row>
    <row r="250" spans="4:23" x14ac:dyDescent="0.25">
      <c r="D250" s="12"/>
      <c r="E250" s="12"/>
      <c r="F250" s="12"/>
      <c r="G250" s="18"/>
      <c r="H250" s="12"/>
      <c r="I250" s="18"/>
      <c r="J250" s="18"/>
      <c r="K250" s="12"/>
      <c r="L250" s="12"/>
      <c r="M250" s="12"/>
      <c r="N250" s="12"/>
      <c r="Q250" s="22"/>
      <c r="S250" s="73"/>
      <c r="T250" s="13"/>
      <c r="V250" s="12" t="str">
        <f t="shared" si="8"/>
        <v/>
      </c>
      <c r="W250" s="12" t="str">
        <f t="shared" si="9"/>
        <v/>
      </c>
    </row>
    <row r="251" spans="4:23" x14ac:dyDescent="0.25">
      <c r="D251" s="12"/>
      <c r="E251" s="12"/>
      <c r="F251" s="12"/>
      <c r="G251" s="18"/>
      <c r="H251" s="12"/>
      <c r="I251" s="18"/>
      <c r="J251" s="18"/>
      <c r="K251" s="12"/>
      <c r="L251" s="12"/>
      <c r="M251" s="12"/>
      <c r="N251" s="12"/>
      <c r="Q251" s="22"/>
      <c r="S251" s="73"/>
      <c r="T251" s="13"/>
      <c r="V251" s="12" t="str">
        <f t="shared" si="8"/>
        <v/>
      </c>
      <c r="W251" s="12" t="str">
        <f t="shared" si="9"/>
        <v/>
      </c>
    </row>
    <row r="252" spans="4:23" x14ac:dyDescent="0.25">
      <c r="D252" s="12"/>
      <c r="E252" s="12"/>
      <c r="F252" s="12"/>
      <c r="G252" s="18"/>
      <c r="H252" s="12"/>
      <c r="I252" s="18"/>
      <c r="J252" s="18"/>
      <c r="K252" s="12"/>
      <c r="L252" s="12"/>
      <c r="M252" s="12"/>
      <c r="N252" s="12"/>
      <c r="Q252" s="22"/>
      <c r="S252" s="73"/>
      <c r="T252" s="13"/>
      <c r="V252" s="12" t="str">
        <f t="shared" si="8"/>
        <v/>
      </c>
      <c r="W252" s="12" t="str">
        <f t="shared" si="9"/>
        <v/>
      </c>
    </row>
    <row r="253" spans="4:23" x14ac:dyDescent="0.25">
      <c r="D253" s="12"/>
      <c r="E253" s="12"/>
      <c r="F253" s="12"/>
      <c r="G253" s="18"/>
      <c r="H253" s="12"/>
      <c r="I253" s="18"/>
      <c r="J253" s="18"/>
      <c r="K253" s="12"/>
      <c r="L253" s="12"/>
      <c r="M253" s="12"/>
      <c r="N253" s="12"/>
      <c r="Q253" s="22"/>
      <c r="S253" s="73"/>
      <c r="T253" s="13"/>
      <c r="V253" s="12" t="str">
        <f t="shared" si="8"/>
        <v/>
      </c>
      <c r="W253" s="12" t="str">
        <f t="shared" si="9"/>
        <v/>
      </c>
    </row>
    <row r="254" spans="4:23" x14ac:dyDescent="0.25">
      <c r="D254" s="12"/>
      <c r="E254" s="12"/>
      <c r="F254" s="12"/>
      <c r="G254" s="18"/>
      <c r="H254" s="12"/>
      <c r="I254" s="18"/>
      <c r="J254" s="18"/>
      <c r="K254" s="12"/>
      <c r="L254" s="12"/>
      <c r="M254" s="12"/>
      <c r="N254" s="12"/>
      <c r="Q254" s="22"/>
      <c r="S254" s="73"/>
      <c r="T254" s="13"/>
      <c r="V254" s="12" t="str">
        <f t="shared" si="8"/>
        <v/>
      </c>
      <c r="W254" s="12" t="str">
        <f t="shared" si="9"/>
        <v/>
      </c>
    </row>
    <row r="255" spans="4:23" x14ac:dyDescent="0.25">
      <c r="D255" s="12"/>
      <c r="E255" s="12"/>
      <c r="F255" s="12"/>
      <c r="G255" s="18"/>
      <c r="H255" s="12"/>
      <c r="I255" s="18"/>
      <c r="J255" s="18"/>
      <c r="K255" s="12"/>
      <c r="L255" s="12"/>
      <c r="M255" s="12"/>
      <c r="N255" s="12"/>
      <c r="Q255" s="22"/>
      <c r="S255" s="73"/>
      <c r="T255" s="13"/>
      <c r="V255" s="12" t="str">
        <f t="shared" si="8"/>
        <v/>
      </c>
      <c r="W255" s="12" t="str">
        <f t="shared" si="9"/>
        <v/>
      </c>
    </row>
    <row r="256" spans="4:23" x14ac:dyDescent="0.25">
      <c r="D256" s="12"/>
      <c r="E256" s="12"/>
      <c r="F256" s="12"/>
      <c r="G256" s="18"/>
      <c r="H256" s="12"/>
      <c r="I256" s="18"/>
      <c r="J256" s="18"/>
      <c r="K256" s="12"/>
      <c r="L256" s="12"/>
      <c r="M256" s="12"/>
      <c r="N256" s="12"/>
      <c r="Q256" s="22"/>
      <c r="S256" s="73"/>
      <c r="T256" s="13"/>
      <c r="V256" s="12" t="str">
        <f t="shared" si="8"/>
        <v/>
      </c>
      <c r="W256" s="12" t="str">
        <f t="shared" si="9"/>
        <v/>
      </c>
    </row>
    <row r="257" spans="4:23" x14ac:dyDescent="0.25">
      <c r="D257" s="12"/>
      <c r="E257" s="12"/>
      <c r="F257" s="12"/>
      <c r="G257" s="18"/>
      <c r="H257" s="12"/>
      <c r="I257" s="18"/>
      <c r="J257" s="18"/>
      <c r="K257" s="12"/>
      <c r="L257" s="12"/>
      <c r="M257" s="12"/>
      <c r="N257" s="12"/>
      <c r="Q257" s="22"/>
      <c r="S257" s="73"/>
      <c r="T257" s="13"/>
      <c r="V257" s="12" t="str">
        <f t="shared" si="8"/>
        <v/>
      </c>
      <c r="W257" s="12" t="str">
        <f t="shared" si="9"/>
        <v/>
      </c>
    </row>
    <row r="258" spans="4:23" x14ac:dyDescent="0.25">
      <c r="D258" s="12"/>
      <c r="E258" s="12"/>
      <c r="F258" s="12"/>
      <c r="G258" s="18"/>
      <c r="H258" s="12"/>
      <c r="I258" s="18"/>
      <c r="J258" s="18"/>
      <c r="K258" s="12"/>
      <c r="L258" s="12"/>
      <c r="M258" s="12"/>
      <c r="N258" s="12"/>
      <c r="Q258" s="22"/>
      <c r="S258" s="73"/>
      <c r="T258" s="13"/>
      <c r="V258" s="12" t="str">
        <f t="shared" si="8"/>
        <v/>
      </c>
      <c r="W258" s="12" t="str">
        <f t="shared" si="9"/>
        <v/>
      </c>
    </row>
    <row r="259" spans="4:23" x14ac:dyDescent="0.25">
      <c r="D259" s="12"/>
      <c r="E259" s="12"/>
      <c r="F259" s="12"/>
      <c r="G259" s="18"/>
      <c r="H259" s="12"/>
      <c r="I259" s="18"/>
      <c r="J259" s="18"/>
      <c r="K259" s="12"/>
      <c r="L259" s="12"/>
      <c r="M259" s="12"/>
      <c r="N259" s="12"/>
      <c r="Q259" s="22"/>
      <c r="S259" s="73"/>
      <c r="T259" s="13"/>
      <c r="V259" s="12" t="str">
        <f t="shared" si="8"/>
        <v/>
      </c>
      <c r="W259" s="12" t="str">
        <f t="shared" si="9"/>
        <v/>
      </c>
    </row>
    <row r="260" spans="4:23" x14ac:dyDescent="0.25">
      <c r="D260" s="12"/>
      <c r="E260" s="12"/>
      <c r="F260" s="12"/>
      <c r="G260" s="18"/>
      <c r="H260" s="12"/>
      <c r="I260" s="18"/>
      <c r="J260" s="18"/>
      <c r="K260" s="12"/>
      <c r="L260" s="12"/>
      <c r="M260" s="12"/>
      <c r="N260" s="12"/>
      <c r="Q260" s="22"/>
      <c r="S260" s="73"/>
      <c r="T260" s="13"/>
      <c r="V260" s="12" t="str">
        <f t="shared" si="8"/>
        <v/>
      </c>
      <c r="W260" s="12" t="str">
        <f t="shared" si="9"/>
        <v/>
      </c>
    </row>
    <row r="261" spans="4:23" x14ac:dyDescent="0.25">
      <c r="D261" s="12"/>
      <c r="E261" s="12"/>
      <c r="F261" s="12"/>
      <c r="G261" s="18"/>
      <c r="H261" s="12"/>
      <c r="I261" s="18"/>
      <c r="J261" s="18"/>
      <c r="K261" s="12"/>
      <c r="L261" s="12"/>
      <c r="M261" s="12"/>
      <c r="N261" s="12"/>
      <c r="Q261" s="22"/>
      <c r="S261" s="73"/>
      <c r="T261" s="13"/>
      <c r="V261" s="12" t="str">
        <f t="shared" si="8"/>
        <v/>
      </c>
      <c r="W261" s="12" t="str">
        <f t="shared" si="9"/>
        <v/>
      </c>
    </row>
    <row r="262" spans="4:23" x14ac:dyDescent="0.25">
      <c r="D262" s="12"/>
      <c r="E262" s="12"/>
      <c r="F262" s="12"/>
      <c r="G262" s="18"/>
      <c r="H262" s="12"/>
      <c r="I262" s="18"/>
      <c r="J262" s="18"/>
      <c r="K262" s="12"/>
      <c r="L262" s="12"/>
      <c r="M262" s="12"/>
      <c r="N262" s="12"/>
      <c r="Q262" s="22"/>
      <c r="S262" s="73"/>
      <c r="T262" s="13"/>
      <c r="V262" s="12" t="str">
        <f t="shared" si="8"/>
        <v/>
      </c>
      <c r="W262" s="12" t="str">
        <f t="shared" si="9"/>
        <v/>
      </c>
    </row>
    <row r="263" spans="4:23" x14ac:dyDescent="0.25">
      <c r="D263" s="12"/>
      <c r="E263" s="12"/>
      <c r="F263" s="12"/>
      <c r="G263" s="18"/>
      <c r="H263" s="12"/>
      <c r="I263" s="18"/>
      <c r="J263" s="18"/>
      <c r="K263" s="12"/>
      <c r="L263" s="12"/>
      <c r="M263" s="12"/>
      <c r="N263" s="12"/>
      <c r="Q263" s="22"/>
      <c r="S263" s="73"/>
      <c r="T263" s="13"/>
      <c r="V263" s="12" t="str">
        <f t="shared" ref="V263:V326" si="10">IF(B263=0,"",IF(B263="-",V262+1,0))</f>
        <v/>
      </c>
      <c r="W263" s="12" t="str">
        <f t="shared" ref="W263:W326" si="11">IF(A263=0,"",ROW())</f>
        <v/>
      </c>
    </row>
    <row r="264" spans="4:23" x14ac:dyDescent="0.25">
      <c r="D264" s="12"/>
      <c r="E264" s="12"/>
      <c r="F264" s="12"/>
      <c r="G264" s="18"/>
      <c r="H264" s="12"/>
      <c r="I264" s="18"/>
      <c r="J264" s="18"/>
      <c r="K264" s="12"/>
      <c r="L264" s="12"/>
      <c r="M264" s="12"/>
      <c r="N264" s="12"/>
      <c r="Q264" s="22"/>
      <c r="S264" s="73"/>
      <c r="T264" s="13"/>
      <c r="V264" s="12" t="str">
        <f t="shared" si="10"/>
        <v/>
      </c>
      <c r="W264" s="12" t="str">
        <f t="shared" si="11"/>
        <v/>
      </c>
    </row>
    <row r="265" spans="4:23" x14ac:dyDescent="0.25">
      <c r="D265" s="12"/>
      <c r="E265" s="12"/>
      <c r="F265" s="12"/>
      <c r="G265" s="18"/>
      <c r="H265" s="12"/>
      <c r="I265" s="18"/>
      <c r="J265" s="18"/>
      <c r="K265" s="12"/>
      <c r="L265" s="12"/>
      <c r="M265" s="12"/>
      <c r="N265" s="12"/>
      <c r="Q265" s="22"/>
      <c r="S265" s="73"/>
      <c r="T265" s="13"/>
      <c r="V265" s="12" t="str">
        <f t="shared" si="10"/>
        <v/>
      </c>
      <c r="W265" s="12" t="str">
        <f t="shared" si="11"/>
        <v/>
      </c>
    </row>
    <row r="266" spans="4:23" x14ac:dyDescent="0.25">
      <c r="D266" s="12"/>
      <c r="E266" s="12"/>
      <c r="F266" s="12"/>
      <c r="G266" s="18"/>
      <c r="H266" s="12"/>
      <c r="I266" s="18"/>
      <c r="J266" s="18"/>
      <c r="K266" s="12"/>
      <c r="L266" s="12"/>
      <c r="M266" s="12"/>
      <c r="N266" s="12"/>
      <c r="Q266" s="22"/>
      <c r="S266" s="73"/>
      <c r="T266" s="13"/>
      <c r="V266" s="12" t="str">
        <f t="shared" si="10"/>
        <v/>
      </c>
      <c r="W266" s="12" t="str">
        <f t="shared" si="11"/>
        <v/>
      </c>
    </row>
    <row r="267" spans="4:23" x14ac:dyDescent="0.25">
      <c r="D267" s="12"/>
      <c r="E267" s="12"/>
      <c r="F267" s="12"/>
      <c r="G267" s="18"/>
      <c r="H267" s="12"/>
      <c r="I267" s="18"/>
      <c r="J267" s="18"/>
      <c r="K267" s="12"/>
      <c r="L267" s="12"/>
      <c r="M267" s="12"/>
      <c r="N267" s="12"/>
      <c r="Q267" s="22"/>
      <c r="S267" s="73"/>
      <c r="T267" s="13"/>
      <c r="V267" s="12" t="str">
        <f t="shared" si="10"/>
        <v/>
      </c>
      <c r="W267" s="12" t="str">
        <f t="shared" si="11"/>
        <v/>
      </c>
    </row>
    <row r="268" spans="4:23" x14ac:dyDescent="0.25">
      <c r="D268" s="12"/>
      <c r="E268" s="12"/>
      <c r="F268" s="12"/>
      <c r="G268" s="18"/>
      <c r="H268" s="12"/>
      <c r="I268" s="18"/>
      <c r="J268" s="18"/>
      <c r="K268" s="12"/>
      <c r="L268" s="12"/>
      <c r="M268" s="12"/>
      <c r="N268" s="12"/>
      <c r="Q268" s="22"/>
      <c r="S268" s="73"/>
      <c r="T268" s="13"/>
      <c r="V268" s="12" t="str">
        <f t="shared" si="10"/>
        <v/>
      </c>
      <c r="W268" s="12" t="str">
        <f t="shared" si="11"/>
        <v/>
      </c>
    </row>
    <row r="269" spans="4:23" x14ac:dyDescent="0.25">
      <c r="D269" s="12"/>
      <c r="E269" s="12"/>
      <c r="F269" s="12"/>
      <c r="G269" s="18"/>
      <c r="H269" s="12"/>
      <c r="I269" s="18"/>
      <c r="J269" s="18"/>
      <c r="K269" s="12"/>
      <c r="L269" s="12"/>
      <c r="M269" s="12"/>
      <c r="N269" s="12"/>
      <c r="Q269" s="22"/>
      <c r="S269" s="73"/>
      <c r="T269" s="13"/>
      <c r="V269" s="12" t="str">
        <f t="shared" si="10"/>
        <v/>
      </c>
      <c r="W269" s="12" t="str">
        <f t="shared" si="11"/>
        <v/>
      </c>
    </row>
    <row r="270" spans="4:23" x14ac:dyDescent="0.25">
      <c r="D270" s="12"/>
      <c r="E270" s="12"/>
      <c r="F270" s="12"/>
      <c r="G270" s="18"/>
      <c r="H270" s="12"/>
      <c r="I270" s="18"/>
      <c r="J270" s="18"/>
      <c r="K270" s="12"/>
      <c r="L270" s="12"/>
      <c r="M270" s="12"/>
      <c r="N270" s="12"/>
      <c r="Q270" s="22"/>
      <c r="S270" s="73"/>
      <c r="T270" s="13"/>
      <c r="V270" s="12" t="str">
        <f t="shared" si="10"/>
        <v/>
      </c>
      <c r="W270" s="12" t="str">
        <f t="shared" si="11"/>
        <v/>
      </c>
    </row>
    <row r="271" spans="4:23" x14ac:dyDescent="0.25">
      <c r="D271" s="12"/>
      <c r="E271" s="12"/>
      <c r="F271" s="12"/>
      <c r="G271" s="18"/>
      <c r="H271" s="12"/>
      <c r="I271" s="18"/>
      <c r="J271" s="18"/>
      <c r="K271" s="12"/>
      <c r="L271" s="12"/>
      <c r="M271" s="12"/>
      <c r="N271" s="12"/>
      <c r="Q271" s="22"/>
      <c r="S271" s="73"/>
      <c r="T271" s="13"/>
      <c r="V271" s="12" t="str">
        <f t="shared" si="10"/>
        <v/>
      </c>
      <c r="W271" s="12" t="str">
        <f t="shared" si="11"/>
        <v/>
      </c>
    </row>
    <row r="272" spans="4:23" x14ac:dyDescent="0.25">
      <c r="D272" s="12"/>
      <c r="E272" s="12"/>
      <c r="F272" s="12"/>
      <c r="G272" s="18"/>
      <c r="H272" s="12"/>
      <c r="I272" s="18"/>
      <c r="J272" s="18"/>
      <c r="K272" s="12"/>
      <c r="L272" s="12"/>
      <c r="M272" s="12"/>
      <c r="N272" s="12"/>
      <c r="Q272" s="22"/>
      <c r="S272" s="73"/>
      <c r="T272" s="13"/>
      <c r="V272" s="12" t="str">
        <f t="shared" si="10"/>
        <v/>
      </c>
      <c r="W272" s="12" t="str">
        <f t="shared" si="11"/>
        <v/>
      </c>
    </row>
    <row r="273" spans="4:23" x14ac:dyDescent="0.25">
      <c r="D273" s="12"/>
      <c r="E273" s="12"/>
      <c r="F273" s="12"/>
      <c r="G273" s="18"/>
      <c r="H273" s="12"/>
      <c r="I273" s="18"/>
      <c r="J273" s="18"/>
      <c r="K273" s="12"/>
      <c r="L273" s="12"/>
      <c r="M273" s="12"/>
      <c r="N273" s="12"/>
      <c r="Q273" s="22"/>
      <c r="S273" s="73"/>
      <c r="T273" s="13"/>
      <c r="V273" s="12" t="str">
        <f t="shared" si="10"/>
        <v/>
      </c>
      <c r="W273" s="12" t="str">
        <f t="shared" si="11"/>
        <v/>
      </c>
    </row>
    <row r="274" spans="4:23" x14ac:dyDescent="0.25">
      <c r="D274" s="12"/>
      <c r="E274" s="12"/>
      <c r="F274" s="12"/>
      <c r="G274" s="18"/>
      <c r="H274" s="12"/>
      <c r="I274" s="18"/>
      <c r="J274" s="18"/>
      <c r="K274" s="12"/>
      <c r="L274" s="12"/>
      <c r="M274" s="12"/>
      <c r="N274" s="12"/>
      <c r="Q274" s="22"/>
      <c r="S274" s="73"/>
      <c r="T274" s="13"/>
      <c r="V274" s="12" t="str">
        <f t="shared" si="10"/>
        <v/>
      </c>
      <c r="W274" s="12" t="str">
        <f t="shared" si="11"/>
        <v/>
      </c>
    </row>
    <row r="275" spans="4:23" x14ac:dyDescent="0.25">
      <c r="D275" s="12"/>
      <c r="E275" s="12"/>
      <c r="F275" s="12"/>
      <c r="G275" s="18"/>
      <c r="H275" s="12"/>
      <c r="I275" s="18"/>
      <c r="J275" s="18"/>
      <c r="K275" s="12"/>
      <c r="L275" s="12"/>
      <c r="M275" s="12"/>
      <c r="N275" s="12"/>
      <c r="Q275" s="22"/>
      <c r="S275" s="73"/>
      <c r="T275" s="13"/>
      <c r="V275" s="12" t="str">
        <f t="shared" si="10"/>
        <v/>
      </c>
      <c r="W275" s="12" t="str">
        <f t="shared" si="11"/>
        <v/>
      </c>
    </row>
    <row r="276" spans="4:23" x14ac:dyDescent="0.25">
      <c r="D276" s="12"/>
      <c r="E276" s="12"/>
      <c r="F276" s="12"/>
      <c r="G276" s="18"/>
      <c r="H276" s="12"/>
      <c r="I276" s="18"/>
      <c r="J276" s="18"/>
      <c r="K276" s="12"/>
      <c r="L276" s="12"/>
      <c r="M276" s="12"/>
      <c r="N276" s="12"/>
      <c r="Q276" s="22"/>
      <c r="S276" s="73"/>
      <c r="T276" s="13"/>
      <c r="V276" s="12" t="str">
        <f t="shared" si="10"/>
        <v/>
      </c>
      <c r="W276" s="12" t="str">
        <f t="shared" si="11"/>
        <v/>
      </c>
    </row>
    <row r="277" spans="4:23" x14ac:dyDescent="0.25">
      <c r="D277" s="12"/>
      <c r="E277" s="12"/>
      <c r="F277" s="12"/>
      <c r="G277" s="18"/>
      <c r="H277" s="12"/>
      <c r="I277" s="18"/>
      <c r="J277" s="18"/>
      <c r="K277" s="12"/>
      <c r="L277" s="12"/>
      <c r="M277" s="12"/>
      <c r="N277" s="12"/>
      <c r="Q277" s="22"/>
      <c r="S277" s="73"/>
      <c r="T277" s="13"/>
      <c r="V277" s="12" t="str">
        <f t="shared" si="10"/>
        <v/>
      </c>
      <c r="W277" s="12" t="str">
        <f t="shared" si="11"/>
        <v/>
      </c>
    </row>
    <row r="278" spans="4:23" x14ac:dyDescent="0.25">
      <c r="D278" s="12"/>
      <c r="E278" s="12"/>
      <c r="F278" s="12"/>
      <c r="G278" s="18"/>
      <c r="H278" s="12"/>
      <c r="I278" s="18"/>
      <c r="J278" s="18"/>
      <c r="K278" s="12"/>
      <c r="L278" s="12"/>
      <c r="M278" s="12"/>
      <c r="N278" s="12"/>
      <c r="Q278" s="22"/>
      <c r="S278" s="73"/>
      <c r="T278" s="13"/>
      <c r="V278" s="12" t="str">
        <f t="shared" si="10"/>
        <v/>
      </c>
      <c r="W278" s="12" t="str">
        <f t="shared" si="11"/>
        <v/>
      </c>
    </row>
    <row r="279" spans="4:23" x14ac:dyDescent="0.25">
      <c r="D279" s="12"/>
      <c r="E279" s="12"/>
      <c r="F279" s="12"/>
      <c r="G279" s="18"/>
      <c r="H279" s="12"/>
      <c r="I279" s="18"/>
      <c r="J279" s="18"/>
      <c r="K279" s="12"/>
      <c r="L279" s="12"/>
      <c r="M279" s="12"/>
      <c r="N279" s="12"/>
      <c r="Q279" s="22"/>
      <c r="S279" s="73"/>
      <c r="T279" s="13"/>
      <c r="V279" s="12" t="str">
        <f t="shared" si="10"/>
        <v/>
      </c>
      <c r="W279" s="12" t="str">
        <f t="shared" si="11"/>
        <v/>
      </c>
    </row>
    <row r="280" spans="4:23" x14ac:dyDescent="0.25">
      <c r="D280" s="12"/>
      <c r="E280" s="12"/>
      <c r="F280" s="12"/>
      <c r="G280" s="18"/>
      <c r="H280" s="12"/>
      <c r="I280" s="18"/>
      <c r="J280" s="18"/>
      <c r="K280" s="12"/>
      <c r="L280" s="12"/>
      <c r="M280" s="12"/>
      <c r="N280" s="12"/>
      <c r="Q280" s="22"/>
      <c r="S280" s="73"/>
      <c r="T280" s="13"/>
      <c r="V280" s="12" t="str">
        <f t="shared" si="10"/>
        <v/>
      </c>
      <c r="W280" s="12" t="str">
        <f t="shared" si="11"/>
        <v/>
      </c>
    </row>
    <row r="281" spans="4:23" x14ac:dyDescent="0.25">
      <c r="D281" s="12"/>
      <c r="E281" s="12"/>
      <c r="F281" s="12"/>
      <c r="G281" s="18"/>
      <c r="H281" s="12"/>
      <c r="I281" s="18"/>
      <c r="J281" s="18"/>
      <c r="K281" s="12"/>
      <c r="L281" s="12"/>
      <c r="M281" s="12"/>
      <c r="N281" s="12"/>
      <c r="Q281" s="22"/>
      <c r="S281" s="73"/>
      <c r="T281" s="13"/>
      <c r="V281" s="12" t="str">
        <f t="shared" si="10"/>
        <v/>
      </c>
      <c r="W281" s="12" t="str">
        <f t="shared" si="11"/>
        <v/>
      </c>
    </row>
    <row r="282" spans="4:23" x14ac:dyDescent="0.25">
      <c r="D282" s="12"/>
      <c r="E282" s="12"/>
      <c r="F282" s="12"/>
      <c r="G282" s="18"/>
      <c r="H282" s="12"/>
      <c r="I282" s="18"/>
      <c r="J282" s="18"/>
      <c r="K282" s="12"/>
      <c r="L282" s="12"/>
      <c r="M282" s="12"/>
      <c r="N282" s="12"/>
      <c r="Q282" s="22"/>
      <c r="S282" s="73"/>
      <c r="T282" s="13"/>
      <c r="V282" s="12" t="str">
        <f t="shared" si="10"/>
        <v/>
      </c>
      <c r="W282" s="12" t="str">
        <f t="shared" si="11"/>
        <v/>
      </c>
    </row>
    <row r="283" spans="4:23" x14ac:dyDescent="0.25">
      <c r="D283" s="12"/>
      <c r="E283" s="12"/>
      <c r="F283" s="12"/>
      <c r="G283" s="18"/>
      <c r="H283" s="12"/>
      <c r="I283" s="18"/>
      <c r="J283" s="18"/>
      <c r="K283" s="12"/>
      <c r="L283" s="12"/>
      <c r="M283" s="12"/>
      <c r="N283" s="12"/>
      <c r="Q283" s="22"/>
      <c r="S283" s="73"/>
      <c r="T283" s="13"/>
      <c r="V283" s="12" t="str">
        <f t="shared" si="10"/>
        <v/>
      </c>
      <c r="W283" s="12" t="str">
        <f t="shared" si="11"/>
        <v/>
      </c>
    </row>
    <row r="284" spans="4:23" x14ac:dyDescent="0.25">
      <c r="D284" s="12"/>
      <c r="E284" s="12"/>
      <c r="F284" s="12"/>
      <c r="G284" s="18"/>
      <c r="H284" s="12"/>
      <c r="I284" s="18"/>
      <c r="J284" s="18"/>
      <c r="K284" s="12"/>
      <c r="L284" s="12"/>
      <c r="M284" s="12"/>
      <c r="N284" s="12"/>
      <c r="Q284" s="22"/>
      <c r="S284" s="73"/>
      <c r="T284" s="13"/>
      <c r="V284" s="12" t="str">
        <f t="shared" si="10"/>
        <v/>
      </c>
      <c r="W284" s="12" t="str">
        <f t="shared" si="11"/>
        <v/>
      </c>
    </row>
    <row r="285" spans="4:23" x14ac:dyDescent="0.25">
      <c r="D285" s="12"/>
      <c r="E285" s="12"/>
      <c r="F285" s="12"/>
      <c r="G285" s="18"/>
      <c r="H285" s="12"/>
      <c r="I285" s="18"/>
      <c r="J285" s="18"/>
      <c r="K285" s="12"/>
      <c r="L285" s="12"/>
      <c r="M285" s="12"/>
      <c r="N285" s="12"/>
      <c r="Q285" s="22"/>
      <c r="S285" s="73"/>
      <c r="T285" s="13"/>
      <c r="V285" s="12" t="str">
        <f t="shared" si="10"/>
        <v/>
      </c>
      <c r="W285" s="12" t="str">
        <f t="shared" si="11"/>
        <v/>
      </c>
    </row>
    <row r="286" spans="4:23" x14ac:dyDescent="0.25">
      <c r="D286" s="12"/>
      <c r="E286" s="12"/>
      <c r="F286" s="12"/>
      <c r="G286" s="18"/>
      <c r="H286" s="12"/>
      <c r="I286" s="18"/>
      <c r="J286" s="18"/>
      <c r="K286" s="12"/>
      <c r="L286" s="12"/>
      <c r="M286" s="12"/>
      <c r="N286" s="12"/>
      <c r="Q286" s="22"/>
      <c r="S286" s="73"/>
      <c r="T286" s="13"/>
      <c r="V286" s="12" t="str">
        <f t="shared" si="10"/>
        <v/>
      </c>
      <c r="W286" s="12" t="str">
        <f t="shared" si="11"/>
        <v/>
      </c>
    </row>
    <row r="287" spans="4:23" x14ac:dyDescent="0.25">
      <c r="D287" s="12"/>
      <c r="E287" s="12"/>
      <c r="F287" s="12"/>
      <c r="G287" s="18"/>
      <c r="H287" s="12"/>
      <c r="I287" s="18"/>
      <c r="J287" s="18"/>
      <c r="K287" s="12"/>
      <c r="L287" s="12"/>
      <c r="M287" s="12"/>
      <c r="N287" s="12"/>
      <c r="Q287" s="22"/>
      <c r="S287" s="73"/>
      <c r="T287" s="13"/>
      <c r="V287" s="12" t="str">
        <f t="shared" si="10"/>
        <v/>
      </c>
      <c r="W287" s="12" t="str">
        <f t="shared" si="11"/>
        <v/>
      </c>
    </row>
    <row r="288" spans="4:23" x14ac:dyDescent="0.25">
      <c r="D288" s="12"/>
      <c r="E288" s="12"/>
      <c r="F288" s="12"/>
      <c r="G288" s="18"/>
      <c r="H288" s="12"/>
      <c r="I288" s="18"/>
      <c r="J288" s="18"/>
      <c r="K288" s="12"/>
      <c r="L288" s="12"/>
      <c r="M288" s="12"/>
      <c r="N288" s="12"/>
      <c r="Q288" s="22"/>
      <c r="S288" s="73"/>
      <c r="T288" s="13"/>
      <c r="V288" s="12" t="str">
        <f t="shared" si="10"/>
        <v/>
      </c>
      <c r="W288" s="12" t="str">
        <f t="shared" si="11"/>
        <v/>
      </c>
    </row>
    <row r="289" spans="4:23" x14ac:dyDescent="0.25">
      <c r="D289" s="12"/>
      <c r="E289" s="12"/>
      <c r="F289" s="12"/>
      <c r="G289" s="18"/>
      <c r="H289" s="12"/>
      <c r="I289" s="18"/>
      <c r="J289" s="18"/>
      <c r="K289" s="12"/>
      <c r="L289" s="12"/>
      <c r="M289" s="12"/>
      <c r="N289" s="12"/>
      <c r="Q289" s="22"/>
      <c r="S289" s="73"/>
      <c r="T289" s="13"/>
      <c r="V289" s="12" t="str">
        <f t="shared" si="10"/>
        <v/>
      </c>
      <c r="W289" s="12" t="str">
        <f t="shared" si="11"/>
        <v/>
      </c>
    </row>
    <row r="290" spans="4:23" x14ac:dyDescent="0.25">
      <c r="D290" s="12"/>
      <c r="E290" s="12"/>
      <c r="F290" s="12"/>
      <c r="G290" s="18"/>
      <c r="H290" s="12"/>
      <c r="I290" s="18"/>
      <c r="J290" s="18"/>
      <c r="K290" s="12"/>
      <c r="L290" s="12"/>
      <c r="M290" s="12"/>
      <c r="N290" s="12"/>
      <c r="Q290" s="22"/>
      <c r="S290" s="73"/>
      <c r="T290" s="13"/>
      <c r="V290" s="12" t="str">
        <f t="shared" si="10"/>
        <v/>
      </c>
      <c r="W290" s="12" t="str">
        <f t="shared" si="11"/>
        <v/>
      </c>
    </row>
    <row r="291" spans="4:23" x14ac:dyDescent="0.25">
      <c r="D291" s="12"/>
      <c r="E291" s="12"/>
      <c r="F291" s="12"/>
      <c r="G291" s="18"/>
      <c r="H291" s="12"/>
      <c r="I291" s="18"/>
      <c r="J291" s="18"/>
      <c r="K291" s="12"/>
      <c r="L291" s="12"/>
      <c r="M291" s="12"/>
      <c r="N291" s="12"/>
      <c r="Q291" s="22"/>
      <c r="S291" s="73"/>
      <c r="T291" s="13"/>
      <c r="V291" s="12" t="str">
        <f t="shared" si="10"/>
        <v/>
      </c>
      <c r="W291" s="12" t="str">
        <f t="shared" si="11"/>
        <v/>
      </c>
    </row>
    <row r="292" spans="4:23" x14ac:dyDescent="0.25">
      <c r="D292" s="12"/>
      <c r="E292" s="12"/>
      <c r="F292" s="12"/>
      <c r="G292" s="18"/>
      <c r="H292" s="12"/>
      <c r="I292" s="18"/>
      <c r="J292" s="18"/>
      <c r="K292" s="12"/>
      <c r="L292" s="12"/>
      <c r="M292" s="12"/>
      <c r="N292" s="12"/>
      <c r="Q292" s="22"/>
      <c r="S292" s="73"/>
      <c r="T292" s="13"/>
      <c r="V292" s="12" t="str">
        <f t="shared" si="10"/>
        <v/>
      </c>
      <c r="W292" s="12" t="str">
        <f t="shared" si="11"/>
        <v/>
      </c>
    </row>
    <row r="293" spans="4:23" x14ac:dyDescent="0.25">
      <c r="D293" s="12"/>
      <c r="E293" s="12"/>
      <c r="F293" s="12"/>
      <c r="G293" s="18"/>
      <c r="H293" s="12"/>
      <c r="I293" s="18"/>
      <c r="J293" s="18"/>
      <c r="K293" s="12"/>
      <c r="L293" s="12"/>
      <c r="M293" s="12"/>
      <c r="N293" s="12"/>
      <c r="Q293" s="22"/>
      <c r="S293" s="73"/>
      <c r="T293" s="13"/>
      <c r="V293" s="12" t="str">
        <f t="shared" si="10"/>
        <v/>
      </c>
      <c r="W293" s="12" t="str">
        <f t="shared" si="11"/>
        <v/>
      </c>
    </row>
    <row r="294" spans="4:23" x14ac:dyDescent="0.25">
      <c r="D294" s="12"/>
      <c r="E294" s="12"/>
      <c r="F294" s="12"/>
      <c r="G294" s="18"/>
      <c r="H294" s="12"/>
      <c r="I294" s="18"/>
      <c r="J294" s="18"/>
      <c r="K294" s="12"/>
      <c r="L294" s="12"/>
      <c r="M294" s="12"/>
      <c r="N294" s="12"/>
      <c r="Q294" s="22"/>
      <c r="S294" s="73"/>
      <c r="T294" s="13"/>
      <c r="V294" s="12" t="str">
        <f t="shared" si="10"/>
        <v/>
      </c>
      <c r="W294" s="12" t="str">
        <f t="shared" si="11"/>
        <v/>
      </c>
    </row>
    <row r="295" spans="4:23" x14ac:dyDescent="0.25">
      <c r="D295" s="12"/>
      <c r="E295" s="12"/>
      <c r="F295" s="12"/>
      <c r="G295" s="18"/>
      <c r="H295" s="12"/>
      <c r="I295" s="18"/>
      <c r="J295" s="18"/>
      <c r="K295" s="12"/>
      <c r="L295" s="12"/>
      <c r="M295" s="12"/>
      <c r="N295" s="12"/>
      <c r="Q295" s="22"/>
      <c r="S295" s="73"/>
      <c r="T295" s="13"/>
      <c r="V295" s="12" t="str">
        <f t="shared" si="10"/>
        <v/>
      </c>
      <c r="W295" s="12" t="str">
        <f t="shared" si="11"/>
        <v/>
      </c>
    </row>
    <row r="296" spans="4:23" x14ac:dyDescent="0.25">
      <c r="D296" s="12"/>
      <c r="E296" s="12"/>
      <c r="F296" s="12"/>
      <c r="G296" s="18"/>
      <c r="H296" s="12"/>
      <c r="I296" s="18"/>
      <c r="J296" s="18"/>
      <c r="K296" s="12"/>
      <c r="L296" s="12"/>
      <c r="M296" s="12"/>
      <c r="N296" s="12"/>
      <c r="Q296" s="22"/>
      <c r="S296" s="73"/>
      <c r="T296" s="13"/>
      <c r="V296" s="12" t="str">
        <f t="shared" si="10"/>
        <v/>
      </c>
      <c r="W296" s="12" t="str">
        <f t="shared" si="11"/>
        <v/>
      </c>
    </row>
    <row r="297" spans="4:23" x14ac:dyDescent="0.25">
      <c r="D297" s="12"/>
      <c r="E297" s="12"/>
      <c r="F297" s="12"/>
      <c r="G297" s="18"/>
      <c r="H297" s="12"/>
      <c r="I297" s="18"/>
      <c r="J297" s="18"/>
      <c r="K297" s="12"/>
      <c r="L297" s="12"/>
      <c r="M297" s="12"/>
      <c r="N297" s="12"/>
      <c r="Q297" s="22"/>
      <c r="S297" s="73"/>
      <c r="T297" s="13"/>
      <c r="V297" s="12" t="str">
        <f t="shared" si="10"/>
        <v/>
      </c>
      <c r="W297" s="12" t="str">
        <f t="shared" si="11"/>
        <v/>
      </c>
    </row>
    <row r="298" spans="4:23" x14ac:dyDescent="0.25">
      <c r="D298" s="12"/>
      <c r="E298" s="12"/>
      <c r="F298" s="12"/>
      <c r="G298" s="18"/>
      <c r="H298" s="12"/>
      <c r="I298" s="18"/>
      <c r="J298" s="18"/>
      <c r="K298" s="12"/>
      <c r="L298" s="12"/>
      <c r="M298" s="12"/>
      <c r="N298" s="12"/>
      <c r="Q298" s="22"/>
      <c r="S298" s="73"/>
      <c r="T298" s="13"/>
      <c r="V298" s="12" t="str">
        <f t="shared" si="10"/>
        <v/>
      </c>
      <c r="W298" s="12" t="str">
        <f t="shared" si="11"/>
        <v/>
      </c>
    </row>
    <row r="299" spans="4:23" x14ac:dyDescent="0.25">
      <c r="D299" s="12"/>
      <c r="E299" s="12"/>
      <c r="F299" s="12"/>
      <c r="G299" s="18"/>
      <c r="H299" s="12"/>
      <c r="I299" s="18"/>
      <c r="J299" s="18"/>
      <c r="K299" s="12"/>
      <c r="L299" s="12"/>
      <c r="M299" s="12"/>
      <c r="N299" s="12"/>
      <c r="Q299" s="22"/>
      <c r="S299" s="73"/>
      <c r="T299" s="13"/>
      <c r="V299" s="12" t="str">
        <f t="shared" si="10"/>
        <v/>
      </c>
      <c r="W299" s="12" t="str">
        <f t="shared" si="11"/>
        <v/>
      </c>
    </row>
    <row r="300" spans="4:23" x14ac:dyDescent="0.25">
      <c r="D300" s="12"/>
      <c r="E300" s="12"/>
      <c r="F300" s="12"/>
      <c r="G300" s="18"/>
      <c r="H300" s="12"/>
      <c r="I300" s="18"/>
      <c r="J300" s="18"/>
      <c r="K300" s="12"/>
      <c r="L300" s="12"/>
      <c r="M300" s="12"/>
      <c r="N300" s="12"/>
      <c r="Q300" s="22"/>
      <c r="S300" s="73"/>
      <c r="T300" s="13"/>
      <c r="V300" s="12" t="str">
        <f t="shared" si="10"/>
        <v/>
      </c>
      <c r="W300" s="12" t="str">
        <f t="shared" si="11"/>
        <v/>
      </c>
    </row>
    <row r="301" spans="4:23" x14ac:dyDescent="0.25">
      <c r="D301" s="12"/>
      <c r="E301" s="12"/>
      <c r="F301" s="12"/>
      <c r="G301" s="18"/>
      <c r="H301" s="12"/>
      <c r="I301" s="18"/>
      <c r="J301" s="18"/>
      <c r="K301" s="12"/>
      <c r="L301" s="12"/>
      <c r="M301" s="12"/>
      <c r="N301" s="12"/>
      <c r="Q301" s="22"/>
      <c r="S301" s="73"/>
      <c r="T301" s="13"/>
      <c r="V301" s="12" t="str">
        <f t="shared" si="10"/>
        <v/>
      </c>
      <c r="W301" s="12" t="str">
        <f t="shared" si="11"/>
        <v/>
      </c>
    </row>
    <row r="302" spans="4:23" x14ac:dyDescent="0.25">
      <c r="D302" s="12"/>
      <c r="E302" s="12"/>
      <c r="F302" s="12"/>
      <c r="G302" s="18"/>
      <c r="H302" s="12"/>
      <c r="I302" s="18"/>
      <c r="J302" s="18"/>
      <c r="K302" s="12"/>
      <c r="L302" s="12"/>
      <c r="M302" s="12"/>
      <c r="N302" s="12"/>
      <c r="Q302" s="22"/>
      <c r="S302" s="73"/>
      <c r="T302" s="13"/>
      <c r="V302" s="12" t="str">
        <f t="shared" si="10"/>
        <v/>
      </c>
      <c r="W302" s="12" t="str">
        <f t="shared" si="11"/>
        <v/>
      </c>
    </row>
    <row r="303" spans="4:23" x14ac:dyDescent="0.25">
      <c r="D303" s="12"/>
      <c r="E303" s="12"/>
      <c r="F303" s="12"/>
      <c r="G303" s="18"/>
      <c r="H303" s="12"/>
      <c r="I303" s="18"/>
      <c r="J303" s="18"/>
      <c r="K303" s="12"/>
      <c r="L303" s="12"/>
      <c r="M303" s="12"/>
      <c r="N303" s="12"/>
      <c r="Q303" s="22"/>
      <c r="S303" s="73"/>
      <c r="T303" s="13"/>
      <c r="V303" s="12" t="str">
        <f t="shared" si="10"/>
        <v/>
      </c>
      <c r="W303" s="12" t="str">
        <f t="shared" si="11"/>
        <v/>
      </c>
    </row>
    <row r="304" spans="4:23" x14ac:dyDescent="0.25">
      <c r="D304" s="12"/>
      <c r="E304" s="12"/>
      <c r="F304" s="12"/>
      <c r="G304" s="18"/>
      <c r="H304" s="12"/>
      <c r="I304" s="18"/>
      <c r="J304" s="18"/>
      <c r="K304" s="12"/>
      <c r="L304" s="12"/>
      <c r="M304" s="12"/>
      <c r="N304" s="12"/>
      <c r="Q304" s="22"/>
      <c r="S304" s="73"/>
      <c r="T304" s="13"/>
      <c r="V304" s="12" t="str">
        <f t="shared" si="10"/>
        <v/>
      </c>
      <c r="W304" s="12" t="str">
        <f t="shared" si="11"/>
        <v/>
      </c>
    </row>
    <row r="305" spans="4:23" x14ac:dyDescent="0.25">
      <c r="D305" s="12"/>
      <c r="E305" s="12"/>
      <c r="F305" s="12"/>
      <c r="G305" s="18"/>
      <c r="H305" s="12"/>
      <c r="I305" s="18"/>
      <c r="J305" s="18"/>
      <c r="K305" s="12"/>
      <c r="L305" s="12"/>
      <c r="M305" s="12"/>
      <c r="N305" s="12"/>
      <c r="Q305" s="22"/>
      <c r="S305" s="73"/>
      <c r="T305" s="13"/>
      <c r="V305" s="12" t="str">
        <f t="shared" si="10"/>
        <v/>
      </c>
      <c r="W305" s="12" t="str">
        <f t="shared" si="11"/>
        <v/>
      </c>
    </row>
    <row r="306" spans="4:23" x14ac:dyDescent="0.25">
      <c r="D306" s="12"/>
      <c r="E306" s="12"/>
      <c r="F306" s="12"/>
      <c r="G306" s="18"/>
      <c r="H306" s="12"/>
      <c r="I306" s="18"/>
      <c r="J306" s="18"/>
      <c r="K306" s="12"/>
      <c r="L306" s="12"/>
      <c r="M306" s="12"/>
      <c r="N306" s="12"/>
      <c r="Q306" s="22"/>
      <c r="S306" s="73"/>
      <c r="T306" s="13"/>
      <c r="V306" s="12" t="str">
        <f t="shared" si="10"/>
        <v/>
      </c>
      <c r="W306" s="12" t="str">
        <f t="shared" si="11"/>
        <v/>
      </c>
    </row>
    <row r="307" spans="4:23" x14ac:dyDescent="0.25">
      <c r="D307" s="12"/>
      <c r="E307" s="12"/>
      <c r="F307" s="12"/>
      <c r="G307" s="18"/>
      <c r="H307" s="12"/>
      <c r="I307" s="18"/>
      <c r="J307" s="18"/>
      <c r="K307" s="12"/>
      <c r="L307" s="12"/>
      <c r="M307" s="12"/>
      <c r="N307" s="12"/>
      <c r="Q307" s="22"/>
      <c r="S307" s="73"/>
      <c r="T307" s="13"/>
      <c r="V307" s="12" t="str">
        <f t="shared" si="10"/>
        <v/>
      </c>
      <c r="W307" s="12" t="str">
        <f t="shared" si="11"/>
        <v/>
      </c>
    </row>
    <row r="308" spans="4:23" x14ac:dyDescent="0.25">
      <c r="D308" s="12"/>
      <c r="E308" s="12"/>
      <c r="F308" s="12"/>
      <c r="G308" s="18"/>
      <c r="H308" s="12"/>
      <c r="I308" s="18"/>
      <c r="J308" s="18"/>
      <c r="K308" s="12"/>
      <c r="L308" s="12"/>
      <c r="M308" s="12"/>
      <c r="N308" s="12"/>
      <c r="Q308" s="22"/>
      <c r="S308" s="73"/>
      <c r="T308" s="13"/>
      <c r="V308" s="12" t="str">
        <f t="shared" si="10"/>
        <v/>
      </c>
      <c r="W308" s="12" t="str">
        <f t="shared" si="11"/>
        <v/>
      </c>
    </row>
    <row r="309" spans="4:23" x14ac:dyDescent="0.25">
      <c r="D309" s="12"/>
      <c r="E309" s="12"/>
      <c r="F309" s="12"/>
      <c r="G309" s="18"/>
      <c r="H309" s="12"/>
      <c r="I309" s="18"/>
      <c r="J309" s="18"/>
      <c r="K309" s="12"/>
      <c r="L309" s="12"/>
      <c r="M309" s="12"/>
      <c r="N309" s="12"/>
      <c r="Q309" s="22"/>
      <c r="S309" s="73"/>
      <c r="T309" s="13"/>
      <c r="V309" s="12" t="str">
        <f t="shared" si="10"/>
        <v/>
      </c>
      <c r="W309" s="12" t="str">
        <f t="shared" si="11"/>
        <v/>
      </c>
    </row>
    <row r="310" spans="4:23" x14ac:dyDescent="0.25">
      <c r="D310" s="12"/>
      <c r="E310" s="12"/>
      <c r="F310" s="12"/>
      <c r="G310" s="18"/>
      <c r="H310" s="12"/>
      <c r="I310" s="18"/>
      <c r="J310" s="18"/>
      <c r="K310" s="12"/>
      <c r="L310" s="12"/>
      <c r="M310" s="12"/>
      <c r="N310" s="12"/>
      <c r="Q310" s="22"/>
      <c r="S310" s="73"/>
      <c r="T310" s="13"/>
      <c r="V310" s="12" t="str">
        <f t="shared" si="10"/>
        <v/>
      </c>
      <c r="W310" s="12" t="str">
        <f t="shared" si="11"/>
        <v/>
      </c>
    </row>
    <row r="311" spans="4:23" x14ac:dyDescent="0.25">
      <c r="D311" s="12"/>
      <c r="E311" s="12"/>
      <c r="F311" s="12"/>
      <c r="G311" s="18"/>
      <c r="H311" s="12"/>
      <c r="I311" s="18"/>
      <c r="J311" s="18"/>
      <c r="K311" s="12"/>
      <c r="L311" s="12"/>
      <c r="M311" s="12"/>
      <c r="N311" s="12"/>
      <c r="Q311" s="22"/>
      <c r="S311" s="73"/>
      <c r="T311" s="13"/>
      <c r="V311" s="12" t="str">
        <f t="shared" si="10"/>
        <v/>
      </c>
      <c r="W311" s="12" t="str">
        <f t="shared" si="11"/>
        <v/>
      </c>
    </row>
    <row r="312" spans="4:23" x14ac:dyDescent="0.25">
      <c r="D312" s="12"/>
      <c r="E312" s="12"/>
      <c r="F312" s="12"/>
      <c r="G312" s="18"/>
      <c r="H312" s="12"/>
      <c r="I312" s="18"/>
      <c r="J312" s="18"/>
      <c r="K312" s="12"/>
      <c r="L312" s="12"/>
      <c r="M312" s="12"/>
      <c r="N312" s="12"/>
      <c r="Q312" s="22"/>
      <c r="S312" s="73"/>
      <c r="T312" s="13"/>
      <c r="V312" s="12" t="str">
        <f t="shared" si="10"/>
        <v/>
      </c>
      <c r="W312" s="12" t="str">
        <f t="shared" si="11"/>
        <v/>
      </c>
    </row>
    <row r="313" spans="4:23" x14ac:dyDescent="0.25">
      <c r="D313" s="12"/>
      <c r="E313" s="12"/>
      <c r="F313" s="12"/>
      <c r="G313" s="18"/>
      <c r="H313" s="12"/>
      <c r="I313" s="18"/>
      <c r="J313" s="18"/>
      <c r="K313" s="12"/>
      <c r="L313" s="12"/>
      <c r="M313" s="12"/>
      <c r="N313" s="12"/>
      <c r="Q313" s="22"/>
      <c r="S313" s="73"/>
      <c r="T313" s="13"/>
      <c r="V313" s="12" t="str">
        <f t="shared" si="10"/>
        <v/>
      </c>
      <c r="W313" s="12" t="str">
        <f t="shared" si="11"/>
        <v/>
      </c>
    </row>
    <row r="314" spans="4:23" x14ac:dyDescent="0.25">
      <c r="D314" s="12"/>
      <c r="E314" s="12"/>
      <c r="F314" s="12"/>
      <c r="G314" s="18"/>
      <c r="H314" s="12"/>
      <c r="I314" s="18"/>
      <c r="J314" s="18"/>
      <c r="K314" s="12"/>
      <c r="L314" s="12"/>
      <c r="M314" s="12"/>
      <c r="N314" s="12"/>
      <c r="Q314" s="22"/>
      <c r="S314" s="73"/>
      <c r="T314" s="13"/>
      <c r="V314" s="12" t="str">
        <f t="shared" si="10"/>
        <v/>
      </c>
      <c r="W314" s="12" t="str">
        <f t="shared" si="11"/>
        <v/>
      </c>
    </row>
    <row r="315" spans="4:23" x14ac:dyDescent="0.25">
      <c r="D315" s="12"/>
      <c r="E315" s="12"/>
      <c r="F315" s="12"/>
      <c r="G315" s="18"/>
      <c r="H315" s="12"/>
      <c r="I315" s="18"/>
      <c r="J315" s="18"/>
      <c r="K315" s="12"/>
      <c r="L315" s="12"/>
      <c r="M315" s="12"/>
      <c r="N315" s="12"/>
      <c r="Q315" s="22"/>
      <c r="S315" s="73"/>
      <c r="T315" s="13"/>
      <c r="V315" s="12" t="str">
        <f t="shared" si="10"/>
        <v/>
      </c>
      <c r="W315" s="12" t="str">
        <f t="shared" si="11"/>
        <v/>
      </c>
    </row>
    <row r="316" spans="4:23" x14ac:dyDescent="0.25">
      <c r="D316" s="12"/>
      <c r="E316" s="12"/>
      <c r="F316" s="12"/>
      <c r="G316" s="18"/>
      <c r="H316" s="12"/>
      <c r="I316" s="18"/>
      <c r="J316" s="18"/>
      <c r="K316" s="12"/>
      <c r="L316" s="12"/>
      <c r="M316" s="12"/>
      <c r="N316" s="12"/>
      <c r="Q316" s="22"/>
      <c r="S316" s="73"/>
      <c r="T316" s="13"/>
      <c r="V316" s="12" t="str">
        <f t="shared" si="10"/>
        <v/>
      </c>
      <c r="W316" s="12" t="str">
        <f t="shared" si="11"/>
        <v/>
      </c>
    </row>
    <row r="317" spans="4:23" x14ac:dyDescent="0.25">
      <c r="D317" s="12"/>
      <c r="E317" s="12"/>
      <c r="F317" s="12"/>
      <c r="G317" s="18"/>
      <c r="H317" s="12"/>
      <c r="I317" s="18"/>
      <c r="J317" s="18"/>
      <c r="K317" s="12"/>
      <c r="L317" s="12"/>
      <c r="M317" s="12"/>
      <c r="N317" s="12"/>
      <c r="Q317" s="22"/>
      <c r="S317" s="73"/>
      <c r="T317" s="13"/>
      <c r="V317" s="12" t="str">
        <f t="shared" si="10"/>
        <v/>
      </c>
      <c r="W317" s="12" t="str">
        <f t="shared" si="11"/>
        <v/>
      </c>
    </row>
    <row r="318" spans="4:23" x14ac:dyDescent="0.25">
      <c r="D318" s="12"/>
      <c r="E318" s="12"/>
      <c r="F318" s="12"/>
      <c r="G318" s="18"/>
      <c r="H318" s="12"/>
      <c r="I318" s="18"/>
      <c r="J318" s="18"/>
      <c r="K318" s="12"/>
      <c r="L318" s="12"/>
      <c r="M318" s="12"/>
      <c r="N318" s="12"/>
      <c r="Q318" s="22"/>
      <c r="S318" s="73"/>
      <c r="T318" s="13"/>
      <c r="V318" s="12" t="str">
        <f t="shared" si="10"/>
        <v/>
      </c>
      <c r="W318" s="12" t="str">
        <f t="shared" si="11"/>
        <v/>
      </c>
    </row>
    <row r="319" spans="4:23" x14ac:dyDescent="0.25">
      <c r="D319" s="12"/>
      <c r="E319" s="12"/>
      <c r="F319" s="12"/>
      <c r="G319" s="18"/>
      <c r="H319" s="12"/>
      <c r="I319" s="18"/>
      <c r="J319" s="18"/>
      <c r="K319" s="12"/>
      <c r="L319" s="12"/>
      <c r="M319" s="12"/>
      <c r="N319" s="12"/>
      <c r="Q319" s="22"/>
      <c r="S319" s="73"/>
      <c r="T319" s="13"/>
      <c r="V319" s="12" t="str">
        <f t="shared" si="10"/>
        <v/>
      </c>
      <c r="W319" s="12" t="str">
        <f t="shared" si="11"/>
        <v/>
      </c>
    </row>
    <row r="320" spans="4:23" x14ac:dyDescent="0.25">
      <c r="D320" s="12"/>
      <c r="E320" s="12"/>
      <c r="F320" s="12"/>
      <c r="G320" s="18"/>
      <c r="H320" s="12"/>
      <c r="I320" s="18"/>
      <c r="J320" s="18"/>
      <c r="K320" s="12"/>
      <c r="L320" s="12"/>
      <c r="M320" s="12"/>
      <c r="N320" s="12"/>
      <c r="Q320" s="22"/>
      <c r="S320" s="73"/>
      <c r="T320" s="13"/>
      <c r="V320" s="12" t="str">
        <f t="shared" si="10"/>
        <v/>
      </c>
      <c r="W320" s="12" t="str">
        <f t="shared" si="11"/>
        <v/>
      </c>
    </row>
    <row r="321" spans="4:23" x14ac:dyDescent="0.25">
      <c r="D321" s="12"/>
      <c r="E321" s="12"/>
      <c r="F321" s="12"/>
      <c r="G321" s="18"/>
      <c r="H321" s="12"/>
      <c r="I321" s="18"/>
      <c r="J321" s="18"/>
      <c r="K321" s="12"/>
      <c r="L321" s="12"/>
      <c r="M321" s="12"/>
      <c r="N321" s="12"/>
      <c r="Q321" s="22"/>
      <c r="S321" s="73"/>
      <c r="T321" s="13"/>
      <c r="V321" s="12" t="str">
        <f t="shared" si="10"/>
        <v/>
      </c>
      <c r="W321" s="12" t="str">
        <f t="shared" si="11"/>
        <v/>
      </c>
    </row>
    <row r="322" spans="4:23" x14ac:dyDescent="0.25">
      <c r="D322" s="12"/>
      <c r="E322" s="12"/>
      <c r="F322" s="12"/>
      <c r="G322" s="18"/>
      <c r="H322" s="12"/>
      <c r="I322" s="18"/>
      <c r="J322" s="18"/>
      <c r="K322" s="12"/>
      <c r="L322" s="12"/>
      <c r="M322" s="12"/>
      <c r="N322" s="12"/>
      <c r="Q322" s="22"/>
      <c r="S322" s="73"/>
      <c r="T322" s="13"/>
      <c r="V322" s="12" t="str">
        <f t="shared" si="10"/>
        <v/>
      </c>
      <c r="W322" s="12" t="str">
        <f t="shared" si="11"/>
        <v/>
      </c>
    </row>
    <row r="323" spans="4:23" x14ac:dyDescent="0.25">
      <c r="D323" s="12"/>
      <c r="E323" s="12"/>
      <c r="F323" s="12"/>
      <c r="G323" s="18"/>
      <c r="H323" s="12"/>
      <c r="I323" s="18"/>
      <c r="J323" s="18"/>
      <c r="K323" s="12"/>
      <c r="L323" s="12"/>
      <c r="M323" s="12"/>
      <c r="N323" s="12"/>
      <c r="Q323" s="22"/>
      <c r="S323" s="73"/>
      <c r="T323" s="13"/>
      <c r="V323" s="12" t="str">
        <f t="shared" si="10"/>
        <v/>
      </c>
      <c r="W323" s="12" t="str">
        <f t="shared" si="11"/>
        <v/>
      </c>
    </row>
    <row r="324" spans="4:23" x14ac:dyDescent="0.25">
      <c r="D324" s="12"/>
      <c r="E324" s="12"/>
      <c r="F324" s="12"/>
      <c r="G324" s="18"/>
      <c r="H324" s="12"/>
      <c r="I324" s="18"/>
      <c r="J324" s="18"/>
      <c r="K324" s="12"/>
      <c r="L324" s="12"/>
      <c r="M324" s="12"/>
      <c r="N324" s="12"/>
      <c r="Q324" s="22"/>
      <c r="S324" s="73"/>
      <c r="T324" s="13"/>
      <c r="V324" s="12" t="str">
        <f t="shared" si="10"/>
        <v/>
      </c>
      <c r="W324" s="12" t="str">
        <f t="shared" si="11"/>
        <v/>
      </c>
    </row>
    <row r="325" spans="4:23" x14ac:dyDescent="0.25">
      <c r="D325" s="12"/>
      <c r="E325" s="12"/>
      <c r="F325" s="12"/>
      <c r="G325" s="18"/>
      <c r="H325" s="12"/>
      <c r="I325" s="18"/>
      <c r="J325" s="18"/>
      <c r="K325" s="12"/>
      <c r="L325" s="12"/>
      <c r="M325" s="12"/>
      <c r="N325" s="12"/>
      <c r="Q325" s="22"/>
      <c r="S325" s="73"/>
      <c r="T325" s="13"/>
      <c r="V325" s="12" t="str">
        <f t="shared" si="10"/>
        <v/>
      </c>
      <c r="W325" s="12" t="str">
        <f t="shared" si="11"/>
        <v/>
      </c>
    </row>
    <row r="326" spans="4:23" x14ac:dyDescent="0.25">
      <c r="D326" s="12"/>
      <c r="E326" s="12"/>
      <c r="F326" s="12"/>
      <c r="G326" s="18"/>
      <c r="H326" s="12"/>
      <c r="I326" s="18"/>
      <c r="J326" s="18"/>
      <c r="K326" s="12"/>
      <c r="L326" s="12"/>
      <c r="M326" s="12"/>
      <c r="N326" s="12"/>
      <c r="Q326" s="22"/>
      <c r="S326" s="73"/>
      <c r="T326" s="13"/>
      <c r="V326" s="12" t="str">
        <f t="shared" si="10"/>
        <v/>
      </c>
      <c r="W326" s="12" t="str">
        <f t="shared" si="11"/>
        <v/>
      </c>
    </row>
    <row r="327" spans="4:23" x14ac:dyDescent="0.25">
      <c r="D327" s="12"/>
      <c r="E327" s="12"/>
      <c r="F327" s="12"/>
      <c r="G327" s="18"/>
      <c r="H327" s="12"/>
      <c r="I327" s="18"/>
      <c r="J327" s="18"/>
      <c r="K327" s="12"/>
      <c r="L327" s="12"/>
      <c r="M327" s="12"/>
      <c r="N327" s="12"/>
      <c r="Q327" s="22"/>
      <c r="S327" s="73"/>
      <c r="T327" s="13"/>
      <c r="V327" s="12" t="str">
        <f t="shared" ref="V327:V371" si="12">IF(B327=0,"",IF(B327="-",V326+1,0))</f>
        <v/>
      </c>
      <c r="W327" s="12" t="str">
        <f t="shared" ref="W327:W371" si="13">IF(A327=0,"",ROW())</f>
        <v/>
      </c>
    </row>
    <row r="328" spans="4:23" x14ac:dyDescent="0.25">
      <c r="D328" s="12"/>
      <c r="E328" s="12"/>
      <c r="F328" s="12"/>
      <c r="G328" s="18"/>
      <c r="H328" s="12"/>
      <c r="I328" s="18"/>
      <c r="J328" s="18"/>
      <c r="K328" s="12"/>
      <c r="L328" s="12"/>
      <c r="M328" s="12"/>
      <c r="N328" s="12"/>
      <c r="Q328" s="22"/>
      <c r="S328" s="73"/>
      <c r="T328" s="13"/>
      <c r="V328" s="12" t="str">
        <f t="shared" si="12"/>
        <v/>
      </c>
      <c r="W328" s="12" t="str">
        <f t="shared" si="13"/>
        <v/>
      </c>
    </row>
    <row r="329" spans="4:23" x14ac:dyDescent="0.25">
      <c r="D329" s="12"/>
      <c r="E329" s="12"/>
      <c r="F329" s="12"/>
      <c r="G329" s="18"/>
      <c r="H329" s="12"/>
      <c r="I329" s="18"/>
      <c r="J329" s="18"/>
      <c r="K329" s="12"/>
      <c r="L329" s="12"/>
      <c r="M329" s="12"/>
      <c r="N329" s="12"/>
      <c r="Q329" s="22"/>
      <c r="S329" s="73"/>
      <c r="T329" s="13"/>
      <c r="V329" s="12" t="str">
        <f t="shared" si="12"/>
        <v/>
      </c>
      <c r="W329" s="12" t="str">
        <f t="shared" si="13"/>
        <v/>
      </c>
    </row>
    <row r="330" spans="4:23" x14ac:dyDescent="0.25">
      <c r="D330" s="12"/>
      <c r="E330" s="12"/>
      <c r="F330" s="12"/>
      <c r="G330" s="18"/>
      <c r="H330" s="12"/>
      <c r="I330" s="18"/>
      <c r="J330" s="18"/>
      <c r="K330" s="12"/>
      <c r="L330" s="12"/>
      <c r="M330" s="12"/>
      <c r="N330" s="12"/>
      <c r="Q330" s="22"/>
      <c r="S330" s="73"/>
      <c r="T330" s="13"/>
      <c r="V330" s="12" t="str">
        <f t="shared" si="12"/>
        <v/>
      </c>
      <c r="W330" s="12" t="str">
        <f t="shared" si="13"/>
        <v/>
      </c>
    </row>
    <row r="331" spans="4:23" x14ac:dyDescent="0.25">
      <c r="D331" s="12"/>
      <c r="E331" s="12"/>
      <c r="F331" s="12"/>
      <c r="G331" s="18"/>
      <c r="H331" s="12"/>
      <c r="I331" s="18"/>
      <c r="J331" s="18"/>
      <c r="K331" s="12"/>
      <c r="L331" s="12"/>
      <c r="M331" s="12"/>
      <c r="N331" s="12"/>
      <c r="Q331" s="22"/>
      <c r="S331" s="73"/>
      <c r="T331" s="13"/>
      <c r="V331" s="12" t="str">
        <f t="shared" si="12"/>
        <v/>
      </c>
      <c r="W331" s="12" t="str">
        <f t="shared" si="13"/>
        <v/>
      </c>
    </row>
    <row r="332" spans="4:23" x14ac:dyDescent="0.25">
      <c r="D332" s="12"/>
      <c r="E332" s="12"/>
      <c r="F332" s="12"/>
      <c r="G332" s="18"/>
      <c r="H332" s="12"/>
      <c r="I332" s="18"/>
      <c r="J332" s="18"/>
      <c r="K332" s="12"/>
      <c r="L332" s="12"/>
      <c r="M332" s="12"/>
      <c r="N332" s="12"/>
      <c r="Q332" s="22"/>
      <c r="S332" s="73"/>
      <c r="T332" s="13"/>
      <c r="V332" s="12" t="str">
        <f t="shared" si="12"/>
        <v/>
      </c>
      <c r="W332" s="12" t="str">
        <f t="shared" si="13"/>
        <v/>
      </c>
    </row>
    <row r="333" spans="4:23" x14ac:dyDescent="0.25">
      <c r="D333" s="12"/>
      <c r="E333" s="12"/>
      <c r="F333" s="12"/>
      <c r="G333" s="18"/>
      <c r="H333" s="12"/>
      <c r="I333" s="18"/>
      <c r="J333" s="18"/>
      <c r="K333" s="12"/>
      <c r="L333" s="12"/>
      <c r="M333" s="12"/>
      <c r="N333" s="12"/>
      <c r="Q333" s="22"/>
      <c r="S333" s="73"/>
      <c r="T333" s="13"/>
      <c r="V333" s="12" t="str">
        <f t="shared" si="12"/>
        <v/>
      </c>
      <c r="W333" s="12" t="str">
        <f t="shared" si="13"/>
        <v/>
      </c>
    </row>
    <row r="334" spans="4:23" x14ac:dyDescent="0.25">
      <c r="D334" s="12"/>
      <c r="E334" s="12"/>
      <c r="F334" s="12"/>
      <c r="G334" s="18"/>
      <c r="H334" s="12"/>
      <c r="I334" s="18"/>
      <c r="J334" s="18"/>
      <c r="K334" s="12"/>
      <c r="L334" s="12"/>
      <c r="M334" s="12"/>
      <c r="N334" s="12"/>
      <c r="Q334" s="22"/>
      <c r="S334" s="73"/>
      <c r="T334" s="13"/>
      <c r="V334" s="12" t="str">
        <f t="shared" si="12"/>
        <v/>
      </c>
      <c r="W334" s="12" t="str">
        <f t="shared" si="13"/>
        <v/>
      </c>
    </row>
    <row r="335" spans="4:23" x14ac:dyDescent="0.25">
      <c r="D335" s="12"/>
      <c r="E335" s="12"/>
      <c r="F335" s="12"/>
      <c r="G335" s="18"/>
      <c r="H335" s="12"/>
      <c r="I335" s="18"/>
      <c r="J335" s="18"/>
      <c r="K335" s="12"/>
      <c r="L335" s="12"/>
      <c r="M335" s="12"/>
      <c r="N335" s="12"/>
      <c r="Q335" s="22"/>
      <c r="S335" s="73"/>
      <c r="T335" s="13"/>
      <c r="V335" s="12" t="str">
        <f t="shared" si="12"/>
        <v/>
      </c>
      <c r="W335" s="12" t="str">
        <f t="shared" si="13"/>
        <v/>
      </c>
    </row>
    <row r="336" spans="4:23" x14ac:dyDescent="0.25">
      <c r="D336" s="12"/>
      <c r="E336" s="12"/>
      <c r="F336" s="12"/>
      <c r="G336" s="18"/>
      <c r="H336" s="12"/>
      <c r="I336" s="18"/>
      <c r="J336" s="18"/>
      <c r="K336" s="12"/>
      <c r="L336" s="12"/>
      <c r="M336" s="12"/>
      <c r="N336" s="12"/>
      <c r="Q336" s="22"/>
      <c r="S336" s="73"/>
      <c r="T336" s="13"/>
      <c r="V336" s="12" t="str">
        <f t="shared" si="12"/>
        <v/>
      </c>
      <c r="W336" s="12" t="str">
        <f t="shared" si="13"/>
        <v/>
      </c>
    </row>
    <row r="337" spans="4:23" x14ac:dyDescent="0.25">
      <c r="D337" s="12"/>
      <c r="E337" s="12"/>
      <c r="F337" s="12"/>
      <c r="G337" s="18"/>
      <c r="H337" s="12"/>
      <c r="I337" s="18"/>
      <c r="J337" s="18"/>
      <c r="K337" s="12"/>
      <c r="L337" s="12"/>
      <c r="M337" s="12"/>
      <c r="N337" s="12"/>
      <c r="Q337" s="22"/>
      <c r="S337" s="73"/>
      <c r="T337" s="13"/>
      <c r="V337" s="12" t="str">
        <f t="shared" si="12"/>
        <v/>
      </c>
      <c r="W337" s="12" t="str">
        <f t="shared" si="13"/>
        <v/>
      </c>
    </row>
    <row r="338" spans="4:23" x14ac:dyDescent="0.25">
      <c r="D338" s="12"/>
      <c r="E338" s="12"/>
      <c r="F338" s="12"/>
      <c r="G338" s="18"/>
      <c r="H338" s="12"/>
      <c r="I338" s="18"/>
      <c r="J338" s="18"/>
      <c r="K338" s="12"/>
      <c r="L338" s="12"/>
      <c r="M338" s="12"/>
      <c r="N338" s="12"/>
      <c r="Q338" s="22"/>
      <c r="S338" s="73"/>
      <c r="T338" s="13"/>
      <c r="V338" s="12" t="str">
        <f t="shared" si="12"/>
        <v/>
      </c>
      <c r="W338" s="12" t="str">
        <f t="shared" si="13"/>
        <v/>
      </c>
    </row>
    <row r="339" spans="4:23" x14ac:dyDescent="0.25">
      <c r="D339" s="12"/>
      <c r="E339" s="12"/>
      <c r="F339" s="12"/>
      <c r="G339" s="18"/>
      <c r="H339" s="12"/>
      <c r="I339" s="18"/>
      <c r="J339" s="18"/>
      <c r="K339" s="12"/>
      <c r="L339" s="12"/>
      <c r="M339" s="12"/>
      <c r="N339" s="12"/>
      <c r="Q339" s="22"/>
      <c r="S339" s="73"/>
      <c r="T339" s="13"/>
      <c r="V339" s="12" t="str">
        <f t="shared" si="12"/>
        <v/>
      </c>
      <c r="W339" s="12" t="str">
        <f t="shared" si="13"/>
        <v/>
      </c>
    </row>
    <row r="340" spans="4:23" x14ac:dyDescent="0.25">
      <c r="D340" s="12"/>
      <c r="E340" s="12"/>
      <c r="F340" s="12"/>
      <c r="G340" s="18"/>
      <c r="H340" s="12"/>
      <c r="I340" s="18"/>
      <c r="J340" s="18"/>
      <c r="K340" s="12"/>
      <c r="L340" s="12"/>
      <c r="M340" s="12"/>
      <c r="N340" s="12"/>
      <c r="Q340" s="22"/>
      <c r="S340" s="73"/>
      <c r="T340" s="13"/>
      <c r="V340" s="12" t="str">
        <f t="shared" si="12"/>
        <v/>
      </c>
      <c r="W340" s="12" t="str">
        <f t="shared" si="13"/>
        <v/>
      </c>
    </row>
    <row r="341" spans="4:23" x14ac:dyDescent="0.25">
      <c r="D341" s="12"/>
      <c r="E341" s="12"/>
      <c r="F341" s="12"/>
      <c r="G341" s="18"/>
      <c r="H341" s="12"/>
      <c r="I341" s="18"/>
      <c r="J341" s="18"/>
      <c r="K341" s="12"/>
      <c r="L341" s="12"/>
      <c r="M341" s="12"/>
      <c r="N341" s="12"/>
      <c r="Q341" s="22"/>
      <c r="S341" s="73"/>
      <c r="T341" s="13"/>
      <c r="V341" s="12" t="str">
        <f t="shared" si="12"/>
        <v/>
      </c>
      <c r="W341" s="12" t="str">
        <f t="shared" si="13"/>
        <v/>
      </c>
    </row>
    <row r="342" spans="4:23" x14ac:dyDescent="0.25">
      <c r="D342" s="12"/>
      <c r="E342" s="12"/>
      <c r="F342" s="12"/>
      <c r="G342" s="18"/>
      <c r="H342" s="12"/>
      <c r="I342" s="18"/>
      <c r="J342" s="18"/>
      <c r="K342" s="12"/>
      <c r="L342" s="12"/>
      <c r="M342" s="12"/>
      <c r="N342" s="12"/>
      <c r="Q342" s="22"/>
      <c r="S342" s="73"/>
      <c r="T342" s="13"/>
      <c r="V342" s="12" t="str">
        <f t="shared" si="12"/>
        <v/>
      </c>
      <c r="W342" s="12" t="str">
        <f t="shared" si="13"/>
        <v/>
      </c>
    </row>
    <row r="343" spans="4:23" x14ac:dyDescent="0.25">
      <c r="D343" s="12"/>
      <c r="E343" s="12"/>
      <c r="F343" s="12"/>
      <c r="G343" s="18"/>
      <c r="H343" s="12"/>
      <c r="I343" s="18"/>
      <c r="J343" s="18"/>
      <c r="K343" s="12"/>
      <c r="L343" s="12"/>
      <c r="M343" s="12"/>
      <c r="N343" s="12"/>
      <c r="Q343" s="22"/>
      <c r="S343" s="73"/>
      <c r="T343" s="13"/>
      <c r="V343" s="12" t="str">
        <f t="shared" si="12"/>
        <v/>
      </c>
      <c r="W343" s="12" t="str">
        <f t="shared" si="13"/>
        <v/>
      </c>
    </row>
    <row r="344" spans="4:23" x14ac:dyDescent="0.25">
      <c r="D344" s="12"/>
      <c r="E344" s="12"/>
      <c r="F344" s="12"/>
      <c r="G344" s="18"/>
      <c r="H344" s="12"/>
      <c r="I344" s="18"/>
      <c r="J344" s="18"/>
      <c r="K344" s="12"/>
      <c r="L344" s="12"/>
      <c r="M344" s="12"/>
      <c r="N344" s="12"/>
      <c r="Q344" s="22"/>
      <c r="S344" s="73"/>
      <c r="T344" s="13"/>
      <c r="V344" s="12" t="str">
        <f t="shared" si="12"/>
        <v/>
      </c>
      <c r="W344" s="12" t="str">
        <f t="shared" si="13"/>
        <v/>
      </c>
    </row>
    <row r="345" spans="4:23" x14ac:dyDescent="0.25">
      <c r="D345" s="12"/>
      <c r="E345" s="12"/>
      <c r="F345" s="12"/>
      <c r="G345" s="18"/>
      <c r="H345" s="12"/>
      <c r="I345" s="18"/>
      <c r="J345" s="18"/>
      <c r="K345" s="12"/>
      <c r="L345" s="12"/>
      <c r="M345" s="12"/>
      <c r="N345" s="12"/>
      <c r="Q345" s="22"/>
      <c r="S345" s="73"/>
      <c r="T345" s="13"/>
      <c r="V345" s="12" t="str">
        <f t="shared" si="12"/>
        <v/>
      </c>
      <c r="W345" s="12" t="str">
        <f t="shared" si="13"/>
        <v/>
      </c>
    </row>
    <row r="346" spans="4:23" x14ac:dyDescent="0.25">
      <c r="D346" s="12"/>
      <c r="E346" s="12"/>
      <c r="F346" s="12"/>
      <c r="G346" s="18"/>
      <c r="H346" s="12"/>
      <c r="I346" s="18"/>
      <c r="J346" s="18"/>
      <c r="K346" s="12"/>
      <c r="L346" s="12"/>
      <c r="M346" s="12"/>
      <c r="N346" s="12"/>
      <c r="Q346" s="22"/>
      <c r="S346" s="73"/>
      <c r="T346" s="13"/>
      <c r="V346" s="12" t="str">
        <f t="shared" si="12"/>
        <v/>
      </c>
      <c r="W346" s="12" t="str">
        <f t="shared" si="13"/>
        <v/>
      </c>
    </row>
    <row r="347" spans="4:23" x14ac:dyDescent="0.25">
      <c r="D347" s="12"/>
      <c r="E347" s="12"/>
      <c r="F347" s="12"/>
      <c r="G347" s="18"/>
      <c r="H347" s="12"/>
      <c r="I347" s="18"/>
      <c r="J347" s="18"/>
      <c r="K347" s="12"/>
      <c r="L347" s="12"/>
      <c r="M347" s="12"/>
      <c r="N347" s="12"/>
      <c r="Q347" s="22"/>
      <c r="S347" s="73"/>
      <c r="T347" s="13"/>
      <c r="V347" s="12" t="str">
        <f t="shared" si="12"/>
        <v/>
      </c>
      <c r="W347" s="12" t="str">
        <f t="shared" si="13"/>
        <v/>
      </c>
    </row>
    <row r="348" spans="4:23" x14ac:dyDescent="0.25">
      <c r="D348" s="12"/>
      <c r="E348" s="12"/>
      <c r="F348" s="12"/>
      <c r="G348" s="18"/>
      <c r="H348" s="12"/>
      <c r="I348" s="18"/>
      <c r="J348" s="18"/>
      <c r="K348" s="12"/>
      <c r="L348" s="12"/>
      <c r="M348" s="12"/>
      <c r="N348" s="12"/>
      <c r="Q348" s="22"/>
      <c r="S348" s="73"/>
      <c r="T348" s="13"/>
      <c r="V348" s="12" t="str">
        <f t="shared" si="12"/>
        <v/>
      </c>
      <c r="W348" s="12" t="str">
        <f t="shared" si="13"/>
        <v/>
      </c>
    </row>
    <row r="349" spans="4:23" x14ac:dyDescent="0.25">
      <c r="D349" s="12"/>
      <c r="E349" s="12"/>
      <c r="F349" s="12"/>
      <c r="G349" s="18"/>
      <c r="H349" s="12"/>
      <c r="I349" s="18"/>
      <c r="J349" s="18"/>
      <c r="K349" s="12"/>
      <c r="L349" s="12"/>
      <c r="M349" s="12"/>
      <c r="N349" s="12"/>
      <c r="Q349" s="22"/>
      <c r="S349" s="73"/>
      <c r="T349" s="13"/>
      <c r="V349" s="12" t="str">
        <f t="shared" si="12"/>
        <v/>
      </c>
      <c r="W349" s="12" t="str">
        <f t="shared" si="13"/>
        <v/>
      </c>
    </row>
    <row r="350" spans="4:23" x14ac:dyDescent="0.25">
      <c r="D350" s="12"/>
      <c r="E350" s="12"/>
      <c r="F350" s="12"/>
      <c r="G350" s="18"/>
      <c r="H350" s="12"/>
      <c r="I350" s="18"/>
      <c r="J350" s="18"/>
      <c r="K350" s="12"/>
      <c r="L350" s="12"/>
      <c r="M350" s="12"/>
      <c r="N350" s="12"/>
      <c r="Q350" s="22"/>
      <c r="S350" s="73"/>
      <c r="T350" s="13"/>
      <c r="V350" s="12" t="str">
        <f t="shared" si="12"/>
        <v/>
      </c>
      <c r="W350" s="12" t="str">
        <f t="shared" si="13"/>
        <v/>
      </c>
    </row>
    <row r="351" spans="4:23" x14ac:dyDescent="0.25">
      <c r="D351" s="12"/>
      <c r="E351" s="12"/>
      <c r="F351" s="12"/>
      <c r="G351" s="18"/>
      <c r="H351" s="12"/>
      <c r="I351" s="18"/>
      <c r="J351" s="18"/>
      <c r="K351" s="12"/>
      <c r="L351" s="12"/>
      <c r="M351" s="12"/>
      <c r="N351" s="12"/>
      <c r="Q351" s="22"/>
      <c r="S351" s="73"/>
      <c r="T351" s="13"/>
      <c r="V351" s="12" t="str">
        <f t="shared" si="12"/>
        <v/>
      </c>
      <c r="W351" s="12" t="str">
        <f t="shared" si="13"/>
        <v/>
      </c>
    </row>
    <row r="352" spans="4:23" x14ac:dyDescent="0.25">
      <c r="D352" s="12"/>
      <c r="E352" s="12"/>
      <c r="F352" s="12"/>
      <c r="G352" s="18"/>
      <c r="H352" s="12"/>
      <c r="I352" s="18"/>
      <c r="J352" s="18"/>
      <c r="K352" s="12"/>
      <c r="L352" s="12"/>
      <c r="M352" s="12"/>
      <c r="N352" s="12"/>
      <c r="Q352" s="22"/>
      <c r="S352" s="73"/>
      <c r="T352" s="13"/>
      <c r="V352" s="12" t="str">
        <f t="shared" si="12"/>
        <v/>
      </c>
      <c r="W352" s="12" t="str">
        <f t="shared" si="13"/>
        <v/>
      </c>
    </row>
    <row r="353" spans="4:23" x14ac:dyDescent="0.25">
      <c r="D353" s="12"/>
      <c r="E353" s="12"/>
      <c r="F353" s="12"/>
      <c r="G353" s="18"/>
      <c r="H353" s="12"/>
      <c r="I353" s="18"/>
      <c r="J353" s="18"/>
      <c r="K353" s="12"/>
      <c r="L353" s="12"/>
      <c r="M353" s="12"/>
      <c r="N353" s="12"/>
      <c r="Q353" s="22"/>
      <c r="S353" s="73"/>
      <c r="T353" s="13"/>
      <c r="V353" s="12" t="str">
        <f t="shared" si="12"/>
        <v/>
      </c>
      <c r="W353" s="12" t="str">
        <f t="shared" si="13"/>
        <v/>
      </c>
    </row>
    <row r="354" spans="4:23" x14ac:dyDescent="0.25">
      <c r="D354" s="12"/>
      <c r="E354" s="12"/>
      <c r="F354" s="12"/>
      <c r="G354" s="18"/>
      <c r="H354" s="12"/>
      <c r="I354" s="18"/>
      <c r="J354" s="18"/>
      <c r="K354" s="12"/>
      <c r="L354" s="12"/>
      <c r="M354" s="12"/>
      <c r="N354" s="12"/>
      <c r="Q354" s="22"/>
      <c r="S354" s="73"/>
      <c r="T354" s="13"/>
      <c r="V354" s="12" t="str">
        <f t="shared" si="12"/>
        <v/>
      </c>
      <c r="W354" s="12" t="str">
        <f t="shared" si="13"/>
        <v/>
      </c>
    </row>
    <row r="355" spans="4:23" x14ac:dyDescent="0.25">
      <c r="D355" s="12"/>
      <c r="E355" s="12"/>
      <c r="F355" s="12"/>
      <c r="G355" s="18"/>
      <c r="H355" s="12"/>
      <c r="I355" s="18"/>
      <c r="J355" s="18"/>
      <c r="K355" s="12"/>
      <c r="L355" s="12"/>
      <c r="M355" s="12"/>
      <c r="N355" s="12"/>
      <c r="Q355" s="22"/>
      <c r="S355" s="73"/>
      <c r="T355" s="13"/>
      <c r="V355" s="12" t="str">
        <f t="shared" si="12"/>
        <v/>
      </c>
      <c r="W355" s="12" t="str">
        <f t="shared" si="13"/>
        <v/>
      </c>
    </row>
    <row r="356" spans="4:23" x14ac:dyDescent="0.25">
      <c r="D356" s="12"/>
      <c r="E356" s="12"/>
      <c r="F356" s="12"/>
      <c r="G356" s="18"/>
      <c r="H356" s="12"/>
      <c r="I356" s="18"/>
      <c r="J356" s="18"/>
      <c r="K356" s="12"/>
      <c r="L356" s="12"/>
      <c r="M356" s="12"/>
      <c r="N356" s="12"/>
      <c r="Q356" s="22"/>
      <c r="S356" s="73"/>
      <c r="T356" s="13"/>
      <c r="V356" s="12" t="str">
        <f t="shared" si="12"/>
        <v/>
      </c>
      <c r="W356" s="12" t="str">
        <f t="shared" si="13"/>
        <v/>
      </c>
    </row>
    <row r="357" spans="4:23" x14ac:dyDescent="0.25">
      <c r="D357" s="12"/>
      <c r="E357" s="12"/>
      <c r="F357" s="12"/>
      <c r="G357" s="18"/>
      <c r="H357" s="12"/>
      <c r="I357" s="18"/>
      <c r="J357" s="18"/>
      <c r="K357" s="12"/>
      <c r="L357" s="12"/>
      <c r="M357" s="12"/>
      <c r="N357" s="12"/>
      <c r="Q357" s="22"/>
      <c r="S357" s="73"/>
      <c r="T357" s="13"/>
      <c r="V357" s="12" t="str">
        <f t="shared" si="12"/>
        <v/>
      </c>
      <c r="W357" s="12" t="str">
        <f t="shared" si="13"/>
        <v/>
      </c>
    </row>
    <row r="358" spans="4:23" x14ac:dyDescent="0.25">
      <c r="D358" s="12"/>
      <c r="E358" s="12"/>
      <c r="F358" s="12"/>
      <c r="G358" s="18"/>
      <c r="H358" s="12"/>
      <c r="I358" s="18"/>
      <c r="J358" s="18"/>
      <c r="K358" s="12"/>
      <c r="L358" s="12"/>
      <c r="M358" s="12"/>
      <c r="N358" s="12"/>
      <c r="Q358" s="22"/>
      <c r="S358" s="73"/>
      <c r="T358" s="13"/>
      <c r="V358" s="12" t="str">
        <f t="shared" si="12"/>
        <v/>
      </c>
      <c r="W358" s="12" t="str">
        <f t="shared" si="13"/>
        <v/>
      </c>
    </row>
    <row r="359" spans="4:23" x14ac:dyDescent="0.25">
      <c r="D359" s="12"/>
      <c r="E359" s="12"/>
      <c r="F359" s="12"/>
      <c r="G359" s="18"/>
      <c r="H359" s="12"/>
      <c r="I359" s="18"/>
      <c r="J359" s="18"/>
      <c r="K359" s="12"/>
      <c r="L359" s="12"/>
      <c r="M359" s="12"/>
      <c r="N359" s="12"/>
      <c r="Q359" s="22"/>
      <c r="S359" s="73"/>
      <c r="T359" s="13"/>
      <c r="V359" s="12" t="str">
        <f t="shared" si="12"/>
        <v/>
      </c>
      <c r="W359" s="12" t="str">
        <f t="shared" si="13"/>
        <v/>
      </c>
    </row>
    <row r="360" spans="4:23" x14ac:dyDescent="0.25">
      <c r="D360" s="12"/>
      <c r="E360" s="12"/>
      <c r="F360" s="12"/>
      <c r="G360" s="18"/>
      <c r="H360" s="12"/>
      <c r="I360" s="18"/>
      <c r="J360" s="18"/>
      <c r="K360" s="12"/>
      <c r="L360" s="12"/>
      <c r="M360" s="12"/>
      <c r="N360" s="12"/>
      <c r="Q360" s="22"/>
      <c r="S360" s="73"/>
      <c r="T360" s="13"/>
      <c r="V360" s="12" t="str">
        <f t="shared" si="12"/>
        <v/>
      </c>
      <c r="W360" s="12" t="str">
        <f t="shared" si="13"/>
        <v/>
      </c>
    </row>
    <row r="361" spans="4:23" x14ac:dyDescent="0.25">
      <c r="D361" s="12"/>
      <c r="E361" s="12"/>
      <c r="F361" s="12"/>
      <c r="G361" s="18"/>
      <c r="H361" s="12"/>
      <c r="I361" s="18"/>
      <c r="J361" s="18"/>
      <c r="K361" s="12"/>
      <c r="L361" s="12"/>
      <c r="M361" s="12"/>
      <c r="N361" s="12"/>
      <c r="Q361" s="22"/>
      <c r="S361" s="73"/>
      <c r="T361" s="13"/>
      <c r="V361" s="12" t="str">
        <f t="shared" si="12"/>
        <v/>
      </c>
      <c r="W361" s="12" t="str">
        <f t="shared" si="13"/>
        <v/>
      </c>
    </row>
    <row r="362" spans="4:23" x14ac:dyDescent="0.25">
      <c r="D362" s="12"/>
      <c r="E362" s="12"/>
      <c r="F362" s="12"/>
      <c r="G362" s="18"/>
      <c r="H362" s="12"/>
      <c r="I362" s="18"/>
      <c r="J362" s="18"/>
      <c r="K362" s="12"/>
      <c r="L362" s="12"/>
      <c r="M362" s="12"/>
      <c r="N362" s="12"/>
      <c r="Q362" s="22"/>
      <c r="S362" s="73"/>
      <c r="T362" s="13"/>
      <c r="V362" s="12" t="str">
        <f t="shared" si="12"/>
        <v/>
      </c>
      <c r="W362" s="12" t="str">
        <f t="shared" si="13"/>
        <v/>
      </c>
    </row>
    <row r="363" spans="4:23" x14ac:dyDescent="0.25">
      <c r="D363" s="12"/>
      <c r="E363" s="12"/>
      <c r="F363" s="12"/>
      <c r="G363" s="18"/>
      <c r="H363" s="12"/>
      <c r="I363" s="18"/>
      <c r="J363" s="18"/>
      <c r="K363" s="12"/>
      <c r="L363" s="12"/>
      <c r="M363" s="12"/>
      <c r="N363" s="12"/>
      <c r="Q363" s="22"/>
      <c r="S363" s="73"/>
      <c r="T363" s="13"/>
      <c r="V363" s="12" t="str">
        <f t="shared" si="12"/>
        <v/>
      </c>
      <c r="W363" s="12" t="str">
        <f t="shared" si="13"/>
        <v/>
      </c>
    </row>
    <row r="364" spans="4:23" x14ac:dyDescent="0.25">
      <c r="D364" s="12"/>
      <c r="E364" s="12"/>
      <c r="F364" s="12"/>
      <c r="G364" s="18"/>
      <c r="H364" s="12"/>
      <c r="I364" s="18"/>
      <c r="J364" s="18"/>
      <c r="K364" s="12"/>
      <c r="L364" s="12"/>
      <c r="M364" s="12"/>
      <c r="N364" s="12"/>
      <c r="Q364" s="22"/>
      <c r="S364" s="73"/>
      <c r="T364" s="13"/>
      <c r="V364" s="12" t="str">
        <f t="shared" si="12"/>
        <v/>
      </c>
      <c r="W364" s="12" t="str">
        <f t="shared" si="13"/>
        <v/>
      </c>
    </row>
    <row r="365" spans="4:23" x14ac:dyDescent="0.25">
      <c r="D365" s="12"/>
      <c r="E365" s="12"/>
      <c r="F365" s="12"/>
      <c r="G365" s="18"/>
      <c r="H365" s="12"/>
      <c r="I365" s="18"/>
      <c r="J365" s="18"/>
      <c r="K365" s="12"/>
      <c r="L365" s="12"/>
      <c r="M365" s="12"/>
      <c r="N365" s="12"/>
      <c r="Q365" s="22"/>
      <c r="S365" s="73"/>
      <c r="T365" s="13"/>
      <c r="V365" s="12" t="str">
        <f t="shared" si="12"/>
        <v/>
      </c>
      <c r="W365" s="12" t="str">
        <f t="shared" si="13"/>
        <v/>
      </c>
    </row>
    <row r="366" spans="4:23" x14ac:dyDescent="0.25">
      <c r="D366" s="12"/>
      <c r="E366" s="12"/>
      <c r="F366" s="12"/>
      <c r="G366" s="18"/>
      <c r="H366" s="12"/>
      <c r="I366" s="18"/>
      <c r="J366" s="18"/>
      <c r="K366" s="12"/>
      <c r="L366" s="12"/>
      <c r="M366" s="12"/>
      <c r="N366" s="12"/>
      <c r="Q366" s="22"/>
      <c r="S366" s="73"/>
      <c r="T366" s="13"/>
      <c r="V366" s="12" t="str">
        <f t="shared" si="12"/>
        <v/>
      </c>
      <c r="W366" s="12" t="str">
        <f t="shared" si="13"/>
        <v/>
      </c>
    </row>
    <row r="367" spans="4:23" x14ac:dyDescent="0.25">
      <c r="D367" s="12"/>
      <c r="E367" s="12"/>
      <c r="F367" s="12"/>
      <c r="G367" s="18"/>
      <c r="H367" s="12"/>
      <c r="I367" s="18"/>
      <c r="J367" s="18"/>
      <c r="K367" s="12"/>
      <c r="L367" s="12"/>
      <c r="M367" s="12"/>
      <c r="N367" s="12"/>
      <c r="Q367" s="22"/>
      <c r="S367" s="73"/>
      <c r="T367" s="13"/>
      <c r="V367" s="12" t="str">
        <f t="shared" si="12"/>
        <v/>
      </c>
      <c r="W367" s="12" t="str">
        <f t="shared" si="13"/>
        <v/>
      </c>
    </row>
    <row r="368" spans="4:23" x14ac:dyDescent="0.25">
      <c r="D368" s="12"/>
      <c r="E368" s="12"/>
      <c r="F368" s="12"/>
      <c r="G368" s="18"/>
      <c r="H368" s="12"/>
      <c r="I368" s="18"/>
      <c r="J368" s="18"/>
      <c r="K368" s="12"/>
      <c r="L368" s="12"/>
      <c r="M368" s="12"/>
      <c r="N368" s="12"/>
      <c r="Q368" s="22"/>
      <c r="S368" s="73"/>
      <c r="T368" s="13"/>
      <c r="V368" s="12" t="str">
        <f t="shared" si="12"/>
        <v/>
      </c>
      <c r="W368" s="12" t="str">
        <f t="shared" si="13"/>
        <v/>
      </c>
    </row>
    <row r="369" spans="4:23" x14ac:dyDescent="0.25">
      <c r="D369" s="12"/>
      <c r="E369" s="12"/>
      <c r="F369" s="12"/>
      <c r="G369" s="18"/>
      <c r="H369" s="12"/>
      <c r="I369" s="18"/>
      <c r="J369" s="18"/>
      <c r="K369" s="12"/>
      <c r="L369" s="12"/>
      <c r="M369" s="12"/>
      <c r="N369" s="12"/>
      <c r="Q369" s="22"/>
      <c r="S369" s="73"/>
      <c r="T369" s="13"/>
      <c r="V369" s="12" t="str">
        <f t="shared" si="12"/>
        <v/>
      </c>
      <c r="W369" s="12" t="str">
        <f t="shared" si="13"/>
        <v/>
      </c>
    </row>
    <row r="370" spans="4:23" x14ac:dyDescent="0.25">
      <c r="D370" s="12"/>
      <c r="E370" s="12"/>
      <c r="F370" s="12"/>
      <c r="G370" s="18"/>
      <c r="H370" s="12"/>
      <c r="I370" s="18"/>
      <c r="J370" s="18"/>
      <c r="K370" s="12"/>
      <c r="L370" s="12"/>
      <c r="M370" s="12"/>
      <c r="N370" s="12"/>
      <c r="Q370" s="22"/>
      <c r="S370" s="73"/>
      <c r="T370" s="13"/>
      <c r="V370" s="12" t="str">
        <f t="shared" si="12"/>
        <v/>
      </c>
      <c r="W370" s="12" t="str">
        <f t="shared" si="13"/>
        <v/>
      </c>
    </row>
    <row r="371" spans="4:23" x14ac:dyDescent="0.25">
      <c r="D371" s="12"/>
      <c r="E371" s="12"/>
      <c r="F371" s="12"/>
      <c r="G371" s="18"/>
      <c r="H371" s="12"/>
      <c r="I371" s="18"/>
      <c r="J371" s="18"/>
      <c r="K371" s="12"/>
      <c r="L371" s="12"/>
      <c r="M371" s="12"/>
      <c r="N371" s="12"/>
      <c r="Q371" s="22"/>
      <c r="S371" s="73"/>
      <c r="T371" s="13"/>
      <c r="V371" s="12" t="str">
        <f t="shared" si="12"/>
        <v/>
      </c>
      <c r="W371" s="12" t="str">
        <f t="shared" si="13"/>
        <v/>
      </c>
    </row>
    <row r="372" spans="4:23" x14ac:dyDescent="0.25">
      <c r="D372" s="12"/>
      <c r="E372" s="12"/>
      <c r="F372" s="12"/>
      <c r="G372" s="18"/>
      <c r="H372" s="12"/>
      <c r="I372" s="18"/>
      <c r="J372" s="18"/>
      <c r="K372" s="12"/>
      <c r="L372" s="12"/>
      <c r="M372" s="12"/>
      <c r="N372" s="12"/>
      <c r="Q372" s="22"/>
      <c r="S372" s="73"/>
      <c r="T372" s="13"/>
      <c r="V372" s="12" t="str">
        <f t="shared" ref="V372" si="14">IF(B372=0,"",IF(B372="-",V371+1,0))</f>
        <v/>
      </c>
      <c r="W372" s="12" t="str">
        <f t="shared" ref="W372" si="15">IF(A372=0,"",ROW())</f>
        <v/>
      </c>
    </row>
    <row r="373" spans="4:23" x14ac:dyDescent="0.25">
      <c r="D373" s="12"/>
      <c r="E373" s="12"/>
      <c r="F373" s="12"/>
      <c r="G373" s="18"/>
      <c r="H373" s="12"/>
      <c r="I373" s="18"/>
      <c r="J373" s="18"/>
      <c r="K373" s="12"/>
      <c r="L373" s="12"/>
      <c r="M373" s="12"/>
      <c r="N373" s="12"/>
      <c r="Q373" s="22"/>
      <c r="S373" s="73"/>
      <c r="T373" s="13"/>
      <c r="V373" s="12"/>
      <c r="W373" s="12"/>
    </row>
    <row r="374" spans="4:23" x14ac:dyDescent="0.25">
      <c r="D374" s="12"/>
      <c r="E374" s="12"/>
      <c r="F374" s="12"/>
      <c r="G374" s="18"/>
      <c r="H374" s="12"/>
      <c r="I374" s="18"/>
      <c r="J374" s="18"/>
      <c r="K374" s="12"/>
      <c r="L374" s="12"/>
      <c r="M374" s="12"/>
      <c r="N374" s="12"/>
      <c r="Q374" s="22"/>
      <c r="S374" s="73"/>
      <c r="T374" s="13"/>
      <c r="V374" s="12"/>
      <c r="W374" s="12"/>
    </row>
    <row r="375" spans="4:23" x14ac:dyDescent="0.25">
      <c r="D375" s="12"/>
      <c r="E375" s="12"/>
      <c r="F375" s="12"/>
      <c r="G375" s="18"/>
      <c r="H375" s="12"/>
      <c r="I375" s="18"/>
      <c r="J375" s="18"/>
      <c r="K375" s="12"/>
      <c r="L375" s="12"/>
      <c r="M375" s="12"/>
      <c r="N375" s="12"/>
      <c r="Q375" s="22"/>
      <c r="S375" s="73"/>
      <c r="T375" s="13"/>
      <c r="V375" s="12"/>
      <c r="W375" s="12"/>
    </row>
    <row r="376" spans="4:23" x14ac:dyDescent="0.25">
      <c r="D376" s="12"/>
      <c r="E376" s="12"/>
      <c r="F376" s="12"/>
      <c r="G376" s="18"/>
      <c r="H376" s="12"/>
      <c r="I376" s="18"/>
      <c r="J376" s="18"/>
      <c r="K376" s="12"/>
      <c r="L376" s="12"/>
      <c r="M376" s="12"/>
      <c r="N376" s="12"/>
      <c r="Q376" s="22"/>
      <c r="S376" s="73"/>
      <c r="T376" s="13"/>
      <c r="V376" s="12"/>
      <c r="W376" s="12"/>
    </row>
    <row r="377" spans="4:23" x14ac:dyDescent="0.25">
      <c r="D377" s="12"/>
      <c r="E377" s="12"/>
      <c r="F377" s="12"/>
      <c r="G377" s="18"/>
      <c r="H377" s="12"/>
      <c r="I377" s="18"/>
      <c r="J377" s="18"/>
      <c r="K377" s="12"/>
      <c r="L377" s="12"/>
      <c r="M377" s="12"/>
      <c r="N377" s="12"/>
      <c r="Q377" s="22"/>
      <c r="S377" s="73"/>
      <c r="T377" s="13"/>
      <c r="V377" s="12"/>
      <c r="W377" s="12"/>
    </row>
    <row r="378" spans="4:23" x14ac:dyDescent="0.25">
      <c r="D378" s="12"/>
      <c r="E378" s="12"/>
      <c r="F378" s="12"/>
      <c r="G378" s="18"/>
      <c r="H378" s="12"/>
      <c r="I378" s="18"/>
      <c r="J378" s="18"/>
      <c r="K378" s="12"/>
      <c r="L378" s="12"/>
      <c r="M378" s="12"/>
      <c r="N378" s="12"/>
      <c r="Q378" s="22"/>
      <c r="S378" s="73"/>
      <c r="T378" s="13"/>
      <c r="V378" s="12"/>
      <c r="W378" s="12"/>
    </row>
    <row r="379" spans="4:23" x14ac:dyDescent="0.25">
      <c r="D379" s="12"/>
      <c r="E379" s="12"/>
      <c r="F379" s="12"/>
      <c r="G379" s="18"/>
      <c r="H379" s="12"/>
      <c r="I379" s="18"/>
      <c r="J379" s="18"/>
      <c r="K379" s="12"/>
      <c r="L379" s="12"/>
      <c r="M379" s="12"/>
      <c r="N379" s="12"/>
      <c r="Q379" s="22"/>
      <c r="S379" s="73"/>
      <c r="T379" s="13"/>
      <c r="V379" s="12"/>
      <c r="W379" s="12"/>
    </row>
    <row r="380" spans="4:23" x14ac:dyDescent="0.25">
      <c r="D380" s="12"/>
      <c r="E380" s="12"/>
      <c r="F380" s="12"/>
      <c r="G380" s="18"/>
      <c r="H380" s="12"/>
      <c r="I380" s="18"/>
      <c r="J380" s="18"/>
      <c r="K380" s="12"/>
      <c r="L380" s="12"/>
      <c r="M380" s="12"/>
      <c r="N380" s="12"/>
      <c r="Q380" s="22"/>
      <c r="S380" s="73"/>
      <c r="T380" s="13"/>
      <c r="V380" s="12"/>
      <c r="W380" s="12"/>
    </row>
    <row r="381" spans="4:23" x14ac:dyDescent="0.25">
      <c r="D381" s="12"/>
      <c r="E381" s="12"/>
      <c r="F381" s="12"/>
      <c r="G381" s="18"/>
      <c r="H381" s="12"/>
      <c r="I381" s="18"/>
      <c r="J381" s="18"/>
      <c r="K381" s="12"/>
      <c r="L381" s="12"/>
      <c r="M381" s="12"/>
      <c r="N381" s="12"/>
      <c r="Q381" s="22"/>
      <c r="S381" s="73"/>
      <c r="T381" s="13"/>
      <c r="V381" s="12"/>
      <c r="W381" s="12"/>
    </row>
    <row r="382" spans="4:23" x14ac:dyDescent="0.25">
      <c r="D382" s="12"/>
      <c r="E382" s="12"/>
      <c r="F382" s="12"/>
      <c r="G382" s="18"/>
      <c r="H382" s="12"/>
      <c r="I382" s="18"/>
      <c r="J382" s="18"/>
      <c r="K382" s="12"/>
      <c r="L382" s="12"/>
      <c r="M382" s="12"/>
      <c r="N382" s="12"/>
      <c r="Q382" s="22"/>
      <c r="S382" s="73"/>
      <c r="T382" s="13"/>
      <c r="V382" s="12"/>
      <c r="W382" s="12"/>
    </row>
    <row r="383" spans="4:23" x14ac:dyDescent="0.25">
      <c r="D383" s="12"/>
      <c r="E383" s="12"/>
      <c r="F383" s="12"/>
      <c r="G383" s="18"/>
      <c r="H383" s="12"/>
      <c r="I383" s="18"/>
      <c r="J383" s="18"/>
      <c r="K383" s="12"/>
      <c r="L383" s="12"/>
      <c r="M383" s="12"/>
      <c r="N383" s="12"/>
      <c r="Q383" s="22"/>
      <c r="S383" s="73"/>
      <c r="T383" s="13"/>
      <c r="V383" s="12"/>
      <c r="W383" s="12"/>
    </row>
    <row r="384" spans="4:23" x14ac:dyDescent="0.25">
      <c r="D384" s="12"/>
      <c r="E384" s="12"/>
      <c r="F384" s="12"/>
      <c r="G384" s="18"/>
      <c r="H384" s="12"/>
      <c r="I384" s="18"/>
      <c r="J384" s="18"/>
      <c r="K384" s="12"/>
      <c r="L384" s="12"/>
      <c r="M384" s="12"/>
      <c r="N384" s="12"/>
      <c r="Q384" s="22"/>
      <c r="S384" s="73"/>
      <c r="T384" s="13"/>
      <c r="V384" s="12"/>
      <c r="W384" s="12"/>
    </row>
    <row r="385" spans="4:23" x14ac:dyDescent="0.25">
      <c r="D385" s="12"/>
      <c r="E385" s="12"/>
      <c r="F385" s="12"/>
      <c r="G385" s="18"/>
      <c r="H385" s="12"/>
      <c r="I385" s="18"/>
      <c r="J385" s="18"/>
      <c r="K385" s="12"/>
      <c r="L385" s="12"/>
      <c r="M385" s="12"/>
      <c r="N385" s="12"/>
      <c r="Q385" s="22"/>
      <c r="S385" s="73"/>
      <c r="T385" s="13"/>
      <c r="V385" s="12"/>
      <c r="W385" s="12"/>
    </row>
    <row r="386" spans="4:23" x14ac:dyDescent="0.25">
      <c r="D386" s="12"/>
      <c r="E386" s="12"/>
      <c r="F386" s="12"/>
      <c r="G386" s="18"/>
      <c r="H386" s="12"/>
      <c r="I386" s="18"/>
      <c r="J386" s="18"/>
      <c r="K386" s="12"/>
      <c r="L386" s="12"/>
      <c r="M386" s="12"/>
      <c r="N386" s="12"/>
      <c r="Q386" s="22"/>
      <c r="S386" s="73"/>
      <c r="T386" s="13"/>
      <c r="V386" s="12"/>
      <c r="W386" s="12"/>
    </row>
    <row r="387" spans="4:23" x14ac:dyDescent="0.25">
      <c r="D387" s="12"/>
      <c r="E387" s="12"/>
      <c r="F387" s="12"/>
      <c r="G387" s="18"/>
      <c r="H387" s="12"/>
      <c r="I387" s="18"/>
      <c r="J387" s="18"/>
      <c r="K387" s="12"/>
      <c r="L387" s="12"/>
      <c r="M387" s="12"/>
      <c r="N387" s="12"/>
      <c r="Q387" s="22"/>
      <c r="S387" s="73"/>
      <c r="T387" s="13"/>
      <c r="V387" s="12"/>
      <c r="W387" s="12"/>
    </row>
    <row r="388" spans="4:23" x14ac:dyDescent="0.25">
      <c r="D388" s="12"/>
      <c r="E388" s="12"/>
      <c r="F388" s="12"/>
      <c r="G388" s="18"/>
      <c r="H388" s="12"/>
      <c r="I388" s="18"/>
      <c r="J388" s="18"/>
      <c r="K388" s="12"/>
      <c r="L388" s="12"/>
      <c r="M388" s="12"/>
      <c r="N388" s="12"/>
      <c r="Q388" s="22"/>
      <c r="S388" s="73"/>
      <c r="T388" s="13"/>
      <c r="V388" s="12"/>
      <c r="W388" s="12"/>
    </row>
    <row r="389" spans="4:23" x14ac:dyDescent="0.25">
      <c r="D389" s="12"/>
      <c r="E389" s="12"/>
      <c r="F389" s="12"/>
      <c r="G389" s="18"/>
      <c r="H389" s="12"/>
      <c r="I389" s="18"/>
      <c r="J389" s="18"/>
      <c r="K389" s="12"/>
      <c r="L389" s="12"/>
      <c r="M389" s="12"/>
      <c r="N389" s="12"/>
      <c r="Q389" s="22"/>
      <c r="S389" s="73"/>
      <c r="T389" s="13"/>
      <c r="V389" s="12"/>
      <c r="W389" s="12"/>
    </row>
    <row r="390" spans="4:23" x14ac:dyDescent="0.25">
      <c r="D390" s="12"/>
      <c r="E390" s="12"/>
      <c r="F390" s="12"/>
      <c r="G390" s="18"/>
      <c r="H390" s="12"/>
      <c r="I390" s="18"/>
      <c r="J390" s="18"/>
      <c r="K390" s="12"/>
      <c r="L390" s="12"/>
      <c r="M390" s="12"/>
      <c r="N390" s="12"/>
      <c r="Q390" s="22"/>
      <c r="S390" s="73"/>
      <c r="T390" s="13"/>
      <c r="V390" s="12"/>
      <c r="W390" s="12"/>
    </row>
    <row r="391" spans="4:23" x14ac:dyDescent="0.25">
      <c r="D391" s="12"/>
      <c r="E391" s="12"/>
      <c r="F391" s="12"/>
      <c r="G391" s="18"/>
      <c r="H391" s="12"/>
      <c r="I391" s="18"/>
      <c r="J391" s="18"/>
      <c r="K391" s="12"/>
      <c r="L391" s="12"/>
      <c r="M391" s="12"/>
      <c r="N391" s="12"/>
      <c r="Q391" s="22"/>
      <c r="S391" s="73"/>
      <c r="T391" s="13"/>
      <c r="V391" s="12"/>
      <c r="W391" s="12"/>
    </row>
    <row r="392" spans="4:23" x14ac:dyDescent="0.25">
      <c r="D392" s="12"/>
      <c r="E392" s="12"/>
      <c r="F392" s="12"/>
      <c r="G392" s="18"/>
      <c r="H392" s="12"/>
      <c r="I392" s="18"/>
      <c r="J392" s="18"/>
      <c r="K392" s="12"/>
      <c r="L392" s="12"/>
      <c r="M392" s="12"/>
      <c r="N392" s="12"/>
      <c r="Q392" s="22"/>
      <c r="S392" s="73"/>
      <c r="T392" s="13"/>
      <c r="V392" s="12"/>
      <c r="W392" s="12"/>
    </row>
    <row r="393" spans="4:23" x14ac:dyDescent="0.25">
      <c r="D393" s="12"/>
      <c r="E393" s="12"/>
      <c r="F393" s="12"/>
      <c r="G393" s="18"/>
      <c r="H393" s="12"/>
      <c r="I393" s="18"/>
      <c r="J393" s="18"/>
      <c r="K393" s="12"/>
      <c r="L393" s="12"/>
      <c r="M393" s="12"/>
      <c r="N393" s="12"/>
      <c r="Q393" s="22"/>
      <c r="S393" s="73"/>
      <c r="T393" s="13"/>
      <c r="V393" s="12"/>
      <c r="W393" s="12"/>
    </row>
    <row r="394" spans="4:23" x14ac:dyDescent="0.25">
      <c r="D394" s="12"/>
      <c r="E394" s="12"/>
      <c r="F394" s="12"/>
      <c r="G394" s="18"/>
      <c r="H394" s="12"/>
      <c r="I394" s="18"/>
      <c r="J394" s="18"/>
      <c r="K394" s="12"/>
      <c r="L394" s="12"/>
      <c r="M394" s="12"/>
      <c r="N394" s="12"/>
      <c r="Q394" s="22"/>
      <c r="S394" s="73"/>
      <c r="T394" s="13"/>
      <c r="V394" s="12"/>
      <c r="W394" s="12"/>
    </row>
    <row r="395" spans="4:23" x14ac:dyDescent="0.25">
      <c r="D395" s="12"/>
      <c r="E395" s="12"/>
      <c r="F395" s="12"/>
      <c r="G395" s="18"/>
      <c r="H395" s="12"/>
      <c r="I395" s="18"/>
      <c r="J395" s="18"/>
      <c r="K395" s="12"/>
      <c r="L395" s="12"/>
      <c r="M395" s="12"/>
      <c r="N395" s="12"/>
      <c r="Q395" s="22"/>
      <c r="S395" s="73"/>
      <c r="T395" s="13"/>
      <c r="V395" s="12"/>
      <c r="W395" s="12"/>
    </row>
    <row r="396" spans="4:23" x14ac:dyDescent="0.25">
      <c r="D396" s="12"/>
      <c r="E396" s="12"/>
      <c r="F396" s="12"/>
      <c r="G396" s="18"/>
      <c r="H396" s="12"/>
      <c r="I396" s="18"/>
      <c r="J396" s="18"/>
      <c r="K396" s="12"/>
      <c r="L396" s="12"/>
      <c r="M396" s="12"/>
      <c r="N396" s="12"/>
      <c r="Q396" s="22"/>
      <c r="S396" s="73"/>
      <c r="T396" s="13"/>
      <c r="V396" s="12"/>
      <c r="W396" s="12"/>
    </row>
    <row r="397" spans="4:23" x14ac:dyDescent="0.25">
      <c r="D397" s="12"/>
      <c r="E397" s="12"/>
      <c r="F397" s="12"/>
      <c r="G397" s="18"/>
      <c r="H397" s="12"/>
      <c r="I397" s="18"/>
      <c r="J397" s="18"/>
      <c r="K397" s="12"/>
      <c r="L397" s="12"/>
      <c r="M397" s="12"/>
      <c r="N397" s="12"/>
      <c r="Q397" s="22"/>
      <c r="S397" s="73"/>
      <c r="T397" s="13"/>
      <c r="V397" s="12"/>
      <c r="W397" s="12"/>
    </row>
    <row r="398" spans="4:23" x14ac:dyDescent="0.25">
      <c r="D398" s="12"/>
      <c r="E398" s="12"/>
      <c r="F398" s="12"/>
      <c r="G398" s="18"/>
      <c r="H398" s="12"/>
      <c r="I398" s="18"/>
      <c r="J398" s="18"/>
      <c r="K398" s="12"/>
      <c r="L398" s="12"/>
      <c r="M398" s="12"/>
      <c r="N398" s="12"/>
      <c r="Q398" s="22"/>
      <c r="S398" s="73"/>
      <c r="T398" s="13"/>
      <c r="V398" s="12"/>
      <c r="W398" s="12"/>
    </row>
    <row r="399" spans="4:23" x14ac:dyDescent="0.25">
      <c r="D399" s="12"/>
      <c r="E399" s="12"/>
      <c r="F399" s="12"/>
      <c r="G399" s="18"/>
      <c r="H399" s="12"/>
      <c r="I399" s="18"/>
      <c r="J399" s="18"/>
      <c r="K399" s="12"/>
      <c r="L399" s="12"/>
      <c r="M399" s="12"/>
      <c r="N399" s="12"/>
      <c r="Q399" s="22"/>
      <c r="S399" s="73"/>
      <c r="T399" s="13"/>
      <c r="V399" s="12"/>
      <c r="W399" s="12"/>
    </row>
    <row r="400" spans="4:23" x14ac:dyDescent="0.25">
      <c r="D400" s="12"/>
      <c r="E400" s="12"/>
      <c r="F400" s="12"/>
      <c r="G400" s="18"/>
      <c r="H400" s="12"/>
      <c r="I400" s="18"/>
      <c r="J400" s="18"/>
      <c r="K400" s="12"/>
      <c r="L400" s="12"/>
      <c r="M400" s="12"/>
      <c r="N400" s="12"/>
      <c r="Q400" s="22"/>
      <c r="S400" s="73"/>
      <c r="T400" s="13"/>
      <c r="V400" s="12"/>
      <c r="W400" s="12"/>
    </row>
    <row r="401" spans="4:23" x14ac:dyDescent="0.25">
      <c r="D401" s="12"/>
      <c r="E401" s="12"/>
      <c r="F401" s="12"/>
      <c r="G401" s="18"/>
      <c r="H401" s="12"/>
      <c r="I401" s="18"/>
      <c r="J401" s="18"/>
      <c r="K401" s="12"/>
      <c r="L401" s="12"/>
      <c r="M401" s="12"/>
      <c r="N401" s="12"/>
      <c r="Q401" s="22"/>
      <c r="S401" s="73"/>
      <c r="T401" s="13"/>
      <c r="V401" s="12"/>
      <c r="W401" s="12"/>
    </row>
    <row r="402" spans="4:23" x14ac:dyDescent="0.25">
      <c r="D402" s="12"/>
      <c r="E402" s="12"/>
      <c r="F402" s="12"/>
      <c r="G402" s="18"/>
      <c r="H402" s="12"/>
      <c r="I402" s="18"/>
      <c r="J402" s="18"/>
      <c r="K402" s="12"/>
      <c r="L402" s="12"/>
      <c r="M402" s="12"/>
      <c r="N402" s="12"/>
      <c r="Q402" s="22"/>
      <c r="S402" s="73"/>
      <c r="T402" s="13"/>
      <c r="V402" s="12"/>
      <c r="W402" s="12"/>
    </row>
    <row r="403" spans="4:23" x14ac:dyDescent="0.25">
      <c r="D403" s="12"/>
      <c r="E403" s="12"/>
      <c r="F403" s="12"/>
      <c r="G403" s="18"/>
      <c r="H403" s="12"/>
      <c r="I403" s="18"/>
      <c r="J403" s="18"/>
      <c r="K403" s="12"/>
      <c r="L403" s="12"/>
      <c r="M403" s="12"/>
      <c r="N403" s="12"/>
      <c r="Q403" s="22"/>
      <c r="S403" s="73"/>
      <c r="T403" s="13"/>
      <c r="V403" s="12"/>
      <c r="W403" s="12"/>
    </row>
    <row r="404" spans="4:23" x14ac:dyDescent="0.25">
      <c r="D404" s="12"/>
      <c r="E404" s="12"/>
      <c r="F404" s="12"/>
      <c r="G404" s="18"/>
      <c r="H404" s="12"/>
      <c r="I404" s="18"/>
      <c r="J404" s="18"/>
      <c r="K404" s="12"/>
      <c r="L404" s="12"/>
      <c r="M404" s="12"/>
      <c r="N404" s="12"/>
      <c r="Q404" s="22"/>
      <c r="S404" s="73"/>
      <c r="T404" s="13"/>
      <c r="V404" s="12"/>
      <c r="W404" s="12"/>
    </row>
    <row r="405" spans="4:23" x14ac:dyDescent="0.25">
      <c r="D405" s="12"/>
      <c r="E405" s="12"/>
      <c r="F405" s="12"/>
      <c r="G405" s="18"/>
      <c r="H405" s="12"/>
      <c r="I405" s="18"/>
      <c r="J405" s="18"/>
      <c r="K405" s="12"/>
      <c r="L405" s="12"/>
      <c r="M405" s="12"/>
      <c r="N405" s="12"/>
      <c r="Q405" s="22"/>
      <c r="S405" s="73"/>
      <c r="T405" s="13"/>
      <c r="V405" s="12"/>
      <c r="W405" s="12"/>
    </row>
    <row r="406" spans="4:23" x14ac:dyDescent="0.25">
      <c r="D406" s="12"/>
      <c r="E406" s="12"/>
      <c r="F406" s="12"/>
      <c r="G406" s="18"/>
      <c r="H406" s="12"/>
      <c r="I406" s="18"/>
      <c r="J406" s="18"/>
      <c r="K406" s="12"/>
      <c r="L406" s="12"/>
      <c r="M406" s="12"/>
      <c r="N406" s="12"/>
      <c r="Q406" s="22"/>
      <c r="S406" s="73"/>
      <c r="T406" s="13"/>
      <c r="V406" s="12"/>
      <c r="W406" s="56"/>
    </row>
    <row r="407" spans="4:23" x14ac:dyDescent="0.25">
      <c r="D407" s="12"/>
      <c r="E407" s="12"/>
      <c r="F407" s="12"/>
      <c r="G407" s="18"/>
      <c r="H407" s="12"/>
      <c r="I407" s="18"/>
      <c r="J407" s="18"/>
      <c r="K407" s="12"/>
      <c r="L407" s="12"/>
      <c r="M407" s="12"/>
      <c r="N407" s="12"/>
      <c r="Q407" s="22"/>
      <c r="S407" s="73"/>
      <c r="T407" s="13"/>
      <c r="V407" s="12"/>
      <c r="W407" s="12"/>
    </row>
    <row r="408" spans="4:23" x14ac:dyDescent="0.25">
      <c r="D408" s="12"/>
      <c r="E408" s="12"/>
      <c r="F408" s="12"/>
      <c r="G408" s="18"/>
      <c r="H408" s="12"/>
      <c r="I408" s="18"/>
      <c r="J408" s="18"/>
      <c r="K408" s="12"/>
      <c r="L408" s="12"/>
      <c r="M408" s="12"/>
      <c r="N408" s="12"/>
      <c r="Q408" s="22"/>
      <c r="S408" s="73"/>
      <c r="T408" s="13"/>
      <c r="V408" s="12"/>
      <c r="W408" s="12"/>
    </row>
    <row r="409" spans="4:23" x14ac:dyDescent="0.25">
      <c r="D409" s="12"/>
      <c r="E409" s="12"/>
      <c r="F409" s="12"/>
      <c r="G409" s="18"/>
      <c r="H409" s="12"/>
      <c r="I409" s="18"/>
      <c r="J409" s="18"/>
      <c r="K409" s="12"/>
      <c r="L409" s="12"/>
      <c r="M409" s="12"/>
      <c r="N409" s="12"/>
      <c r="Q409" s="22"/>
      <c r="S409" s="73"/>
      <c r="T409" s="13"/>
      <c r="V409" s="12"/>
      <c r="W409" s="12"/>
    </row>
    <row r="410" spans="4:23" x14ac:dyDescent="0.25">
      <c r="D410" s="12"/>
      <c r="E410" s="12"/>
      <c r="F410" s="12"/>
      <c r="G410" s="18"/>
      <c r="H410" s="12"/>
      <c r="I410" s="18"/>
      <c r="J410" s="18"/>
      <c r="K410" s="12"/>
      <c r="L410" s="12"/>
      <c r="M410" s="12"/>
      <c r="N410" s="12"/>
      <c r="Q410" s="22"/>
      <c r="S410" s="73"/>
      <c r="T410" s="13"/>
      <c r="V410" s="12"/>
      <c r="W410" s="12"/>
    </row>
    <row r="411" spans="4:23" x14ac:dyDescent="0.25">
      <c r="D411" s="12"/>
      <c r="E411" s="12"/>
      <c r="F411" s="12"/>
      <c r="G411" s="18"/>
      <c r="H411" s="12"/>
      <c r="I411" s="18"/>
      <c r="J411" s="18"/>
      <c r="K411" s="12"/>
      <c r="L411" s="12"/>
      <c r="M411" s="12"/>
      <c r="N411" s="12"/>
      <c r="Q411" s="22"/>
      <c r="S411" s="73"/>
      <c r="T411" s="13"/>
      <c r="V411" s="12"/>
      <c r="W411" s="12"/>
    </row>
    <row r="412" spans="4:23" x14ac:dyDescent="0.25">
      <c r="D412" s="12"/>
      <c r="E412" s="12"/>
      <c r="F412" s="12"/>
      <c r="G412" s="18"/>
      <c r="H412" s="12"/>
      <c r="I412" s="18"/>
      <c r="J412" s="18"/>
      <c r="K412" s="12"/>
      <c r="L412" s="12"/>
      <c r="M412" s="12"/>
      <c r="N412" s="12"/>
      <c r="Q412" s="22"/>
      <c r="S412" s="73"/>
      <c r="T412" s="13"/>
      <c r="V412" s="12"/>
      <c r="W412" s="12"/>
    </row>
    <row r="413" spans="4:23" x14ac:dyDescent="0.25">
      <c r="D413" s="12"/>
      <c r="E413" s="12"/>
      <c r="F413" s="12"/>
      <c r="G413" s="18"/>
      <c r="H413" s="12"/>
      <c r="I413" s="18"/>
      <c r="J413" s="18"/>
      <c r="K413" s="12"/>
      <c r="L413" s="12"/>
      <c r="M413" s="12"/>
      <c r="N413" s="12"/>
      <c r="Q413" s="22"/>
      <c r="S413" s="73"/>
      <c r="T413" s="13"/>
      <c r="V413" s="12"/>
      <c r="W413" s="12"/>
    </row>
    <row r="414" spans="4:23" x14ac:dyDescent="0.25">
      <c r="D414" s="12"/>
      <c r="E414" s="12"/>
      <c r="F414" s="12"/>
      <c r="G414" s="18"/>
      <c r="H414" s="12"/>
      <c r="I414" s="18"/>
      <c r="J414" s="18"/>
      <c r="K414" s="12"/>
      <c r="L414" s="12"/>
      <c r="M414" s="12"/>
      <c r="N414" s="12"/>
      <c r="Q414" s="22"/>
      <c r="S414" s="73"/>
      <c r="T414" s="13"/>
      <c r="V414" s="12"/>
      <c r="W414" s="12"/>
    </row>
    <row r="415" spans="4:23" x14ac:dyDescent="0.25">
      <c r="D415" s="12"/>
      <c r="E415" s="12"/>
      <c r="F415" s="12"/>
      <c r="G415" s="18"/>
      <c r="H415" s="12"/>
      <c r="I415" s="18"/>
      <c r="J415" s="18"/>
      <c r="K415" s="12"/>
      <c r="L415" s="12"/>
      <c r="M415" s="12"/>
      <c r="N415" s="12"/>
      <c r="Q415" s="22"/>
      <c r="S415" s="73"/>
      <c r="T415" s="13"/>
      <c r="V415" s="12"/>
      <c r="W415" s="12"/>
    </row>
    <row r="416" spans="4:23" x14ac:dyDescent="0.25">
      <c r="D416" s="12"/>
      <c r="E416" s="12"/>
      <c r="F416" s="12"/>
      <c r="G416" s="18"/>
      <c r="H416" s="12"/>
      <c r="I416" s="18"/>
      <c r="J416" s="18"/>
      <c r="K416" s="12"/>
      <c r="L416" s="12"/>
      <c r="M416" s="12"/>
      <c r="N416" s="12"/>
      <c r="Q416" s="22"/>
      <c r="S416" s="73"/>
      <c r="T416" s="13"/>
      <c r="V416" s="12"/>
      <c r="W416" s="12"/>
    </row>
    <row r="417" spans="4:23" x14ac:dyDescent="0.25">
      <c r="D417" s="12"/>
      <c r="E417" s="12"/>
      <c r="F417" s="12"/>
      <c r="G417" s="18"/>
      <c r="H417" s="12"/>
      <c r="I417" s="18"/>
      <c r="J417" s="18"/>
      <c r="K417" s="12"/>
      <c r="L417" s="12"/>
      <c r="M417" s="12"/>
      <c r="N417" s="12"/>
      <c r="Q417" s="22"/>
      <c r="S417" s="73"/>
      <c r="T417" s="13"/>
      <c r="V417" s="12"/>
      <c r="W417" s="12"/>
    </row>
    <row r="418" spans="4:23" x14ac:dyDescent="0.25">
      <c r="D418" s="12"/>
      <c r="E418" s="12"/>
      <c r="F418" s="12"/>
      <c r="G418" s="18"/>
      <c r="H418" s="12"/>
      <c r="I418" s="18"/>
      <c r="J418" s="18"/>
      <c r="K418" s="12"/>
      <c r="L418" s="12"/>
      <c r="M418" s="12"/>
      <c r="N418" s="12"/>
      <c r="Q418" s="22"/>
      <c r="S418" s="73"/>
      <c r="T418" s="13"/>
      <c r="V418" s="12"/>
      <c r="W418" s="12"/>
    </row>
    <row r="419" spans="4:23" x14ac:dyDescent="0.25">
      <c r="D419" s="12"/>
      <c r="E419" s="12"/>
      <c r="F419" s="12"/>
      <c r="G419" s="18"/>
      <c r="H419" s="12"/>
      <c r="I419" s="18"/>
      <c r="J419" s="18"/>
      <c r="K419" s="12"/>
      <c r="L419" s="12"/>
      <c r="M419" s="12"/>
      <c r="N419" s="12"/>
      <c r="Q419" s="22"/>
      <c r="S419" s="73"/>
      <c r="T419" s="13"/>
      <c r="V419" s="12"/>
      <c r="W419" s="12"/>
    </row>
    <row r="420" spans="4:23" x14ac:dyDescent="0.25">
      <c r="D420" s="12"/>
      <c r="E420" s="12"/>
      <c r="F420" s="12"/>
      <c r="G420" s="18"/>
      <c r="H420" s="12"/>
      <c r="I420" s="18"/>
      <c r="J420" s="18"/>
      <c r="K420" s="12"/>
      <c r="L420" s="12"/>
      <c r="M420" s="12"/>
      <c r="N420" s="12"/>
      <c r="Q420" s="22"/>
      <c r="S420" s="73"/>
      <c r="T420" s="13"/>
      <c r="V420" s="12"/>
      <c r="W420" s="12"/>
    </row>
    <row r="421" spans="4:23" x14ac:dyDescent="0.25">
      <c r="D421" s="12"/>
      <c r="E421" s="12"/>
      <c r="F421" s="12"/>
      <c r="G421" s="18"/>
      <c r="H421" s="12"/>
      <c r="I421" s="18"/>
      <c r="J421" s="18"/>
      <c r="K421" s="12"/>
      <c r="L421" s="12"/>
      <c r="M421" s="12"/>
      <c r="N421" s="12"/>
      <c r="Q421" s="22"/>
      <c r="S421" s="73"/>
      <c r="T421" s="13"/>
      <c r="V421" s="12"/>
      <c r="W421" s="12"/>
    </row>
    <row r="422" spans="4:23" x14ac:dyDescent="0.25">
      <c r="D422" s="12"/>
      <c r="E422" s="12"/>
      <c r="F422" s="12"/>
      <c r="G422" s="18"/>
      <c r="H422" s="12"/>
      <c r="I422" s="18"/>
      <c r="J422" s="18"/>
      <c r="K422" s="12"/>
      <c r="L422" s="12"/>
      <c r="M422" s="12"/>
      <c r="N422" s="12"/>
      <c r="Q422" s="22"/>
      <c r="S422" s="73"/>
      <c r="T422" s="13"/>
      <c r="V422" s="12"/>
      <c r="W422" s="12"/>
    </row>
    <row r="423" spans="4:23" x14ac:dyDescent="0.25">
      <c r="D423" s="12"/>
      <c r="E423" s="12"/>
      <c r="F423" s="12"/>
      <c r="G423" s="18"/>
      <c r="H423" s="12"/>
      <c r="I423" s="18"/>
      <c r="J423" s="18"/>
      <c r="K423" s="12"/>
      <c r="L423" s="12"/>
      <c r="M423" s="12"/>
      <c r="N423" s="12"/>
      <c r="Q423" s="22"/>
      <c r="S423" s="73"/>
      <c r="T423" s="13"/>
      <c r="V423" s="12"/>
      <c r="W423" s="12"/>
    </row>
    <row r="424" spans="4:23" x14ac:dyDescent="0.25">
      <c r="D424" s="12"/>
      <c r="E424" s="12"/>
      <c r="F424" s="12"/>
      <c r="G424" s="18"/>
      <c r="H424" s="12"/>
      <c r="I424" s="18"/>
      <c r="J424" s="18"/>
      <c r="K424" s="12"/>
      <c r="L424" s="12"/>
      <c r="M424" s="12"/>
      <c r="N424" s="12"/>
      <c r="Q424" s="22"/>
      <c r="S424" s="73"/>
      <c r="T424" s="13"/>
      <c r="V424" s="12"/>
      <c r="W424" s="12"/>
    </row>
    <row r="425" spans="4:23" x14ac:dyDescent="0.25">
      <c r="D425" s="12"/>
      <c r="E425" s="12"/>
      <c r="F425" s="12"/>
      <c r="G425" s="18"/>
      <c r="H425" s="12"/>
      <c r="I425" s="18"/>
      <c r="J425" s="18"/>
      <c r="K425" s="12"/>
      <c r="L425" s="12"/>
      <c r="M425" s="12"/>
      <c r="N425" s="12"/>
      <c r="Q425" s="22"/>
      <c r="S425" s="73"/>
      <c r="T425" s="13"/>
      <c r="V425" s="12"/>
      <c r="W425" s="12"/>
    </row>
    <row r="426" spans="4:23" x14ac:dyDescent="0.25">
      <c r="D426" s="12"/>
      <c r="E426" s="12"/>
      <c r="F426" s="12"/>
      <c r="G426" s="18"/>
      <c r="H426" s="12"/>
      <c r="I426" s="18"/>
      <c r="J426" s="18"/>
      <c r="K426" s="12"/>
      <c r="L426" s="12"/>
      <c r="M426" s="12"/>
      <c r="N426" s="12"/>
      <c r="Q426" s="22"/>
      <c r="S426" s="73"/>
      <c r="T426" s="13"/>
      <c r="V426" s="12"/>
      <c r="W426" s="12"/>
    </row>
    <row r="427" spans="4:23" x14ac:dyDescent="0.25">
      <c r="D427" s="12"/>
      <c r="E427" s="12"/>
      <c r="F427" s="12"/>
      <c r="G427" s="18"/>
      <c r="H427" s="12"/>
      <c r="I427" s="18"/>
      <c r="J427" s="18"/>
      <c r="K427" s="12"/>
      <c r="L427" s="12"/>
      <c r="M427" s="12"/>
      <c r="N427" s="12"/>
      <c r="Q427" s="22"/>
      <c r="S427" s="73"/>
      <c r="T427" s="13"/>
      <c r="V427" s="12"/>
      <c r="W427" s="12"/>
    </row>
    <row r="428" spans="4:23" x14ac:dyDescent="0.25">
      <c r="D428" s="12"/>
      <c r="E428" s="12"/>
      <c r="F428" s="12"/>
      <c r="G428" s="18"/>
      <c r="H428" s="12"/>
      <c r="I428" s="18"/>
      <c r="J428" s="18"/>
      <c r="K428" s="12"/>
      <c r="L428" s="12"/>
      <c r="M428" s="12"/>
      <c r="N428" s="12"/>
      <c r="Q428" s="22"/>
      <c r="S428" s="73"/>
      <c r="T428" s="13"/>
      <c r="V428" s="12"/>
      <c r="W428" s="12"/>
    </row>
    <row r="429" spans="4:23" x14ac:dyDescent="0.25">
      <c r="D429" s="12"/>
      <c r="E429" s="12"/>
      <c r="F429" s="12"/>
      <c r="G429" s="18"/>
      <c r="H429" s="12"/>
      <c r="I429" s="18"/>
      <c r="J429" s="18"/>
      <c r="K429" s="12"/>
      <c r="L429" s="12"/>
      <c r="M429" s="12"/>
      <c r="N429" s="12"/>
      <c r="Q429" s="22"/>
      <c r="S429" s="73"/>
      <c r="T429" s="13"/>
      <c r="V429" s="12"/>
      <c r="W429" s="12"/>
    </row>
    <row r="430" spans="4:23" x14ac:dyDescent="0.25">
      <c r="D430" s="12"/>
      <c r="E430" s="12"/>
      <c r="F430" s="12"/>
      <c r="G430" s="18"/>
      <c r="H430" s="12"/>
      <c r="I430" s="18"/>
      <c r="J430" s="18"/>
      <c r="K430" s="12"/>
      <c r="L430" s="12"/>
      <c r="M430" s="12"/>
      <c r="N430" s="12"/>
      <c r="Q430" s="22"/>
      <c r="S430" s="73"/>
      <c r="T430" s="13"/>
      <c r="V430" s="12"/>
      <c r="W430" s="12"/>
    </row>
    <row r="431" spans="4:23" x14ac:dyDescent="0.25">
      <c r="D431" s="12"/>
      <c r="E431" s="12"/>
      <c r="F431" s="12"/>
      <c r="G431" s="18"/>
      <c r="H431" s="12"/>
      <c r="I431" s="18"/>
      <c r="J431" s="18"/>
      <c r="K431" s="12"/>
      <c r="L431" s="12"/>
      <c r="M431" s="12"/>
      <c r="N431" s="12"/>
      <c r="Q431" s="22"/>
      <c r="S431" s="73"/>
      <c r="T431" s="13"/>
      <c r="V431" s="12"/>
      <c r="W431" s="12"/>
    </row>
    <row r="432" spans="4:23" x14ac:dyDescent="0.25">
      <c r="D432" s="12"/>
      <c r="E432" s="12"/>
      <c r="F432" s="12"/>
      <c r="G432" s="18"/>
      <c r="H432" s="12"/>
      <c r="I432" s="18"/>
      <c r="J432" s="18"/>
      <c r="K432" s="12"/>
      <c r="L432" s="12"/>
      <c r="M432" s="12"/>
      <c r="N432" s="12"/>
      <c r="Q432" s="22"/>
      <c r="S432" s="73"/>
      <c r="T432" s="13"/>
      <c r="V432" s="12"/>
      <c r="W432" s="12"/>
    </row>
    <row r="433" spans="4:23" x14ac:dyDescent="0.25">
      <c r="D433" s="12"/>
      <c r="E433" s="12"/>
      <c r="F433" s="12"/>
      <c r="G433" s="18"/>
      <c r="H433" s="12"/>
      <c r="I433" s="18"/>
      <c r="J433" s="18"/>
      <c r="K433" s="12"/>
      <c r="L433" s="12"/>
      <c r="M433" s="12"/>
      <c r="N433" s="12"/>
      <c r="Q433" s="22"/>
      <c r="S433" s="73"/>
      <c r="T433" s="13"/>
      <c r="V433" s="12"/>
      <c r="W433" s="12"/>
    </row>
    <row r="434" spans="4:23" x14ac:dyDescent="0.25">
      <c r="D434" s="12"/>
      <c r="E434" s="12"/>
      <c r="F434" s="12"/>
      <c r="G434" s="18"/>
      <c r="H434" s="12"/>
      <c r="I434" s="18"/>
      <c r="J434" s="18"/>
      <c r="K434" s="12"/>
      <c r="L434" s="12"/>
      <c r="M434" s="12"/>
      <c r="N434" s="12"/>
      <c r="Q434" s="22"/>
      <c r="S434" s="73"/>
      <c r="T434" s="13"/>
      <c r="V434" s="12"/>
      <c r="W434" s="12"/>
    </row>
    <row r="435" spans="4:23" x14ac:dyDescent="0.25">
      <c r="D435" s="12"/>
      <c r="E435" s="12"/>
      <c r="F435" s="12"/>
      <c r="G435" s="18"/>
      <c r="H435" s="12"/>
      <c r="I435" s="18"/>
      <c r="J435" s="18"/>
      <c r="K435" s="12"/>
      <c r="L435" s="12"/>
      <c r="M435" s="12"/>
      <c r="N435" s="12"/>
      <c r="Q435" s="22"/>
      <c r="S435" s="73"/>
      <c r="T435" s="13"/>
      <c r="V435" s="12"/>
      <c r="W435" s="12"/>
    </row>
    <row r="436" spans="4:23" x14ac:dyDescent="0.25">
      <c r="D436" s="12"/>
      <c r="E436" s="12"/>
      <c r="F436" s="12"/>
      <c r="G436" s="18"/>
      <c r="H436" s="12"/>
      <c r="I436" s="18"/>
      <c r="J436" s="18"/>
      <c r="K436" s="12"/>
      <c r="L436" s="12"/>
      <c r="M436" s="12"/>
      <c r="N436" s="12"/>
      <c r="Q436" s="22"/>
      <c r="S436" s="73"/>
      <c r="T436" s="13"/>
      <c r="V436" s="12"/>
      <c r="W436" s="12"/>
    </row>
    <row r="437" spans="4:23" x14ac:dyDescent="0.25">
      <c r="D437" s="12"/>
      <c r="E437" s="12"/>
      <c r="F437" s="12"/>
      <c r="G437" s="18"/>
      <c r="H437" s="12"/>
      <c r="I437" s="18"/>
      <c r="J437" s="18"/>
      <c r="K437" s="12"/>
      <c r="L437" s="12"/>
      <c r="M437" s="12"/>
      <c r="N437" s="12"/>
      <c r="Q437" s="22"/>
      <c r="S437" s="73"/>
      <c r="T437" s="13"/>
      <c r="V437" s="12"/>
      <c r="W437" s="12"/>
    </row>
    <row r="438" spans="4:23" x14ac:dyDescent="0.25">
      <c r="D438" s="12"/>
      <c r="E438" s="12"/>
      <c r="F438" s="12"/>
      <c r="G438" s="18"/>
      <c r="H438" s="12"/>
      <c r="I438" s="18"/>
      <c r="J438" s="18"/>
      <c r="K438" s="12"/>
      <c r="L438" s="12"/>
      <c r="M438" s="12"/>
      <c r="N438" s="12"/>
      <c r="Q438" s="22"/>
      <c r="S438" s="73"/>
      <c r="T438" s="13"/>
      <c r="V438" s="12"/>
      <c r="W438" s="12"/>
    </row>
    <row r="439" spans="4:23" x14ac:dyDescent="0.25">
      <c r="D439" s="12"/>
      <c r="E439" s="12"/>
      <c r="F439" s="12"/>
      <c r="G439" s="18"/>
      <c r="H439" s="12"/>
      <c r="I439" s="18"/>
      <c r="J439" s="18"/>
      <c r="K439" s="12"/>
      <c r="L439" s="12"/>
      <c r="M439" s="12"/>
      <c r="N439" s="12"/>
      <c r="Q439" s="22"/>
      <c r="S439" s="73"/>
      <c r="T439" s="13"/>
      <c r="V439" s="12"/>
      <c r="W439" s="12"/>
    </row>
    <row r="440" spans="4:23" x14ac:dyDescent="0.25">
      <c r="D440" s="12"/>
      <c r="E440" s="12"/>
      <c r="F440" s="12"/>
      <c r="G440" s="18"/>
      <c r="H440" s="12"/>
      <c r="I440" s="18"/>
      <c r="J440" s="18"/>
      <c r="K440" s="12"/>
      <c r="L440" s="12"/>
      <c r="M440" s="12"/>
      <c r="N440" s="12"/>
      <c r="Q440" s="22"/>
      <c r="S440" s="73"/>
      <c r="T440" s="13"/>
      <c r="V440" s="12"/>
      <c r="W440" s="12"/>
    </row>
    <row r="441" spans="4:23" x14ac:dyDescent="0.25">
      <c r="D441" s="12"/>
      <c r="E441" s="12"/>
      <c r="F441" s="12"/>
      <c r="G441" s="18"/>
      <c r="H441" s="12"/>
      <c r="I441" s="18"/>
      <c r="J441" s="18"/>
      <c r="K441" s="12"/>
      <c r="L441" s="12"/>
      <c r="M441" s="12"/>
      <c r="N441" s="12"/>
      <c r="Q441" s="22"/>
      <c r="S441" s="73"/>
      <c r="T441" s="13"/>
      <c r="V441" s="12"/>
      <c r="W441" s="12"/>
    </row>
    <row r="442" spans="4:23" x14ac:dyDescent="0.25">
      <c r="D442" s="12"/>
      <c r="E442" s="12"/>
      <c r="F442" s="12"/>
      <c r="G442" s="18"/>
      <c r="H442" s="12"/>
      <c r="I442" s="18"/>
      <c r="J442" s="18"/>
      <c r="K442" s="12"/>
      <c r="L442" s="12"/>
      <c r="M442" s="12"/>
      <c r="N442" s="12"/>
      <c r="Q442" s="22"/>
      <c r="S442" s="73"/>
      <c r="T442" s="13"/>
      <c r="V442" s="12"/>
      <c r="W442" s="12"/>
    </row>
    <row r="443" spans="4:23" x14ac:dyDescent="0.25">
      <c r="D443" s="12"/>
      <c r="E443" s="12"/>
      <c r="F443" s="12"/>
      <c r="G443" s="18"/>
      <c r="H443" s="12"/>
      <c r="I443" s="18"/>
      <c r="J443" s="18"/>
      <c r="K443" s="12"/>
      <c r="L443" s="12"/>
      <c r="M443" s="12"/>
      <c r="N443" s="12"/>
      <c r="Q443" s="22"/>
      <c r="S443" s="73"/>
      <c r="T443" s="13"/>
      <c r="V443" s="12"/>
      <c r="W443" s="12"/>
    </row>
    <row r="444" spans="4:23" x14ac:dyDescent="0.25">
      <c r="D444" s="12"/>
      <c r="E444" s="12"/>
      <c r="F444" s="12"/>
      <c r="G444" s="18"/>
      <c r="H444" s="12"/>
      <c r="I444" s="18"/>
      <c r="J444" s="18"/>
      <c r="K444" s="12"/>
      <c r="L444" s="12"/>
      <c r="M444" s="12"/>
      <c r="N444" s="12"/>
      <c r="Q444" s="22"/>
      <c r="S444" s="73"/>
      <c r="T444" s="13"/>
      <c r="V444" s="12"/>
      <c r="W444" s="12"/>
    </row>
    <row r="445" spans="4:23" x14ac:dyDescent="0.25">
      <c r="D445" s="12"/>
      <c r="E445" s="12"/>
      <c r="F445" s="12"/>
      <c r="G445" s="18"/>
      <c r="H445" s="12"/>
      <c r="I445" s="18"/>
      <c r="J445" s="18"/>
      <c r="K445" s="12"/>
      <c r="L445" s="12"/>
      <c r="M445" s="12"/>
      <c r="N445" s="12"/>
      <c r="Q445" s="22"/>
      <c r="S445" s="73"/>
      <c r="T445" s="13"/>
      <c r="V445" s="12"/>
      <c r="W445" s="12"/>
    </row>
    <row r="446" spans="4:23" x14ac:dyDescent="0.25">
      <c r="D446" s="12"/>
      <c r="E446" s="12"/>
      <c r="F446" s="12"/>
      <c r="G446" s="18"/>
      <c r="H446" s="12"/>
      <c r="I446" s="18"/>
      <c r="J446" s="18"/>
      <c r="K446" s="12"/>
      <c r="L446" s="12"/>
      <c r="M446" s="12"/>
      <c r="N446" s="12"/>
      <c r="Q446" s="22"/>
      <c r="S446" s="73"/>
      <c r="T446" s="13"/>
      <c r="V446" s="12"/>
      <c r="W446" s="12"/>
    </row>
    <row r="447" spans="4:23" x14ac:dyDescent="0.25">
      <c r="D447" s="12"/>
      <c r="E447" s="12"/>
      <c r="F447" s="12"/>
      <c r="G447" s="18"/>
      <c r="H447" s="12"/>
      <c r="I447" s="18"/>
      <c r="J447" s="18"/>
      <c r="K447" s="12"/>
      <c r="L447" s="12"/>
      <c r="M447" s="12"/>
      <c r="N447" s="12"/>
      <c r="Q447" s="22"/>
      <c r="S447" s="73"/>
      <c r="T447" s="13"/>
      <c r="V447" s="12"/>
      <c r="W447" s="12"/>
    </row>
    <row r="448" spans="4:23" x14ac:dyDescent="0.25">
      <c r="D448" s="12"/>
      <c r="E448" s="12"/>
      <c r="F448" s="12"/>
      <c r="G448" s="18"/>
      <c r="H448" s="12"/>
      <c r="I448" s="18"/>
      <c r="J448" s="18"/>
      <c r="K448" s="12"/>
      <c r="L448" s="12"/>
      <c r="M448" s="12"/>
      <c r="N448" s="12"/>
      <c r="Q448" s="22"/>
      <c r="S448" s="73"/>
      <c r="T448" s="13"/>
      <c r="V448" s="12"/>
      <c r="W448" s="12"/>
    </row>
    <row r="449" spans="4:23" x14ac:dyDescent="0.25">
      <c r="D449" s="12"/>
      <c r="E449" s="12"/>
      <c r="F449" s="12"/>
      <c r="G449" s="18"/>
      <c r="H449" s="12"/>
      <c r="I449" s="18"/>
      <c r="J449" s="18"/>
      <c r="K449" s="12"/>
      <c r="L449" s="12"/>
      <c r="M449" s="12"/>
      <c r="N449" s="12"/>
      <c r="Q449" s="22"/>
      <c r="S449" s="73"/>
      <c r="T449" s="13"/>
      <c r="V449" s="12"/>
      <c r="W449" s="12"/>
    </row>
    <row r="450" spans="4:23" x14ac:dyDescent="0.25">
      <c r="D450" s="12"/>
      <c r="E450" s="12"/>
      <c r="F450" s="12"/>
      <c r="G450" s="18"/>
      <c r="H450" s="12"/>
      <c r="I450" s="18"/>
      <c r="J450" s="18"/>
      <c r="K450" s="12"/>
      <c r="L450" s="12"/>
      <c r="M450" s="12"/>
      <c r="N450" s="12"/>
      <c r="Q450" s="22"/>
      <c r="S450" s="73"/>
      <c r="T450" s="13"/>
      <c r="V450" s="12"/>
      <c r="W450" s="12"/>
    </row>
    <row r="451" spans="4:23" x14ac:dyDescent="0.25">
      <c r="D451" s="12"/>
      <c r="E451" s="12"/>
      <c r="F451" s="12"/>
      <c r="G451" s="18"/>
      <c r="H451" s="12"/>
      <c r="I451" s="18"/>
      <c r="J451" s="18"/>
      <c r="K451" s="12"/>
      <c r="L451" s="12"/>
      <c r="M451" s="12"/>
      <c r="N451" s="12"/>
      <c r="Q451" s="22"/>
      <c r="S451" s="73"/>
      <c r="T451" s="13"/>
      <c r="V451" s="12"/>
      <c r="W451" s="12"/>
    </row>
    <row r="452" spans="4:23" x14ac:dyDescent="0.25">
      <c r="D452" s="12"/>
      <c r="E452" s="12"/>
      <c r="F452" s="12"/>
      <c r="G452" s="18"/>
      <c r="H452" s="12"/>
      <c r="I452" s="18"/>
      <c r="J452" s="18"/>
      <c r="K452" s="12"/>
      <c r="L452" s="12"/>
      <c r="M452" s="12"/>
      <c r="N452" s="12"/>
      <c r="Q452" s="22"/>
      <c r="S452" s="73"/>
      <c r="T452" s="13"/>
      <c r="V452" s="12"/>
      <c r="W452" s="12"/>
    </row>
    <row r="453" spans="4:23" x14ac:dyDescent="0.25">
      <c r="D453" s="12"/>
      <c r="E453" s="12"/>
      <c r="F453" s="12"/>
      <c r="G453" s="18"/>
      <c r="H453" s="12"/>
      <c r="I453" s="18"/>
      <c r="J453" s="18"/>
      <c r="K453" s="12"/>
      <c r="L453" s="12"/>
      <c r="M453" s="12"/>
      <c r="N453" s="12"/>
      <c r="Q453" s="22"/>
      <c r="S453" s="73"/>
      <c r="T453" s="13"/>
      <c r="V453" s="12"/>
      <c r="W453" s="12"/>
    </row>
    <row r="454" spans="4:23" x14ac:dyDescent="0.25">
      <c r="D454" s="12"/>
      <c r="E454" s="12"/>
      <c r="F454" s="12"/>
      <c r="G454" s="18"/>
      <c r="H454" s="12"/>
      <c r="I454" s="18"/>
      <c r="J454" s="18"/>
      <c r="K454" s="12"/>
      <c r="L454" s="12"/>
      <c r="M454" s="12"/>
      <c r="N454" s="12"/>
      <c r="Q454" s="22"/>
      <c r="S454" s="73"/>
      <c r="T454" s="13"/>
      <c r="V454" s="12"/>
      <c r="W454" s="12"/>
    </row>
    <row r="455" spans="4:23" x14ac:dyDescent="0.25">
      <c r="D455" s="12"/>
      <c r="E455" s="12"/>
      <c r="F455" s="12"/>
      <c r="G455" s="18"/>
      <c r="H455" s="12"/>
      <c r="I455" s="18"/>
      <c r="J455" s="18"/>
      <c r="K455" s="12"/>
      <c r="L455" s="12"/>
      <c r="M455" s="12"/>
      <c r="N455" s="12"/>
      <c r="Q455" s="22"/>
      <c r="S455" s="73"/>
      <c r="T455" s="13"/>
      <c r="V455" s="12"/>
      <c r="W455" s="12"/>
    </row>
    <row r="456" spans="4:23" x14ac:dyDescent="0.25">
      <c r="D456" s="12"/>
      <c r="E456" s="12"/>
      <c r="F456" s="12"/>
      <c r="G456" s="18"/>
      <c r="H456" s="12"/>
      <c r="I456" s="18"/>
      <c r="J456" s="18"/>
      <c r="K456" s="12"/>
      <c r="L456" s="12"/>
      <c r="M456" s="12"/>
      <c r="N456" s="12"/>
      <c r="Q456" s="22"/>
      <c r="S456" s="73"/>
      <c r="T456" s="13"/>
      <c r="V456" s="12"/>
      <c r="W456" s="12"/>
    </row>
    <row r="457" spans="4:23" x14ac:dyDescent="0.25">
      <c r="D457" s="12"/>
      <c r="E457" s="12"/>
      <c r="F457" s="12"/>
      <c r="G457" s="18"/>
      <c r="H457" s="12"/>
      <c r="I457" s="18"/>
      <c r="J457" s="18"/>
      <c r="K457" s="12"/>
      <c r="L457" s="12"/>
      <c r="M457" s="12"/>
      <c r="N457" s="12"/>
      <c r="Q457" s="22"/>
      <c r="S457" s="73"/>
      <c r="T457" s="13"/>
      <c r="V457" s="12"/>
      <c r="W457" s="12"/>
    </row>
    <row r="458" spans="4:23" x14ac:dyDescent="0.25">
      <c r="D458" s="12"/>
      <c r="E458" s="12"/>
      <c r="F458" s="12"/>
      <c r="G458" s="18"/>
      <c r="H458" s="12"/>
      <c r="I458" s="18"/>
      <c r="J458" s="18"/>
      <c r="K458" s="12"/>
      <c r="L458" s="12"/>
      <c r="M458" s="12"/>
      <c r="N458" s="12"/>
      <c r="Q458" s="22"/>
      <c r="S458" s="73"/>
      <c r="T458" s="13"/>
      <c r="V458" s="12"/>
      <c r="W458" s="12"/>
    </row>
    <row r="459" spans="4:23" x14ac:dyDescent="0.25">
      <c r="D459" s="12"/>
      <c r="E459" s="12"/>
      <c r="F459" s="12"/>
      <c r="G459" s="18"/>
      <c r="H459" s="12"/>
      <c r="I459" s="18"/>
      <c r="J459" s="18"/>
      <c r="K459" s="12"/>
      <c r="L459" s="12"/>
      <c r="M459" s="12"/>
      <c r="N459" s="12"/>
      <c r="Q459" s="22"/>
      <c r="S459" s="73"/>
      <c r="T459" s="13"/>
      <c r="V459" s="12"/>
      <c r="W459" s="12"/>
    </row>
    <row r="460" spans="4:23" x14ac:dyDescent="0.25">
      <c r="D460" s="12"/>
      <c r="E460" s="12"/>
      <c r="F460" s="12"/>
      <c r="G460" s="18"/>
      <c r="H460" s="12"/>
      <c r="I460" s="18"/>
      <c r="J460" s="18"/>
      <c r="K460" s="12"/>
      <c r="L460" s="12"/>
      <c r="M460" s="12"/>
      <c r="N460" s="12"/>
      <c r="Q460" s="22"/>
      <c r="S460" s="73"/>
      <c r="T460" s="13"/>
      <c r="V460" s="12"/>
      <c r="W460" s="12"/>
    </row>
    <row r="461" spans="4:23" x14ac:dyDescent="0.25">
      <c r="D461" s="12"/>
      <c r="E461" s="12"/>
      <c r="F461" s="12"/>
      <c r="G461" s="18"/>
      <c r="H461" s="12"/>
      <c r="I461" s="18"/>
      <c r="J461" s="18"/>
      <c r="K461" s="12"/>
      <c r="L461" s="12"/>
      <c r="M461" s="12"/>
      <c r="N461" s="12"/>
      <c r="Q461" s="22"/>
      <c r="S461" s="73"/>
      <c r="T461" s="13"/>
      <c r="V461" s="12"/>
      <c r="W461" s="12"/>
    </row>
    <row r="462" spans="4:23" x14ac:dyDescent="0.25">
      <c r="D462" s="12"/>
      <c r="E462" s="12"/>
      <c r="F462" s="12"/>
      <c r="G462" s="18"/>
      <c r="H462" s="12"/>
      <c r="I462" s="18"/>
      <c r="J462" s="18"/>
      <c r="K462" s="12"/>
      <c r="L462" s="12"/>
      <c r="M462" s="12"/>
      <c r="N462" s="12"/>
      <c r="Q462" s="22"/>
      <c r="S462" s="73"/>
      <c r="T462" s="13"/>
      <c r="V462" s="12"/>
      <c r="W462" s="12"/>
    </row>
    <row r="463" spans="4:23" x14ac:dyDescent="0.25">
      <c r="D463" s="12"/>
      <c r="E463" s="12"/>
      <c r="F463" s="12"/>
      <c r="G463" s="18"/>
      <c r="H463" s="12"/>
      <c r="I463" s="18"/>
      <c r="J463" s="18"/>
      <c r="K463" s="12"/>
      <c r="L463" s="12"/>
      <c r="M463" s="12"/>
      <c r="N463" s="12"/>
      <c r="Q463" s="22"/>
      <c r="S463" s="73"/>
      <c r="T463" s="13"/>
      <c r="V463" s="12"/>
      <c r="W463" s="12"/>
    </row>
    <row r="464" spans="4:23" x14ac:dyDescent="0.25">
      <c r="D464" s="12"/>
      <c r="E464" s="12"/>
      <c r="F464" s="12"/>
      <c r="G464" s="18"/>
      <c r="H464" s="12"/>
      <c r="I464" s="18"/>
      <c r="J464" s="18"/>
      <c r="K464" s="12"/>
      <c r="L464" s="12"/>
      <c r="M464" s="12"/>
      <c r="N464" s="12"/>
      <c r="Q464" s="22"/>
      <c r="S464" s="73"/>
      <c r="T464" s="13"/>
      <c r="V464" s="12"/>
      <c r="W464" s="12"/>
    </row>
    <row r="465" spans="4:23" x14ac:dyDescent="0.25">
      <c r="D465" s="12"/>
      <c r="E465" s="12"/>
      <c r="F465" s="12"/>
      <c r="G465" s="18"/>
      <c r="H465" s="12"/>
      <c r="I465" s="18"/>
      <c r="J465" s="18"/>
      <c r="K465" s="12"/>
      <c r="L465" s="12"/>
      <c r="M465" s="12"/>
      <c r="N465" s="12"/>
      <c r="Q465" s="22"/>
      <c r="S465" s="73"/>
      <c r="T465" s="13"/>
      <c r="V465" s="12"/>
      <c r="W465" s="12"/>
    </row>
    <row r="466" spans="4:23" x14ac:dyDescent="0.25">
      <c r="D466" s="12"/>
      <c r="E466" s="12"/>
      <c r="F466" s="12"/>
      <c r="G466" s="18"/>
      <c r="H466" s="12"/>
      <c r="I466" s="18"/>
      <c r="J466" s="18"/>
      <c r="K466" s="12"/>
      <c r="L466" s="12"/>
      <c r="M466" s="12"/>
      <c r="N466" s="12"/>
      <c r="Q466" s="22"/>
      <c r="S466" s="73"/>
      <c r="T466" s="13"/>
      <c r="V466" s="12"/>
      <c r="W466" s="12"/>
    </row>
    <row r="467" spans="4:23" x14ac:dyDescent="0.25">
      <c r="D467" s="12"/>
      <c r="E467" s="12"/>
      <c r="F467" s="12"/>
      <c r="G467" s="18"/>
      <c r="H467" s="12"/>
      <c r="I467" s="18"/>
      <c r="J467" s="18"/>
      <c r="K467" s="12"/>
      <c r="L467" s="12"/>
      <c r="M467" s="12"/>
      <c r="N467" s="12"/>
      <c r="Q467" s="22"/>
      <c r="S467" s="73"/>
      <c r="T467" s="13"/>
      <c r="V467" s="12"/>
      <c r="W467" s="12"/>
    </row>
    <row r="468" spans="4:23" x14ac:dyDescent="0.25">
      <c r="D468" s="12"/>
      <c r="E468" s="12"/>
      <c r="F468" s="12"/>
      <c r="G468" s="18"/>
      <c r="H468" s="12"/>
      <c r="I468" s="18"/>
      <c r="J468" s="18"/>
      <c r="K468" s="12"/>
      <c r="L468" s="12"/>
      <c r="M468" s="12"/>
      <c r="N468" s="12"/>
      <c r="Q468" s="22"/>
      <c r="S468" s="73"/>
      <c r="T468" s="13"/>
      <c r="V468" s="12"/>
      <c r="W468" s="12"/>
    </row>
    <row r="469" spans="4:23" x14ac:dyDescent="0.25">
      <c r="D469" s="12"/>
      <c r="E469" s="12"/>
      <c r="F469" s="12"/>
      <c r="G469" s="18"/>
      <c r="H469" s="12"/>
      <c r="I469" s="18"/>
      <c r="J469" s="18"/>
      <c r="K469" s="12"/>
      <c r="L469" s="12"/>
      <c r="M469" s="12"/>
      <c r="N469" s="12"/>
      <c r="Q469" s="22"/>
      <c r="S469" s="73"/>
      <c r="T469" s="13"/>
      <c r="V469" s="12"/>
      <c r="W469" s="12"/>
    </row>
    <row r="470" spans="4:23" x14ac:dyDescent="0.25">
      <c r="D470" s="12"/>
      <c r="E470" s="12"/>
      <c r="F470" s="12"/>
      <c r="G470" s="18"/>
      <c r="H470" s="12"/>
      <c r="I470" s="18"/>
      <c r="J470" s="18"/>
      <c r="K470" s="12"/>
      <c r="L470" s="12"/>
      <c r="M470" s="12"/>
      <c r="N470" s="12"/>
      <c r="Q470" s="22"/>
      <c r="S470" s="73"/>
      <c r="T470" s="13"/>
      <c r="V470" s="12"/>
      <c r="W470" s="12"/>
    </row>
    <row r="471" spans="4:23" x14ac:dyDescent="0.25">
      <c r="D471" s="12"/>
      <c r="E471" s="12"/>
      <c r="F471" s="12"/>
      <c r="G471" s="18"/>
      <c r="H471" s="12"/>
      <c r="I471" s="18"/>
      <c r="J471" s="18"/>
      <c r="K471" s="12"/>
      <c r="L471" s="12"/>
      <c r="M471" s="12"/>
      <c r="N471" s="12"/>
      <c r="Q471" s="22"/>
      <c r="S471" s="73"/>
      <c r="T471" s="13"/>
      <c r="V471" s="12"/>
      <c r="W471" s="12"/>
    </row>
    <row r="472" spans="4:23" x14ac:dyDescent="0.25">
      <c r="D472" s="12"/>
      <c r="E472" s="12"/>
      <c r="F472" s="12"/>
      <c r="G472" s="18"/>
      <c r="H472" s="12"/>
      <c r="I472" s="18"/>
      <c r="J472" s="18"/>
      <c r="K472" s="12"/>
      <c r="L472" s="12"/>
      <c r="M472" s="12"/>
      <c r="N472" s="12"/>
      <c r="Q472" s="22"/>
      <c r="S472" s="73"/>
      <c r="T472" s="13"/>
      <c r="V472" s="12"/>
      <c r="W472" s="12"/>
    </row>
    <row r="473" spans="4:23" x14ac:dyDescent="0.25">
      <c r="D473" s="12"/>
      <c r="E473" s="12"/>
      <c r="F473" s="12"/>
      <c r="G473" s="18"/>
      <c r="H473" s="12"/>
      <c r="I473" s="18"/>
      <c r="J473" s="18"/>
      <c r="K473" s="12"/>
      <c r="L473" s="12"/>
      <c r="M473" s="12"/>
      <c r="N473" s="12"/>
      <c r="Q473" s="22"/>
      <c r="S473" s="73"/>
      <c r="T473" s="13"/>
      <c r="V473" s="12"/>
      <c r="W473" s="12"/>
    </row>
    <row r="474" spans="4:23" x14ac:dyDescent="0.25">
      <c r="D474" s="12"/>
      <c r="E474" s="12"/>
      <c r="F474" s="12"/>
      <c r="G474" s="18"/>
      <c r="H474" s="12"/>
      <c r="I474" s="18"/>
      <c r="J474" s="18"/>
      <c r="K474" s="12"/>
      <c r="L474" s="12"/>
      <c r="M474" s="12"/>
      <c r="N474" s="12"/>
      <c r="Q474" s="22"/>
      <c r="S474" s="73"/>
      <c r="T474" s="13"/>
      <c r="V474" s="12"/>
      <c r="W474" s="12"/>
    </row>
  </sheetData>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BCAF5-6E0B-4BD2-88FE-39B1C1DBEFF0}">
  <sheetPr codeName="Sheet4"/>
  <dimension ref="A1:QP500"/>
  <sheetViews>
    <sheetView zoomScale="70" zoomScaleNormal="70" workbookViewId="0">
      <selection activeCell="A7" sqref="A7:I500"/>
    </sheetView>
  </sheetViews>
  <sheetFormatPr baseColWidth="10" defaultColWidth="9.140625" defaultRowHeight="12.75" x14ac:dyDescent="0.2"/>
  <cols>
    <col min="1" max="2" width="9.140625" style="1"/>
    <col min="3" max="3" width="15.140625" style="1" customWidth="1"/>
    <col min="4" max="4" width="11" style="1" customWidth="1"/>
    <col min="5" max="5" width="16.5703125" style="1" customWidth="1"/>
    <col min="6" max="6" width="13.7109375" style="1" customWidth="1"/>
    <col min="7" max="7" width="12.85546875" style="1" customWidth="1"/>
    <col min="8" max="8" width="13.5703125" style="1" customWidth="1"/>
    <col min="9" max="9" width="13.28515625" style="1" customWidth="1"/>
    <col min="10" max="10" width="22.7109375" style="1" customWidth="1"/>
    <col min="11" max="11" width="9.140625" style="1"/>
    <col min="12" max="12" width="12.7109375" style="1" customWidth="1"/>
    <col min="13" max="16384" width="9.140625" style="1"/>
  </cols>
  <sheetData>
    <row r="1" spans="1:458" ht="15.75" x14ac:dyDescent="0.25">
      <c r="D1" s="76"/>
      <c r="L1" s="14"/>
      <c r="M1" s="49"/>
      <c r="N1" s="12"/>
      <c r="O1" s="12"/>
      <c r="P1" s="12"/>
      <c r="Q1" s="18"/>
      <c r="R1" s="12"/>
      <c r="S1" s="12"/>
      <c r="T1" s="12"/>
      <c r="U1" s="12"/>
      <c r="V1" s="44"/>
      <c r="W1" s="12"/>
      <c r="X1" s="12"/>
      <c r="AA1" s="22"/>
      <c r="AB1" s="12"/>
      <c r="AC1" s="12"/>
      <c r="AD1" s="13"/>
    </row>
    <row r="2" spans="1:458" x14ac:dyDescent="0.2">
      <c r="D2" s="76"/>
      <c r="I2" s="372"/>
    </row>
    <row r="3" spans="1:458" x14ac:dyDescent="0.2">
      <c r="D3" s="76"/>
    </row>
    <row r="4" spans="1:458" x14ac:dyDescent="0.2">
      <c r="D4" s="76"/>
      <c r="I4" s="372"/>
      <c r="L4" s="76"/>
    </row>
    <row r="5" spans="1:458" x14ac:dyDescent="0.2">
      <c r="D5" s="76"/>
      <c r="L5" s="76"/>
    </row>
    <row r="6" spans="1:458" x14ac:dyDescent="0.2">
      <c r="D6" s="76"/>
      <c r="I6" s="372"/>
      <c r="L6" s="76"/>
    </row>
    <row r="7" spans="1:458" ht="26.25" x14ac:dyDescent="0.4">
      <c r="A7" s="332"/>
      <c r="B7" s="333"/>
      <c r="C7" s="334"/>
      <c r="D7" s="335"/>
      <c r="E7" s="336"/>
      <c r="F7" s="337"/>
      <c r="G7" s="338"/>
      <c r="H7" s="339" t="s">
        <v>73</v>
      </c>
      <c r="I7" s="340" t="s">
        <v>73</v>
      </c>
      <c r="J7" s="340" t="s">
        <v>73</v>
      </c>
      <c r="L7" s="76"/>
      <c r="AM7" s="76"/>
      <c r="AN7" s="76"/>
      <c r="AO7" s="76"/>
      <c r="AP7" s="76"/>
      <c r="AQ7" s="76"/>
      <c r="AR7" s="76"/>
      <c r="AS7" s="76"/>
      <c r="AT7" s="76"/>
      <c r="AU7" s="76"/>
      <c r="AV7" s="76"/>
      <c r="AW7" s="76"/>
      <c r="AX7" s="76"/>
      <c r="AY7" s="76"/>
      <c r="AZ7" s="76"/>
      <c r="BA7" s="76"/>
      <c r="BB7" s="76"/>
      <c r="BC7" s="76"/>
      <c r="BD7" s="76"/>
      <c r="BE7" s="76"/>
      <c r="BF7" s="76"/>
      <c r="BG7" s="76"/>
      <c r="BH7" s="76"/>
      <c r="BI7" s="76"/>
      <c r="BJ7" s="76"/>
      <c r="BK7" s="76"/>
      <c r="BL7" s="76"/>
      <c r="BM7" s="76"/>
      <c r="BN7" s="76"/>
      <c r="BO7" s="76"/>
      <c r="BP7" s="76"/>
      <c r="BQ7" s="76"/>
      <c r="BR7" s="76"/>
      <c r="BS7" s="76"/>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c r="CT7" s="76"/>
      <c r="CU7" s="76"/>
      <c r="CV7" s="76"/>
      <c r="CW7" s="76"/>
      <c r="CX7" s="76"/>
      <c r="CY7" s="76"/>
      <c r="CZ7" s="76"/>
      <c r="DA7" s="76"/>
      <c r="DB7" s="76"/>
      <c r="DC7" s="76"/>
      <c r="DD7" s="76"/>
      <c r="DE7" s="76"/>
      <c r="DF7" s="76"/>
      <c r="DG7" s="76"/>
      <c r="DH7" s="76"/>
      <c r="DI7" s="76"/>
      <c r="PJ7" s="1" t="e">
        <v>#N/A</v>
      </c>
      <c r="PK7" s="1" t="e">
        <v>#N/A</v>
      </c>
      <c r="PL7" s="1" t="e">
        <v>#N/A</v>
      </c>
      <c r="PM7" s="1" t="e">
        <v>#N/A</v>
      </c>
      <c r="PN7" s="1" t="e">
        <v>#N/A</v>
      </c>
      <c r="PO7" s="1" t="e">
        <v>#N/A</v>
      </c>
      <c r="PP7" s="1" t="e">
        <v>#N/A</v>
      </c>
      <c r="PQ7" s="1" t="e">
        <v>#N/A</v>
      </c>
      <c r="PR7" s="1" t="e">
        <v>#N/A</v>
      </c>
      <c r="PS7" s="1" t="e">
        <v>#N/A</v>
      </c>
      <c r="PT7" s="1" t="e">
        <v>#N/A</v>
      </c>
      <c r="PU7" s="1" t="e">
        <v>#N/A</v>
      </c>
      <c r="PV7" s="1" t="e">
        <v>#N/A</v>
      </c>
      <c r="PW7" s="1" t="e">
        <v>#N/A</v>
      </c>
      <c r="PX7" s="1" t="e">
        <v>#N/A</v>
      </c>
      <c r="PY7" s="1" t="e">
        <v>#N/A</v>
      </c>
      <c r="PZ7" s="1" t="e">
        <v>#N/A</v>
      </c>
      <c r="QA7" s="1" t="e">
        <v>#N/A</v>
      </c>
      <c r="QB7" s="1" t="e">
        <v>#N/A</v>
      </c>
      <c r="QC7" s="1" t="e">
        <v>#N/A</v>
      </c>
      <c r="QD7" s="1" t="e">
        <v>#N/A</v>
      </c>
      <c r="QE7" s="1" t="e">
        <v>#N/A</v>
      </c>
      <c r="QF7" s="1" t="e">
        <v>#N/A</v>
      </c>
      <c r="QG7" s="1" t="e">
        <v>#N/A</v>
      </c>
      <c r="QH7" s="1" t="e">
        <v>#N/A</v>
      </c>
      <c r="QI7" s="1" t="e">
        <v>#N/A</v>
      </c>
      <c r="QJ7" s="1" t="e">
        <v>#N/A</v>
      </c>
      <c r="QK7" s="1" t="e">
        <v>#N/A</v>
      </c>
      <c r="QL7" s="1" t="e">
        <v>#N/A</v>
      </c>
      <c r="QM7" s="1" t="e">
        <v>#N/A</v>
      </c>
      <c r="QN7" s="1" t="e">
        <v>#N/A</v>
      </c>
      <c r="QO7" s="1" t="e">
        <v>#N/A</v>
      </c>
      <c r="QP7" s="1" t="e">
        <v>#N/A</v>
      </c>
    </row>
    <row r="8" spans="1:458" ht="26.25" x14ac:dyDescent="0.4">
      <c r="A8" s="332"/>
      <c r="B8" s="341"/>
      <c r="C8" s="342"/>
      <c r="D8" s="343"/>
      <c r="E8" s="336"/>
      <c r="F8" s="344"/>
      <c r="G8" s="338"/>
      <c r="H8" s="339" t="s">
        <v>73</v>
      </c>
      <c r="I8" s="345" t="s">
        <v>73</v>
      </c>
      <c r="J8" s="345" t="s">
        <v>73</v>
      </c>
      <c r="L8" s="76"/>
      <c r="PJ8" s="1" t="e">
        <v>#N/A</v>
      </c>
      <c r="PK8" s="1" t="e">
        <v>#N/A</v>
      </c>
      <c r="PL8" s="1" t="e">
        <v>#N/A</v>
      </c>
      <c r="PM8" s="1" t="e">
        <v>#N/A</v>
      </c>
      <c r="PN8" s="1" t="e">
        <v>#N/A</v>
      </c>
      <c r="PO8" s="1" t="e">
        <v>#N/A</v>
      </c>
      <c r="PP8" s="1" t="e">
        <v>#N/A</v>
      </c>
      <c r="PQ8" s="1" t="e">
        <v>#N/A</v>
      </c>
      <c r="PR8" s="1" t="e">
        <v>#N/A</v>
      </c>
      <c r="PS8" s="1" t="e">
        <v>#N/A</v>
      </c>
      <c r="PT8" s="1" t="e">
        <v>#N/A</v>
      </c>
      <c r="PU8" s="1" t="e">
        <v>#N/A</v>
      </c>
      <c r="PV8" s="1" t="e">
        <v>#N/A</v>
      </c>
      <c r="PW8" s="1" t="e">
        <v>#N/A</v>
      </c>
      <c r="PX8" s="1" t="e">
        <v>#N/A</v>
      </c>
      <c r="PY8" s="1" t="e">
        <v>#N/A</v>
      </c>
      <c r="PZ8" s="1" t="e">
        <v>#N/A</v>
      </c>
      <c r="QA8" s="1" t="e">
        <v>#N/A</v>
      </c>
      <c r="QB8" s="1" t="e">
        <v>#N/A</v>
      </c>
      <c r="QC8" s="1" t="e">
        <v>#N/A</v>
      </c>
      <c r="QD8" s="1" t="e">
        <v>#N/A</v>
      </c>
      <c r="QE8" s="1" t="e">
        <v>#N/A</v>
      </c>
      <c r="QF8" s="1" t="e">
        <v>#N/A</v>
      </c>
      <c r="QG8" s="1" t="e">
        <v>#N/A</v>
      </c>
      <c r="QH8" s="1" t="e">
        <v>#N/A</v>
      </c>
      <c r="QI8" s="1" t="e">
        <v>#N/A</v>
      </c>
      <c r="QJ8" s="1" t="e">
        <v>#N/A</v>
      </c>
      <c r="QK8" s="1" t="e">
        <v>#N/A</v>
      </c>
      <c r="QL8" s="1" t="e">
        <v>#N/A</v>
      </c>
      <c r="QM8" s="1" t="e">
        <v>#N/A</v>
      </c>
      <c r="QN8" s="1" t="e">
        <v>#N/A</v>
      </c>
      <c r="QO8" s="1" t="e">
        <v>#N/A</v>
      </c>
      <c r="QP8" s="1" t="e">
        <v>#N/A</v>
      </c>
    </row>
    <row r="9" spans="1:458" ht="25.5" x14ac:dyDescent="0.35">
      <c r="A9" s="346"/>
      <c r="B9" s="341"/>
      <c r="C9" s="143"/>
      <c r="D9" s="343"/>
      <c r="E9" s="336"/>
      <c r="F9" s="344"/>
      <c r="G9" s="338"/>
      <c r="H9" s="339"/>
      <c r="I9" s="345"/>
      <c r="J9" s="345" t="s">
        <v>73</v>
      </c>
      <c r="L9" s="76"/>
      <c r="PJ9" s="1" t="e">
        <v>#N/A</v>
      </c>
      <c r="PK9" s="1" t="e">
        <v>#N/A</v>
      </c>
      <c r="PL9" s="1" t="e">
        <v>#N/A</v>
      </c>
      <c r="PM9" s="1" t="e">
        <v>#N/A</v>
      </c>
      <c r="PN9" s="1" t="e">
        <v>#N/A</v>
      </c>
      <c r="PO9" s="1" t="e">
        <v>#N/A</v>
      </c>
      <c r="PP9" s="1" t="e">
        <v>#N/A</v>
      </c>
      <c r="PQ9" s="1" t="e">
        <v>#N/A</v>
      </c>
      <c r="PR9" s="1" t="e">
        <v>#N/A</v>
      </c>
      <c r="PS9" s="1" t="e">
        <v>#N/A</v>
      </c>
      <c r="PT9" s="1" t="e">
        <v>#N/A</v>
      </c>
      <c r="PU9" s="1" t="e">
        <v>#N/A</v>
      </c>
      <c r="PV9" s="1" t="e">
        <v>#N/A</v>
      </c>
      <c r="PW9" s="1" t="e">
        <v>#N/A</v>
      </c>
      <c r="PX9" s="1" t="e">
        <v>#N/A</v>
      </c>
      <c r="PY9" s="1" t="e">
        <v>#N/A</v>
      </c>
      <c r="PZ9" s="1" t="e">
        <v>#N/A</v>
      </c>
      <c r="QA9" s="1" t="e">
        <v>#N/A</v>
      </c>
      <c r="QB9" s="1" t="e">
        <v>#N/A</v>
      </c>
      <c r="QC9" s="1" t="e">
        <v>#N/A</v>
      </c>
      <c r="QD9" s="1" t="e">
        <v>#N/A</v>
      </c>
      <c r="QE9" s="1" t="e">
        <v>#N/A</v>
      </c>
      <c r="QF9" s="1" t="e">
        <v>#N/A</v>
      </c>
      <c r="QG9" s="1" t="e">
        <v>#N/A</v>
      </c>
      <c r="QH9" s="1" t="e">
        <v>#N/A</v>
      </c>
      <c r="QI9" s="1" t="e">
        <v>#N/A</v>
      </c>
      <c r="QJ9" s="1" t="e">
        <v>#N/A</v>
      </c>
      <c r="QK9" s="1" t="e">
        <v>#N/A</v>
      </c>
      <c r="QL9" s="1" t="e">
        <v>#N/A</v>
      </c>
      <c r="QM9" s="1" t="e">
        <v>#N/A</v>
      </c>
      <c r="QN9" s="1" t="e">
        <v>#N/A</v>
      </c>
      <c r="QO9" s="1" t="e">
        <v>#N/A</v>
      </c>
      <c r="QP9" s="1" t="e">
        <v>#N/A</v>
      </c>
    </row>
    <row r="10" spans="1:458" ht="21" x14ac:dyDescent="0.2">
      <c r="A10" s="413"/>
      <c r="B10" s="414"/>
      <c r="C10" s="415"/>
      <c r="D10" s="416"/>
      <c r="E10" s="417"/>
      <c r="F10" s="418"/>
      <c r="G10" s="419"/>
      <c r="H10" s="420"/>
      <c r="I10" s="421"/>
      <c r="J10" s="373">
        <v>108.63317674018339</v>
      </c>
      <c r="L10" s="76"/>
      <c r="PJ10" s="1" t="e">
        <v>#N/A</v>
      </c>
      <c r="PK10" s="1" t="e">
        <v>#N/A</v>
      </c>
      <c r="PL10" s="1" t="e">
        <v>#N/A</v>
      </c>
      <c r="PM10" s="1" t="e">
        <v>#N/A</v>
      </c>
      <c r="PN10" s="1" t="e">
        <v>#N/A</v>
      </c>
      <c r="PO10" s="1" t="e">
        <v>#N/A</v>
      </c>
      <c r="PP10" s="1" t="e">
        <v>#N/A</v>
      </c>
      <c r="PQ10" s="1" t="e">
        <v>#N/A</v>
      </c>
      <c r="PR10" s="1" t="e">
        <v>#N/A</v>
      </c>
      <c r="PS10" s="1" t="e">
        <v>#N/A</v>
      </c>
      <c r="PT10" s="1" t="e">
        <v>#N/A</v>
      </c>
      <c r="PU10" s="1" t="e">
        <v>#N/A</v>
      </c>
      <c r="PV10" s="1" t="e">
        <v>#N/A</v>
      </c>
      <c r="PW10" s="1" t="e">
        <v>#N/A</v>
      </c>
      <c r="PX10" s="1" t="e">
        <v>#N/A</v>
      </c>
      <c r="PY10" s="1" t="e">
        <v>#N/A</v>
      </c>
      <c r="PZ10" s="1" t="e">
        <v>#N/A</v>
      </c>
      <c r="QA10" s="1" t="e">
        <v>#N/A</v>
      </c>
      <c r="QB10" s="1" t="e">
        <v>#N/A</v>
      </c>
      <c r="QC10" s="1" t="e">
        <v>#N/A</v>
      </c>
      <c r="QD10" s="1" t="e">
        <v>#N/A</v>
      </c>
      <c r="QE10" s="1" t="e">
        <v>#N/A</v>
      </c>
      <c r="QF10" s="1" t="e">
        <v>#N/A</v>
      </c>
      <c r="QG10" s="1" t="e">
        <v>#N/A</v>
      </c>
      <c r="QH10" s="1" t="e">
        <v>#N/A</v>
      </c>
      <c r="QI10" s="1" t="e">
        <v>#N/A</v>
      </c>
      <c r="QJ10" s="1" t="e">
        <v>#N/A</v>
      </c>
      <c r="QK10" s="1" t="e">
        <v>#N/A</v>
      </c>
      <c r="QL10" s="1" t="e">
        <v>#N/A</v>
      </c>
      <c r="QM10" s="1" t="e">
        <v>#N/A</v>
      </c>
      <c r="QN10" s="1" t="e">
        <v>#N/A</v>
      </c>
      <c r="QO10" s="1" t="e">
        <v>#N/A</v>
      </c>
      <c r="QP10" s="1" t="e">
        <v>#N/A</v>
      </c>
    </row>
    <row r="11" spans="1:458" ht="26.25" x14ac:dyDescent="0.4">
      <c r="A11" s="347"/>
      <c r="B11" s="422"/>
      <c r="C11" s="423"/>
      <c r="D11" s="349"/>
      <c r="E11" s="350"/>
      <c r="F11" s="351"/>
      <c r="G11" s="352"/>
      <c r="H11" s="348"/>
      <c r="I11" s="353"/>
      <c r="J11" s="345" t="s">
        <v>73</v>
      </c>
      <c r="L11" s="76"/>
      <c r="PJ11" s="1" t="e">
        <v>#N/A</v>
      </c>
      <c r="PK11" s="1" t="e">
        <v>#N/A</v>
      </c>
      <c r="PL11" s="1" t="e">
        <v>#N/A</v>
      </c>
      <c r="PM11" s="1" t="e">
        <v>#N/A</v>
      </c>
      <c r="PN11" s="1" t="e">
        <v>#N/A</v>
      </c>
      <c r="PO11" s="1" t="e">
        <v>#N/A</v>
      </c>
      <c r="PP11" s="1" t="e">
        <v>#N/A</v>
      </c>
      <c r="PQ11" s="1" t="e">
        <v>#N/A</v>
      </c>
      <c r="PR11" s="1" t="e">
        <v>#N/A</v>
      </c>
      <c r="PS11" s="1" t="e">
        <v>#N/A</v>
      </c>
      <c r="PT11" s="1" t="e">
        <v>#N/A</v>
      </c>
      <c r="PU11" s="1" t="e">
        <v>#N/A</v>
      </c>
      <c r="PV11" s="1" t="e">
        <v>#N/A</v>
      </c>
      <c r="PW11" s="1" t="e">
        <v>#N/A</v>
      </c>
      <c r="PX11" s="1" t="e">
        <v>#N/A</v>
      </c>
      <c r="PY11" s="1" t="e">
        <v>#N/A</v>
      </c>
      <c r="PZ11" s="1" t="e">
        <v>#N/A</v>
      </c>
      <c r="QA11" s="1" t="e">
        <v>#N/A</v>
      </c>
      <c r="QB11" s="1" t="e">
        <v>#N/A</v>
      </c>
      <c r="QC11" s="1" t="e">
        <v>#N/A</v>
      </c>
      <c r="QD11" s="1" t="e">
        <v>#N/A</v>
      </c>
      <c r="QE11" s="1" t="e">
        <v>#N/A</v>
      </c>
      <c r="QF11" s="1" t="e">
        <v>#N/A</v>
      </c>
      <c r="QG11" s="1" t="e">
        <v>#N/A</v>
      </c>
      <c r="QH11" s="1" t="e">
        <v>#N/A</v>
      </c>
      <c r="QI11" s="1" t="e">
        <v>#N/A</v>
      </c>
      <c r="QJ11" s="1" t="e">
        <v>#N/A</v>
      </c>
      <c r="QK11" s="1" t="e">
        <v>#N/A</v>
      </c>
      <c r="QL11" s="1" t="e">
        <v>#N/A</v>
      </c>
      <c r="QM11" s="1" t="e">
        <v>#N/A</v>
      </c>
      <c r="QN11" s="1" t="e">
        <v>#N/A</v>
      </c>
      <c r="QO11" s="1" t="e">
        <v>#N/A</v>
      </c>
      <c r="QP11" s="1" t="e">
        <v>#N/A</v>
      </c>
    </row>
    <row r="12" spans="1:458" ht="26.25" x14ac:dyDescent="0.4">
      <c r="A12" s="347"/>
      <c r="B12" s="422"/>
      <c r="C12" s="423"/>
      <c r="D12" s="349"/>
      <c r="E12" s="350"/>
      <c r="F12" s="351"/>
      <c r="G12" s="352"/>
      <c r="H12" s="348"/>
      <c r="I12" s="353"/>
      <c r="J12" s="345" t="s">
        <v>73</v>
      </c>
      <c r="L12" s="76"/>
      <c r="PJ12" s="1" t="e">
        <v>#N/A</v>
      </c>
      <c r="PK12" s="1" t="e">
        <v>#N/A</v>
      </c>
      <c r="PL12" s="1" t="e">
        <v>#N/A</v>
      </c>
      <c r="PM12" s="1" t="e">
        <v>#N/A</v>
      </c>
      <c r="PN12" s="1" t="e">
        <v>#N/A</v>
      </c>
      <c r="PO12" s="1" t="e">
        <v>#N/A</v>
      </c>
      <c r="PP12" s="1" t="e">
        <v>#N/A</v>
      </c>
      <c r="PQ12" s="1" t="e">
        <v>#N/A</v>
      </c>
      <c r="PR12" s="1" t="e">
        <v>#N/A</v>
      </c>
      <c r="PS12" s="1" t="e">
        <v>#N/A</v>
      </c>
      <c r="PT12" s="1" t="e">
        <v>#N/A</v>
      </c>
      <c r="PU12" s="1" t="e">
        <v>#N/A</v>
      </c>
      <c r="PV12" s="1" t="e">
        <v>#N/A</v>
      </c>
      <c r="PW12" s="1" t="e">
        <v>#N/A</v>
      </c>
      <c r="PX12" s="1" t="e">
        <v>#N/A</v>
      </c>
      <c r="PY12" s="1" t="e">
        <v>#N/A</v>
      </c>
      <c r="PZ12" s="1" t="e">
        <v>#N/A</v>
      </c>
      <c r="QA12" s="1" t="e">
        <v>#N/A</v>
      </c>
      <c r="QB12" s="1" t="e">
        <v>#N/A</v>
      </c>
      <c r="QC12" s="1" t="e">
        <v>#N/A</v>
      </c>
      <c r="QD12" s="1" t="e">
        <v>#N/A</v>
      </c>
      <c r="QE12" s="1" t="e">
        <v>#N/A</v>
      </c>
      <c r="QF12" s="1" t="e">
        <v>#N/A</v>
      </c>
      <c r="QG12" s="1" t="e">
        <v>#N/A</v>
      </c>
      <c r="QH12" s="1" t="e">
        <v>#N/A</v>
      </c>
      <c r="QI12" s="1" t="e">
        <v>#N/A</v>
      </c>
      <c r="QJ12" s="1" t="e">
        <v>#N/A</v>
      </c>
      <c r="QK12" s="1" t="e">
        <v>#N/A</v>
      </c>
      <c r="QL12" s="1" t="e">
        <v>#N/A</v>
      </c>
      <c r="QM12" s="1" t="e">
        <v>#N/A</v>
      </c>
      <c r="QN12" s="1" t="e">
        <v>#N/A</v>
      </c>
      <c r="QO12" s="1" t="e">
        <v>#N/A</v>
      </c>
      <c r="QP12" s="1" t="e">
        <v>#N/A</v>
      </c>
    </row>
    <row r="13" spans="1:458" ht="26.25" x14ac:dyDescent="0.4">
      <c r="A13" s="347"/>
      <c r="B13" s="422"/>
      <c r="C13" s="423"/>
      <c r="D13" s="349"/>
      <c r="E13" s="350"/>
      <c r="F13" s="351"/>
      <c r="G13" s="352"/>
      <c r="H13" s="348"/>
      <c r="I13" s="353"/>
      <c r="J13" s="345">
        <v>1.1538999999999999</v>
      </c>
      <c r="L13" s="76"/>
      <c r="PJ13" s="1" t="e">
        <v>#N/A</v>
      </c>
      <c r="PK13" s="1" t="e">
        <v>#N/A</v>
      </c>
      <c r="PL13" s="1" t="e">
        <v>#N/A</v>
      </c>
      <c r="PM13" s="1" t="e">
        <v>#N/A</v>
      </c>
      <c r="PN13" s="1" t="e">
        <v>#N/A</v>
      </c>
      <c r="PO13" s="1" t="e">
        <v>#N/A</v>
      </c>
      <c r="PP13" s="1" t="e">
        <v>#N/A</v>
      </c>
      <c r="PQ13" s="1" t="e">
        <v>#N/A</v>
      </c>
      <c r="PR13" s="1" t="e">
        <v>#N/A</v>
      </c>
      <c r="PS13" s="1" t="e">
        <v>#N/A</v>
      </c>
      <c r="PT13" s="1" t="e">
        <v>#N/A</v>
      </c>
      <c r="PU13" s="1" t="e">
        <v>#N/A</v>
      </c>
      <c r="PV13" s="1" t="e">
        <v>#N/A</v>
      </c>
      <c r="PW13" s="1" t="e">
        <v>#N/A</v>
      </c>
      <c r="PX13" s="1" t="e">
        <v>#N/A</v>
      </c>
      <c r="PY13" s="1" t="e">
        <v>#N/A</v>
      </c>
      <c r="PZ13" s="1" t="e">
        <v>#N/A</v>
      </c>
      <c r="QA13" s="1" t="e">
        <v>#N/A</v>
      </c>
      <c r="QB13" s="1" t="e">
        <v>#N/A</v>
      </c>
      <c r="QC13" s="1" t="e">
        <v>#N/A</v>
      </c>
      <c r="QD13" s="1" t="e">
        <v>#N/A</v>
      </c>
      <c r="QE13" s="1" t="e">
        <v>#N/A</v>
      </c>
      <c r="QF13" s="1" t="e">
        <v>#N/A</v>
      </c>
      <c r="QG13" s="1" t="e">
        <v>#N/A</v>
      </c>
      <c r="QH13" s="1" t="e">
        <v>#N/A</v>
      </c>
      <c r="QI13" s="1" t="e">
        <v>#N/A</v>
      </c>
      <c r="QJ13" s="1" t="e">
        <v>#N/A</v>
      </c>
      <c r="QK13" s="1" t="e">
        <v>#N/A</v>
      </c>
      <c r="QL13" s="1" t="e">
        <v>#N/A</v>
      </c>
      <c r="QM13" s="1" t="e">
        <v>#N/A</v>
      </c>
      <c r="QN13" s="1" t="e">
        <v>#N/A</v>
      </c>
      <c r="QO13" s="1" t="e">
        <v>#N/A</v>
      </c>
      <c r="QP13" s="1" t="e">
        <v>#N/A</v>
      </c>
    </row>
    <row r="14" spans="1:458" ht="26.25" x14ac:dyDescent="0.4">
      <c r="A14" s="347"/>
      <c r="B14" s="422"/>
      <c r="C14" s="423"/>
      <c r="D14" s="349"/>
      <c r="E14" s="350"/>
      <c r="F14" s="351"/>
      <c r="G14" s="352"/>
      <c r="H14" s="348"/>
      <c r="I14" s="353"/>
      <c r="J14" s="345" t="s">
        <v>73</v>
      </c>
      <c r="L14" s="76"/>
      <c r="PJ14" s="1" t="e">
        <v>#N/A</v>
      </c>
      <c r="PK14" s="1" t="e">
        <v>#N/A</v>
      </c>
      <c r="PL14" s="1" t="e">
        <v>#N/A</v>
      </c>
      <c r="PM14" s="1" t="e">
        <v>#N/A</v>
      </c>
      <c r="PN14" s="1" t="e">
        <v>#N/A</v>
      </c>
      <c r="PO14" s="1" t="e">
        <v>#N/A</v>
      </c>
      <c r="PP14" s="1" t="e">
        <v>#N/A</v>
      </c>
      <c r="PQ14" s="1" t="e">
        <v>#N/A</v>
      </c>
      <c r="PR14" s="1" t="e">
        <v>#N/A</v>
      </c>
      <c r="PS14" s="1" t="e">
        <v>#N/A</v>
      </c>
      <c r="PT14" s="1" t="e">
        <v>#N/A</v>
      </c>
      <c r="PU14" s="1" t="e">
        <v>#N/A</v>
      </c>
      <c r="PV14" s="1" t="e">
        <v>#N/A</v>
      </c>
      <c r="PW14" s="1" t="e">
        <v>#N/A</v>
      </c>
      <c r="PX14" s="1" t="e">
        <v>#N/A</v>
      </c>
      <c r="PY14" s="1" t="e">
        <v>#N/A</v>
      </c>
      <c r="PZ14" s="1" t="e">
        <v>#N/A</v>
      </c>
      <c r="QA14" s="1" t="e">
        <v>#N/A</v>
      </c>
      <c r="QB14" s="1" t="e">
        <v>#N/A</v>
      </c>
      <c r="QC14" s="1" t="e">
        <v>#N/A</v>
      </c>
      <c r="QD14" s="1" t="e">
        <v>#N/A</v>
      </c>
      <c r="QE14" s="1" t="e">
        <v>#N/A</v>
      </c>
      <c r="QF14" s="1" t="e">
        <v>#N/A</v>
      </c>
      <c r="QG14" s="1" t="e">
        <v>#N/A</v>
      </c>
      <c r="QH14" s="1" t="e">
        <v>#N/A</v>
      </c>
      <c r="QI14" s="1" t="e">
        <v>#N/A</v>
      </c>
      <c r="QJ14" s="1" t="e">
        <v>#N/A</v>
      </c>
      <c r="QK14" s="1" t="e">
        <v>#N/A</v>
      </c>
      <c r="QL14" s="1" t="e">
        <v>#N/A</v>
      </c>
      <c r="QM14" s="1" t="e">
        <v>#N/A</v>
      </c>
      <c r="QN14" s="1" t="e">
        <v>#N/A</v>
      </c>
      <c r="QO14" s="1" t="e">
        <v>#N/A</v>
      </c>
      <c r="QP14" s="1" t="e">
        <v>#N/A</v>
      </c>
    </row>
    <row r="15" spans="1:458" ht="26.25" x14ac:dyDescent="0.4">
      <c r="A15" s="347"/>
      <c r="B15" s="422"/>
      <c r="C15" s="423"/>
      <c r="D15" s="349"/>
      <c r="E15" s="350"/>
      <c r="F15" s="351"/>
      <c r="G15" s="352"/>
      <c r="H15" s="348"/>
      <c r="I15" s="353"/>
      <c r="J15" s="345" t="s">
        <v>73</v>
      </c>
      <c r="L15" s="76"/>
      <c r="PJ15" s="1" t="e">
        <v>#N/A</v>
      </c>
      <c r="PK15" s="1" t="e">
        <v>#N/A</v>
      </c>
      <c r="PL15" s="1" t="e">
        <v>#N/A</v>
      </c>
      <c r="PM15" s="1" t="e">
        <v>#N/A</v>
      </c>
      <c r="PN15" s="1" t="e">
        <v>#N/A</v>
      </c>
      <c r="PO15" s="1" t="e">
        <v>#N/A</v>
      </c>
      <c r="PP15" s="1" t="e">
        <v>#N/A</v>
      </c>
      <c r="PQ15" s="1" t="e">
        <v>#N/A</v>
      </c>
      <c r="PR15" s="1" t="e">
        <v>#N/A</v>
      </c>
      <c r="PS15" s="1" t="e">
        <v>#N/A</v>
      </c>
      <c r="PT15" s="1" t="e">
        <v>#N/A</v>
      </c>
      <c r="PU15" s="1" t="e">
        <v>#N/A</v>
      </c>
      <c r="PV15" s="1" t="e">
        <v>#N/A</v>
      </c>
      <c r="PW15" s="1" t="e">
        <v>#N/A</v>
      </c>
      <c r="PX15" s="1" t="e">
        <v>#N/A</v>
      </c>
      <c r="PY15" s="1" t="e">
        <v>#N/A</v>
      </c>
      <c r="PZ15" s="1" t="e">
        <v>#N/A</v>
      </c>
      <c r="QA15" s="1" t="e">
        <v>#N/A</v>
      </c>
      <c r="QB15" s="1" t="e">
        <v>#N/A</v>
      </c>
      <c r="QC15" s="1" t="e">
        <v>#N/A</v>
      </c>
      <c r="QD15" s="1" t="e">
        <v>#N/A</v>
      </c>
      <c r="QE15" s="1" t="e">
        <v>#N/A</v>
      </c>
      <c r="QF15" s="1" t="e">
        <v>#N/A</v>
      </c>
      <c r="QG15" s="1" t="e">
        <v>#N/A</v>
      </c>
      <c r="QH15" s="1" t="e">
        <v>#N/A</v>
      </c>
      <c r="QI15" s="1" t="e">
        <v>#N/A</v>
      </c>
      <c r="QJ15" s="1" t="e">
        <v>#N/A</v>
      </c>
      <c r="QK15" s="1" t="e">
        <v>#N/A</v>
      </c>
      <c r="QL15" s="1" t="e">
        <v>#N/A</v>
      </c>
      <c r="QM15" s="1" t="e">
        <v>#N/A</v>
      </c>
      <c r="QN15" s="1" t="e">
        <v>#N/A</v>
      </c>
      <c r="QO15" s="1" t="e">
        <v>#N/A</v>
      </c>
      <c r="QP15" s="1" t="e">
        <v>#N/A</v>
      </c>
    </row>
    <row r="16" spans="1:458" ht="26.25" x14ac:dyDescent="0.4">
      <c r="A16" s="347"/>
      <c r="B16" s="422"/>
      <c r="C16" s="423"/>
      <c r="D16" s="349"/>
      <c r="E16" s="350"/>
      <c r="F16" s="351"/>
      <c r="G16" s="352"/>
      <c r="H16" s="348"/>
      <c r="I16" s="353"/>
      <c r="J16" s="345">
        <v>0.5718389797013792</v>
      </c>
      <c r="L16" s="76"/>
      <c r="PJ16" s="1" t="e">
        <v>#N/A</v>
      </c>
      <c r="PK16" s="1" t="e">
        <v>#N/A</v>
      </c>
      <c r="PL16" s="1" t="e">
        <v>#N/A</v>
      </c>
      <c r="PM16" s="1" t="e">
        <v>#N/A</v>
      </c>
      <c r="PN16" s="1" t="e">
        <v>#N/A</v>
      </c>
      <c r="PO16" s="1" t="e">
        <v>#N/A</v>
      </c>
      <c r="PP16" s="1" t="e">
        <v>#N/A</v>
      </c>
      <c r="PQ16" s="1" t="e">
        <v>#N/A</v>
      </c>
      <c r="PR16" s="1" t="e">
        <v>#N/A</v>
      </c>
      <c r="PS16" s="1" t="e">
        <v>#N/A</v>
      </c>
      <c r="PT16" s="1" t="e">
        <v>#N/A</v>
      </c>
      <c r="PU16" s="1" t="e">
        <v>#N/A</v>
      </c>
      <c r="PV16" s="1" t="e">
        <v>#N/A</v>
      </c>
      <c r="PW16" s="1" t="e">
        <v>#N/A</v>
      </c>
      <c r="PX16" s="1" t="e">
        <v>#N/A</v>
      </c>
      <c r="PY16" s="1" t="e">
        <v>#N/A</v>
      </c>
      <c r="PZ16" s="1" t="e">
        <v>#N/A</v>
      </c>
      <c r="QA16" s="1" t="e">
        <v>#N/A</v>
      </c>
      <c r="QB16" s="1" t="e">
        <v>#N/A</v>
      </c>
      <c r="QC16" s="1" t="e">
        <v>#N/A</v>
      </c>
      <c r="QD16" s="1" t="e">
        <v>#N/A</v>
      </c>
      <c r="QE16" s="1" t="e">
        <v>#N/A</v>
      </c>
      <c r="QF16" s="1" t="e">
        <v>#N/A</v>
      </c>
      <c r="QG16" s="1" t="e">
        <v>#N/A</v>
      </c>
      <c r="QH16" s="1" t="e">
        <v>#N/A</v>
      </c>
      <c r="QI16" s="1" t="e">
        <v>#N/A</v>
      </c>
      <c r="QJ16" s="1" t="e">
        <v>#N/A</v>
      </c>
      <c r="QK16" s="1" t="e">
        <v>#N/A</v>
      </c>
      <c r="QL16" s="1" t="e">
        <v>#N/A</v>
      </c>
      <c r="QM16" s="1" t="e">
        <v>#N/A</v>
      </c>
      <c r="QN16" s="1" t="e">
        <v>#N/A</v>
      </c>
      <c r="QO16" s="1" t="e">
        <v>#N/A</v>
      </c>
      <c r="QP16" s="1" t="e">
        <v>#N/A</v>
      </c>
    </row>
    <row r="17" spans="1:458" ht="26.25" x14ac:dyDescent="0.4">
      <c r="A17" s="347"/>
      <c r="B17" s="422"/>
      <c r="C17" s="423"/>
      <c r="D17" s="349"/>
      <c r="E17" s="350"/>
      <c r="F17" s="351"/>
      <c r="G17" s="352"/>
      <c r="H17" s="348"/>
      <c r="I17" s="353"/>
      <c r="J17" s="345" t="s">
        <v>73</v>
      </c>
      <c r="L17" s="76"/>
      <c r="PJ17" s="1" t="e">
        <v>#N/A</v>
      </c>
      <c r="PK17" s="1" t="e">
        <v>#N/A</v>
      </c>
      <c r="PL17" s="1" t="e">
        <v>#N/A</v>
      </c>
      <c r="PM17" s="1" t="e">
        <v>#N/A</v>
      </c>
      <c r="PN17" s="1" t="e">
        <v>#N/A</v>
      </c>
      <c r="PO17" s="1" t="e">
        <v>#N/A</v>
      </c>
      <c r="PP17" s="1" t="e">
        <v>#N/A</v>
      </c>
      <c r="PQ17" s="1" t="e">
        <v>#N/A</v>
      </c>
      <c r="PR17" s="1" t="e">
        <v>#N/A</v>
      </c>
      <c r="PS17" s="1" t="e">
        <v>#N/A</v>
      </c>
      <c r="PT17" s="1" t="e">
        <v>#N/A</v>
      </c>
      <c r="PU17" s="1" t="e">
        <v>#N/A</v>
      </c>
      <c r="PV17" s="1" t="e">
        <v>#N/A</v>
      </c>
      <c r="PW17" s="1" t="e">
        <v>#N/A</v>
      </c>
      <c r="PX17" s="1" t="e">
        <v>#N/A</v>
      </c>
      <c r="PY17" s="1" t="e">
        <v>#N/A</v>
      </c>
      <c r="PZ17" s="1" t="e">
        <v>#N/A</v>
      </c>
      <c r="QA17" s="1" t="e">
        <v>#N/A</v>
      </c>
      <c r="QB17" s="1" t="e">
        <v>#N/A</v>
      </c>
      <c r="QC17" s="1" t="e">
        <v>#N/A</v>
      </c>
      <c r="QD17" s="1" t="e">
        <v>#N/A</v>
      </c>
      <c r="QE17" s="1" t="e">
        <v>#N/A</v>
      </c>
      <c r="QF17" s="1" t="e">
        <v>#N/A</v>
      </c>
      <c r="QG17" s="1" t="e">
        <v>#N/A</v>
      </c>
      <c r="QH17" s="1" t="e">
        <v>#N/A</v>
      </c>
      <c r="QI17" s="1" t="e">
        <v>#N/A</v>
      </c>
      <c r="QJ17" s="1" t="e">
        <v>#N/A</v>
      </c>
      <c r="QK17" s="1" t="e">
        <v>#N/A</v>
      </c>
      <c r="QL17" s="1" t="e">
        <v>#N/A</v>
      </c>
      <c r="QM17" s="1" t="e">
        <v>#N/A</v>
      </c>
      <c r="QN17" s="1" t="e">
        <v>#N/A</v>
      </c>
      <c r="QO17" s="1" t="e">
        <v>#N/A</v>
      </c>
      <c r="QP17" s="1" t="e">
        <v>#N/A</v>
      </c>
    </row>
    <row r="18" spans="1:458" ht="26.25" x14ac:dyDescent="0.4">
      <c r="A18" s="424"/>
      <c r="B18" s="425"/>
      <c r="C18" s="423"/>
      <c r="D18" s="349"/>
      <c r="E18" s="350"/>
      <c r="F18" s="351"/>
      <c r="G18" s="352"/>
      <c r="H18" s="348"/>
      <c r="I18" s="353"/>
      <c r="J18" s="345" t="s">
        <v>73</v>
      </c>
      <c r="L18" s="76"/>
      <c r="PJ18" s="1" t="e">
        <v>#N/A</v>
      </c>
      <c r="PK18" s="1" t="e">
        <v>#N/A</v>
      </c>
      <c r="PL18" s="1" t="e">
        <v>#N/A</v>
      </c>
      <c r="PM18" s="1" t="e">
        <v>#N/A</v>
      </c>
      <c r="PN18" s="1" t="e">
        <v>#N/A</v>
      </c>
      <c r="PO18" s="1" t="e">
        <v>#N/A</v>
      </c>
      <c r="PP18" s="1" t="e">
        <v>#N/A</v>
      </c>
      <c r="PQ18" s="1" t="e">
        <v>#N/A</v>
      </c>
      <c r="PR18" s="1" t="e">
        <v>#N/A</v>
      </c>
      <c r="PS18" s="1" t="e">
        <v>#N/A</v>
      </c>
      <c r="PT18" s="1" t="e">
        <v>#N/A</v>
      </c>
      <c r="PU18" s="1" t="e">
        <v>#N/A</v>
      </c>
      <c r="PV18" s="1" t="e">
        <v>#N/A</v>
      </c>
      <c r="PW18" s="1" t="e">
        <v>#N/A</v>
      </c>
      <c r="PX18" s="1" t="e">
        <v>#N/A</v>
      </c>
      <c r="PY18" s="1" t="e">
        <v>#N/A</v>
      </c>
      <c r="PZ18" s="1" t="e">
        <v>#N/A</v>
      </c>
      <c r="QA18" s="1" t="e">
        <v>#N/A</v>
      </c>
      <c r="QB18" s="1" t="e">
        <v>#N/A</v>
      </c>
      <c r="QC18" s="1" t="e">
        <v>#N/A</v>
      </c>
      <c r="QD18" s="1" t="e">
        <v>#N/A</v>
      </c>
      <c r="QE18" s="1" t="e">
        <v>#N/A</v>
      </c>
      <c r="QF18" s="1" t="e">
        <v>#N/A</v>
      </c>
      <c r="QG18" s="1" t="e">
        <v>#N/A</v>
      </c>
      <c r="QH18" s="1" t="e">
        <v>#N/A</v>
      </c>
      <c r="QI18" s="1" t="e">
        <v>#N/A</v>
      </c>
      <c r="QJ18" s="1" t="e">
        <v>#N/A</v>
      </c>
      <c r="QK18" s="1" t="e">
        <v>#N/A</v>
      </c>
      <c r="QL18" s="1" t="e">
        <v>#N/A</v>
      </c>
      <c r="QM18" s="1" t="e">
        <v>#N/A</v>
      </c>
      <c r="QN18" s="1" t="e">
        <v>#N/A</v>
      </c>
      <c r="QO18" s="1" t="e">
        <v>#N/A</v>
      </c>
      <c r="QP18" s="1" t="e">
        <v>#N/A</v>
      </c>
    </row>
    <row r="19" spans="1:458" ht="26.25" x14ac:dyDescent="0.4">
      <c r="A19" s="424"/>
      <c r="B19" s="425"/>
      <c r="C19" s="423"/>
      <c r="D19" s="349"/>
      <c r="E19" s="350"/>
      <c r="F19" s="351"/>
      <c r="G19" s="352"/>
      <c r="H19" s="348"/>
      <c r="I19" s="353"/>
      <c r="J19" s="345">
        <v>339.15717574602985</v>
      </c>
      <c r="L19" s="76"/>
      <c r="PJ19" s="1" t="e">
        <v>#N/A</v>
      </c>
      <c r="PK19" s="1" t="e">
        <v>#N/A</v>
      </c>
      <c r="PL19" s="1" t="e">
        <v>#N/A</v>
      </c>
      <c r="PM19" s="1" t="e">
        <v>#N/A</v>
      </c>
      <c r="PN19" s="1" t="e">
        <v>#N/A</v>
      </c>
      <c r="PO19" s="1" t="e">
        <v>#N/A</v>
      </c>
      <c r="PP19" s="1" t="e">
        <v>#N/A</v>
      </c>
      <c r="PQ19" s="1" t="e">
        <v>#N/A</v>
      </c>
      <c r="PR19" s="1" t="e">
        <v>#N/A</v>
      </c>
      <c r="PS19" s="1" t="e">
        <v>#N/A</v>
      </c>
      <c r="PT19" s="1" t="e">
        <v>#N/A</v>
      </c>
      <c r="PU19" s="1" t="e">
        <v>#N/A</v>
      </c>
      <c r="PV19" s="1" t="e">
        <v>#N/A</v>
      </c>
      <c r="PW19" s="1" t="e">
        <v>#N/A</v>
      </c>
      <c r="PX19" s="1" t="e">
        <v>#N/A</v>
      </c>
      <c r="PY19" s="1" t="e">
        <v>#N/A</v>
      </c>
      <c r="PZ19" s="1" t="e">
        <v>#N/A</v>
      </c>
      <c r="QA19" s="1" t="e">
        <v>#N/A</v>
      </c>
      <c r="QB19" s="1" t="e">
        <v>#N/A</v>
      </c>
      <c r="QC19" s="1" t="e">
        <v>#N/A</v>
      </c>
      <c r="QD19" s="1" t="e">
        <v>#N/A</v>
      </c>
      <c r="QE19" s="1" t="e">
        <v>#N/A</v>
      </c>
      <c r="QF19" s="1" t="e">
        <v>#N/A</v>
      </c>
      <c r="QG19" s="1" t="e">
        <v>#N/A</v>
      </c>
      <c r="QH19" s="1" t="e">
        <v>#N/A</v>
      </c>
      <c r="QI19" s="1" t="e">
        <v>#N/A</v>
      </c>
      <c r="QJ19" s="1" t="e">
        <v>#N/A</v>
      </c>
      <c r="QK19" s="1" t="e">
        <v>#N/A</v>
      </c>
      <c r="QL19" s="1" t="e">
        <v>#N/A</v>
      </c>
      <c r="QM19" s="1" t="e">
        <v>#N/A</v>
      </c>
      <c r="QN19" s="1" t="e">
        <v>#N/A</v>
      </c>
      <c r="QO19" s="1" t="e">
        <v>#N/A</v>
      </c>
      <c r="QP19" s="1" t="e">
        <v>#N/A</v>
      </c>
    </row>
    <row r="20" spans="1:458" ht="26.25" x14ac:dyDescent="0.4">
      <c r="A20" s="347"/>
      <c r="B20" s="422"/>
      <c r="C20" s="423"/>
      <c r="D20" s="349"/>
      <c r="E20" s="350"/>
      <c r="F20" s="351"/>
      <c r="G20" s="352"/>
      <c r="H20" s="348"/>
      <c r="I20" s="353"/>
      <c r="J20" s="345" t="s">
        <v>73</v>
      </c>
      <c r="L20" s="76"/>
      <c r="PJ20" s="1" t="e">
        <v>#N/A</v>
      </c>
      <c r="PK20" s="1" t="e">
        <v>#N/A</v>
      </c>
      <c r="PL20" s="1" t="e">
        <v>#N/A</v>
      </c>
      <c r="PM20" s="1" t="e">
        <v>#N/A</v>
      </c>
      <c r="PN20" s="1" t="e">
        <v>#N/A</v>
      </c>
      <c r="PO20" s="1" t="e">
        <v>#N/A</v>
      </c>
      <c r="PP20" s="1" t="e">
        <v>#N/A</v>
      </c>
      <c r="PQ20" s="1" t="e">
        <v>#N/A</v>
      </c>
      <c r="PR20" s="1" t="e">
        <v>#N/A</v>
      </c>
      <c r="PS20" s="1" t="e">
        <v>#N/A</v>
      </c>
      <c r="PT20" s="1" t="e">
        <v>#N/A</v>
      </c>
      <c r="PU20" s="1" t="e">
        <v>#N/A</v>
      </c>
      <c r="PV20" s="1" t="e">
        <v>#N/A</v>
      </c>
      <c r="PW20" s="1" t="e">
        <v>#N/A</v>
      </c>
      <c r="PX20" s="1" t="e">
        <v>#N/A</v>
      </c>
      <c r="PY20" s="1" t="e">
        <v>#N/A</v>
      </c>
      <c r="PZ20" s="1" t="e">
        <v>#N/A</v>
      </c>
      <c r="QA20" s="1" t="e">
        <v>#N/A</v>
      </c>
      <c r="QB20" s="1" t="e">
        <v>#N/A</v>
      </c>
      <c r="QC20" s="1" t="e">
        <v>#N/A</v>
      </c>
      <c r="QD20" s="1" t="e">
        <v>#N/A</v>
      </c>
      <c r="QE20" s="1" t="e">
        <v>#N/A</v>
      </c>
      <c r="QF20" s="1" t="e">
        <v>#N/A</v>
      </c>
      <c r="QG20" s="1" t="e">
        <v>#N/A</v>
      </c>
      <c r="QH20" s="1" t="e">
        <v>#N/A</v>
      </c>
      <c r="QI20" s="1" t="e">
        <v>#N/A</v>
      </c>
      <c r="QJ20" s="1" t="e">
        <v>#N/A</v>
      </c>
      <c r="QK20" s="1" t="e">
        <v>#N/A</v>
      </c>
      <c r="QL20" s="1" t="e">
        <v>#N/A</v>
      </c>
      <c r="QM20" s="1" t="e">
        <v>#N/A</v>
      </c>
      <c r="QN20" s="1" t="e">
        <v>#N/A</v>
      </c>
      <c r="QO20" s="1" t="e">
        <v>#N/A</v>
      </c>
      <c r="QP20" s="1" t="e">
        <v>#N/A</v>
      </c>
    </row>
    <row r="21" spans="1:458" ht="26.25" x14ac:dyDescent="0.4">
      <c r="A21" s="347"/>
      <c r="B21" s="422"/>
      <c r="C21" s="426"/>
      <c r="D21" s="349"/>
      <c r="E21" s="350"/>
      <c r="F21" s="351"/>
      <c r="G21" s="352"/>
      <c r="H21" s="348"/>
      <c r="I21" s="353"/>
      <c r="J21" s="345" t="s">
        <v>73</v>
      </c>
      <c r="L21" s="76"/>
      <c r="PJ21" s="1" t="e">
        <v>#N/A</v>
      </c>
      <c r="PK21" s="1" t="e">
        <v>#N/A</v>
      </c>
      <c r="PL21" s="1" t="e">
        <v>#N/A</v>
      </c>
      <c r="PM21" s="1" t="e">
        <v>#N/A</v>
      </c>
      <c r="PN21" s="1" t="e">
        <v>#N/A</v>
      </c>
      <c r="PO21" s="1" t="e">
        <v>#N/A</v>
      </c>
      <c r="PP21" s="1" t="e">
        <v>#N/A</v>
      </c>
      <c r="PQ21" s="1" t="e">
        <v>#N/A</v>
      </c>
      <c r="PR21" s="1" t="e">
        <v>#N/A</v>
      </c>
      <c r="PS21" s="1" t="e">
        <v>#N/A</v>
      </c>
      <c r="PT21" s="1" t="e">
        <v>#N/A</v>
      </c>
      <c r="PU21" s="1" t="e">
        <v>#N/A</v>
      </c>
      <c r="PV21" s="1" t="e">
        <v>#N/A</v>
      </c>
      <c r="PW21" s="1" t="e">
        <v>#N/A</v>
      </c>
      <c r="PX21" s="1" t="e">
        <v>#N/A</v>
      </c>
      <c r="PY21" s="1" t="e">
        <v>#N/A</v>
      </c>
      <c r="PZ21" s="1" t="e">
        <v>#N/A</v>
      </c>
      <c r="QA21" s="1" t="e">
        <v>#N/A</v>
      </c>
      <c r="QB21" s="1" t="e">
        <v>#N/A</v>
      </c>
      <c r="QC21" s="1" t="e">
        <v>#N/A</v>
      </c>
      <c r="QD21" s="1" t="e">
        <v>#N/A</v>
      </c>
      <c r="QE21" s="1" t="e">
        <v>#N/A</v>
      </c>
      <c r="QF21" s="1" t="e">
        <v>#N/A</v>
      </c>
      <c r="QG21" s="1" t="e">
        <v>#N/A</v>
      </c>
      <c r="QH21" s="1" t="e">
        <v>#N/A</v>
      </c>
      <c r="QI21" s="1" t="e">
        <v>#N/A</v>
      </c>
      <c r="QJ21" s="1" t="e">
        <v>#N/A</v>
      </c>
      <c r="QK21" s="1" t="e">
        <v>#N/A</v>
      </c>
      <c r="QL21" s="1" t="e">
        <v>#N/A</v>
      </c>
      <c r="QM21" s="1" t="e">
        <v>#N/A</v>
      </c>
      <c r="QN21" s="1" t="e">
        <v>#N/A</v>
      </c>
      <c r="QO21" s="1" t="e">
        <v>#N/A</v>
      </c>
      <c r="QP21" s="1" t="e">
        <v>#N/A</v>
      </c>
    </row>
    <row r="22" spans="1:458" ht="26.25" x14ac:dyDescent="0.4">
      <c r="A22" s="347"/>
      <c r="B22" s="422"/>
      <c r="C22" s="423"/>
      <c r="D22" s="349"/>
      <c r="E22" s="350"/>
      <c r="F22" s="351"/>
      <c r="G22" s="352"/>
      <c r="H22" s="348"/>
      <c r="I22" s="353"/>
      <c r="J22" s="345">
        <v>707.43479987214471</v>
      </c>
      <c r="L22" s="76"/>
      <c r="PJ22" s="1" t="e">
        <v>#N/A</v>
      </c>
      <c r="PK22" s="1" t="e">
        <v>#N/A</v>
      </c>
      <c r="PL22" s="1" t="e">
        <v>#N/A</v>
      </c>
      <c r="PM22" s="1" t="e">
        <v>#N/A</v>
      </c>
      <c r="PN22" s="1" t="e">
        <v>#N/A</v>
      </c>
      <c r="PO22" s="1" t="e">
        <v>#N/A</v>
      </c>
      <c r="PP22" s="1" t="e">
        <v>#N/A</v>
      </c>
      <c r="PQ22" s="1" t="e">
        <v>#N/A</v>
      </c>
      <c r="PR22" s="1" t="e">
        <v>#N/A</v>
      </c>
      <c r="PS22" s="1" t="e">
        <v>#N/A</v>
      </c>
      <c r="PT22" s="1" t="e">
        <v>#N/A</v>
      </c>
      <c r="PU22" s="1" t="e">
        <v>#N/A</v>
      </c>
      <c r="PV22" s="1" t="e">
        <v>#N/A</v>
      </c>
      <c r="PW22" s="1" t="e">
        <v>#N/A</v>
      </c>
      <c r="PX22" s="1" t="e">
        <v>#N/A</v>
      </c>
      <c r="PY22" s="1" t="e">
        <v>#N/A</v>
      </c>
      <c r="PZ22" s="1" t="e">
        <v>#N/A</v>
      </c>
      <c r="QA22" s="1" t="e">
        <v>#N/A</v>
      </c>
      <c r="QB22" s="1" t="e">
        <v>#N/A</v>
      </c>
      <c r="QC22" s="1" t="e">
        <v>#N/A</v>
      </c>
      <c r="QD22" s="1" t="e">
        <v>#N/A</v>
      </c>
      <c r="QE22" s="1" t="e">
        <v>#N/A</v>
      </c>
      <c r="QF22" s="1" t="e">
        <v>#N/A</v>
      </c>
      <c r="QG22" s="1" t="e">
        <v>#N/A</v>
      </c>
      <c r="QH22" s="1" t="e">
        <v>#N/A</v>
      </c>
      <c r="QI22" s="1" t="e">
        <v>#N/A</v>
      </c>
      <c r="QJ22" s="1" t="e">
        <v>#N/A</v>
      </c>
      <c r="QK22" s="1" t="e">
        <v>#N/A</v>
      </c>
      <c r="QL22" s="1" t="e">
        <v>#N/A</v>
      </c>
      <c r="QM22" s="1" t="e">
        <v>#N/A</v>
      </c>
      <c r="QN22" s="1" t="e">
        <v>#N/A</v>
      </c>
      <c r="QO22" s="1" t="e">
        <v>#N/A</v>
      </c>
      <c r="QP22" s="1" t="e">
        <v>#N/A</v>
      </c>
    </row>
    <row r="23" spans="1:458" ht="26.25" x14ac:dyDescent="0.4">
      <c r="A23" s="347"/>
      <c r="B23" s="422"/>
      <c r="C23" s="423"/>
      <c r="D23" s="349"/>
      <c r="E23" s="350"/>
      <c r="F23" s="351"/>
      <c r="G23" s="352"/>
      <c r="H23" s="348"/>
      <c r="I23" s="353"/>
      <c r="J23" s="345" t="s">
        <v>73</v>
      </c>
      <c r="L23" s="76"/>
      <c r="PJ23" s="1" t="e">
        <v>#N/A</v>
      </c>
      <c r="PK23" s="1" t="e">
        <v>#N/A</v>
      </c>
      <c r="PL23" s="1" t="e">
        <v>#N/A</v>
      </c>
      <c r="PM23" s="1" t="e">
        <v>#N/A</v>
      </c>
      <c r="PN23" s="1" t="e">
        <v>#N/A</v>
      </c>
      <c r="PO23" s="1" t="e">
        <v>#N/A</v>
      </c>
      <c r="PP23" s="1" t="e">
        <v>#N/A</v>
      </c>
      <c r="PQ23" s="1" t="e">
        <v>#N/A</v>
      </c>
      <c r="PR23" s="1" t="e">
        <v>#N/A</v>
      </c>
      <c r="PS23" s="1" t="e">
        <v>#N/A</v>
      </c>
      <c r="PT23" s="1" t="e">
        <v>#N/A</v>
      </c>
      <c r="PU23" s="1" t="e">
        <v>#N/A</v>
      </c>
      <c r="PV23" s="1" t="e">
        <v>#N/A</v>
      </c>
      <c r="PW23" s="1" t="e">
        <v>#N/A</v>
      </c>
      <c r="PX23" s="1" t="e">
        <v>#N/A</v>
      </c>
      <c r="PY23" s="1" t="e">
        <v>#N/A</v>
      </c>
      <c r="PZ23" s="1" t="e">
        <v>#N/A</v>
      </c>
      <c r="QA23" s="1" t="e">
        <v>#N/A</v>
      </c>
      <c r="QB23" s="1" t="e">
        <v>#N/A</v>
      </c>
      <c r="QC23" s="1" t="e">
        <v>#N/A</v>
      </c>
      <c r="QD23" s="1" t="e">
        <v>#N/A</v>
      </c>
      <c r="QE23" s="1" t="e">
        <v>#N/A</v>
      </c>
      <c r="QF23" s="1" t="e">
        <v>#N/A</v>
      </c>
      <c r="QG23" s="1" t="e">
        <v>#N/A</v>
      </c>
      <c r="QH23" s="1" t="e">
        <v>#N/A</v>
      </c>
      <c r="QI23" s="1" t="e">
        <v>#N/A</v>
      </c>
      <c r="QJ23" s="1" t="e">
        <v>#N/A</v>
      </c>
      <c r="QK23" s="1" t="e">
        <v>#N/A</v>
      </c>
      <c r="QL23" s="1" t="e">
        <v>#N/A</v>
      </c>
      <c r="QM23" s="1" t="e">
        <v>#N/A</v>
      </c>
      <c r="QN23" s="1" t="e">
        <v>#N/A</v>
      </c>
      <c r="QO23" s="1" t="e">
        <v>#N/A</v>
      </c>
      <c r="QP23" s="1" t="e">
        <v>#N/A</v>
      </c>
    </row>
    <row r="24" spans="1:458" ht="26.25" x14ac:dyDescent="0.4">
      <c r="A24" s="347"/>
      <c r="B24" s="422"/>
      <c r="C24" s="423"/>
      <c r="D24" s="349"/>
      <c r="E24" s="350"/>
      <c r="F24" s="351"/>
      <c r="G24" s="352"/>
      <c r="H24" s="348"/>
      <c r="I24" s="353"/>
      <c r="J24" s="345" t="s">
        <v>73</v>
      </c>
      <c r="L24" s="76"/>
      <c r="PJ24" s="1" t="e">
        <v>#N/A</v>
      </c>
      <c r="PK24" s="1" t="e">
        <v>#N/A</v>
      </c>
      <c r="PL24" s="1" t="e">
        <v>#N/A</v>
      </c>
      <c r="PM24" s="1" t="e">
        <v>#N/A</v>
      </c>
      <c r="PN24" s="1" t="e">
        <v>#N/A</v>
      </c>
      <c r="PO24" s="1" t="e">
        <v>#N/A</v>
      </c>
      <c r="PP24" s="1" t="e">
        <v>#N/A</v>
      </c>
      <c r="PQ24" s="1" t="e">
        <v>#N/A</v>
      </c>
      <c r="PR24" s="1" t="e">
        <v>#N/A</v>
      </c>
      <c r="PS24" s="1" t="e">
        <v>#N/A</v>
      </c>
      <c r="PT24" s="1" t="e">
        <v>#N/A</v>
      </c>
      <c r="PU24" s="1" t="e">
        <v>#N/A</v>
      </c>
      <c r="PV24" s="1" t="e">
        <v>#N/A</v>
      </c>
      <c r="PW24" s="1" t="e">
        <v>#N/A</v>
      </c>
      <c r="PX24" s="1" t="e">
        <v>#N/A</v>
      </c>
      <c r="PY24" s="1" t="e">
        <v>#N/A</v>
      </c>
      <c r="PZ24" s="1" t="e">
        <v>#N/A</v>
      </c>
      <c r="QA24" s="1" t="e">
        <v>#N/A</v>
      </c>
      <c r="QB24" s="1" t="e">
        <v>#N/A</v>
      </c>
      <c r="QC24" s="1" t="e">
        <v>#N/A</v>
      </c>
      <c r="QD24" s="1" t="e">
        <v>#N/A</v>
      </c>
      <c r="QE24" s="1" t="e">
        <v>#N/A</v>
      </c>
      <c r="QF24" s="1" t="e">
        <v>#N/A</v>
      </c>
      <c r="QG24" s="1" t="e">
        <v>#N/A</v>
      </c>
      <c r="QH24" s="1" t="e">
        <v>#N/A</v>
      </c>
      <c r="QI24" s="1" t="e">
        <v>#N/A</v>
      </c>
      <c r="QJ24" s="1" t="e">
        <v>#N/A</v>
      </c>
      <c r="QK24" s="1" t="e">
        <v>#N/A</v>
      </c>
      <c r="QL24" s="1" t="e">
        <v>#N/A</v>
      </c>
      <c r="QM24" s="1" t="e">
        <v>#N/A</v>
      </c>
      <c r="QN24" s="1" t="e">
        <v>#N/A</v>
      </c>
      <c r="QO24" s="1" t="e">
        <v>#N/A</v>
      </c>
      <c r="QP24" s="1" t="e">
        <v>#N/A</v>
      </c>
    </row>
    <row r="25" spans="1:458" ht="26.25" x14ac:dyDescent="0.4">
      <c r="A25" s="347"/>
      <c r="B25" s="422"/>
      <c r="C25" s="423"/>
      <c r="D25" s="349"/>
      <c r="E25" s="350"/>
      <c r="F25" s="351"/>
      <c r="G25" s="352"/>
      <c r="H25" s="348"/>
      <c r="I25" s="353"/>
      <c r="J25" s="345">
        <v>714.07326803340243</v>
      </c>
      <c r="L25" s="76"/>
      <c r="PJ25" s="1" t="e">
        <v>#N/A</v>
      </c>
      <c r="PK25" s="1" t="e">
        <v>#N/A</v>
      </c>
      <c r="PL25" s="1" t="e">
        <v>#N/A</v>
      </c>
      <c r="PM25" s="1" t="e">
        <v>#N/A</v>
      </c>
      <c r="PN25" s="1" t="e">
        <v>#N/A</v>
      </c>
      <c r="PO25" s="1" t="e">
        <v>#N/A</v>
      </c>
      <c r="PP25" s="1" t="e">
        <v>#N/A</v>
      </c>
      <c r="PQ25" s="1" t="e">
        <v>#N/A</v>
      </c>
      <c r="PR25" s="1" t="e">
        <v>#N/A</v>
      </c>
      <c r="PS25" s="1" t="e">
        <v>#N/A</v>
      </c>
      <c r="PT25" s="1" t="e">
        <v>#N/A</v>
      </c>
      <c r="PU25" s="1" t="e">
        <v>#N/A</v>
      </c>
      <c r="PV25" s="1" t="e">
        <v>#N/A</v>
      </c>
      <c r="PW25" s="1" t="e">
        <v>#N/A</v>
      </c>
      <c r="PX25" s="1" t="e">
        <v>#N/A</v>
      </c>
      <c r="PY25" s="1" t="e">
        <v>#N/A</v>
      </c>
      <c r="PZ25" s="1" t="e">
        <v>#N/A</v>
      </c>
      <c r="QA25" s="1" t="e">
        <v>#N/A</v>
      </c>
      <c r="QB25" s="1" t="e">
        <v>#N/A</v>
      </c>
      <c r="QC25" s="1" t="e">
        <v>#N/A</v>
      </c>
      <c r="QD25" s="1" t="e">
        <v>#N/A</v>
      </c>
      <c r="QE25" s="1" t="e">
        <v>#N/A</v>
      </c>
      <c r="QF25" s="1" t="e">
        <v>#N/A</v>
      </c>
      <c r="QG25" s="1" t="e">
        <v>#N/A</v>
      </c>
      <c r="QH25" s="1" t="e">
        <v>#N/A</v>
      </c>
      <c r="QI25" s="1" t="e">
        <v>#N/A</v>
      </c>
      <c r="QJ25" s="1" t="e">
        <v>#N/A</v>
      </c>
      <c r="QK25" s="1" t="e">
        <v>#N/A</v>
      </c>
      <c r="QL25" s="1" t="e">
        <v>#N/A</v>
      </c>
      <c r="QM25" s="1" t="e">
        <v>#N/A</v>
      </c>
      <c r="QN25" s="1" t="e">
        <v>#N/A</v>
      </c>
      <c r="QO25" s="1" t="e">
        <v>#N/A</v>
      </c>
      <c r="QP25" s="1" t="e">
        <v>#N/A</v>
      </c>
    </row>
    <row r="26" spans="1:458" ht="26.25" x14ac:dyDescent="0.4">
      <c r="A26" s="427"/>
      <c r="B26" s="422"/>
      <c r="C26" s="423"/>
      <c r="D26" s="349"/>
      <c r="E26" s="350"/>
      <c r="F26" s="351"/>
      <c r="G26" s="352"/>
      <c r="H26" s="348"/>
      <c r="I26" s="353"/>
      <c r="J26" s="345" t="s">
        <v>73</v>
      </c>
      <c r="L26" s="76"/>
      <c r="PJ26" s="1" t="e">
        <v>#N/A</v>
      </c>
      <c r="PK26" s="1" t="e">
        <v>#N/A</v>
      </c>
      <c r="PL26" s="1" t="e">
        <v>#N/A</v>
      </c>
      <c r="PM26" s="1" t="e">
        <v>#N/A</v>
      </c>
      <c r="PN26" s="1" t="e">
        <v>#N/A</v>
      </c>
      <c r="PO26" s="1" t="e">
        <v>#N/A</v>
      </c>
      <c r="PP26" s="1" t="e">
        <v>#N/A</v>
      </c>
      <c r="PQ26" s="1" t="e">
        <v>#N/A</v>
      </c>
      <c r="PR26" s="1" t="e">
        <v>#N/A</v>
      </c>
      <c r="PS26" s="1" t="e">
        <v>#N/A</v>
      </c>
      <c r="PT26" s="1" t="e">
        <v>#N/A</v>
      </c>
      <c r="PU26" s="1" t="e">
        <v>#N/A</v>
      </c>
      <c r="PV26" s="1" t="e">
        <v>#N/A</v>
      </c>
      <c r="PW26" s="1" t="e">
        <v>#N/A</v>
      </c>
      <c r="PX26" s="1" t="e">
        <v>#N/A</v>
      </c>
      <c r="PY26" s="1" t="e">
        <v>#N/A</v>
      </c>
      <c r="PZ26" s="1" t="e">
        <v>#N/A</v>
      </c>
      <c r="QA26" s="1" t="e">
        <v>#N/A</v>
      </c>
      <c r="QB26" s="1" t="e">
        <v>#N/A</v>
      </c>
      <c r="QC26" s="1" t="e">
        <v>#N/A</v>
      </c>
      <c r="QD26" s="1" t="e">
        <v>#N/A</v>
      </c>
      <c r="QE26" s="1" t="e">
        <v>#N/A</v>
      </c>
      <c r="QF26" s="1" t="e">
        <v>#N/A</v>
      </c>
      <c r="QG26" s="1" t="e">
        <v>#N/A</v>
      </c>
      <c r="QH26" s="1" t="e">
        <v>#N/A</v>
      </c>
      <c r="QI26" s="1" t="e">
        <v>#N/A</v>
      </c>
      <c r="QJ26" s="1" t="e">
        <v>#N/A</v>
      </c>
      <c r="QK26" s="1" t="e">
        <v>#N/A</v>
      </c>
      <c r="QL26" s="1" t="e">
        <v>#N/A</v>
      </c>
      <c r="QM26" s="1" t="e">
        <v>#N/A</v>
      </c>
      <c r="QN26" s="1" t="e">
        <v>#N/A</v>
      </c>
      <c r="QO26" s="1" t="e">
        <v>#N/A</v>
      </c>
      <c r="QP26" s="1" t="e">
        <v>#N/A</v>
      </c>
    </row>
    <row r="27" spans="1:458" ht="26.25" x14ac:dyDescent="0.4">
      <c r="A27" s="427"/>
      <c r="B27" s="422"/>
      <c r="C27" s="423"/>
      <c r="D27" s="349"/>
      <c r="E27" s="350"/>
      <c r="F27" s="351"/>
      <c r="G27" s="352"/>
      <c r="H27" s="348"/>
      <c r="I27" s="353"/>
      <c r="J27" s="345" t="s">
        <v>73</v>
      </c>
      <c r="L27" s="76"/>
      <c r="PJ27" s="1" t="e">
        <v>#N/A</v>
      </c>
      <c r="PK27" s="1" t="e">
        <v>#N/A</v>
      </c>
      <c r="PL27" s="1" t="e">
        <v>#N/A</v>
      </c>
      <c r="PM27" s="1" t="e">
        <v>#N/A</v>
      </c>
      <c r="PN27" s="1" t="e">
        <v>#N/A</v>
      </c>
      <c r="PO27" s="1" t="e">
        <v>#N/A</v>
      </c>
      <c r="PP27" s="1" t="e">
        <v>#N/A</v>
      </c>
      <c r="PQ27" s="1" t="e">
        <v>#N/A</v>
      </c>
      <c r="PR27" s="1" t="e">
        <v>#N/A</v>
      </c>
      <c r="PS27" s="1" t="e">
        <v>#N/A</v>
      </c>
      <c r="PT27" s="1" t="e">
        <v>#N/A</v>
      </c>
      <c r="PU27" s="1" t="e">
        <v>#N/A</v>
      </c>
      <c r="PV27" s="1" t="e">
        <v>#N/A</v>
      </c>
      <c r="PW27" s="1" t="e">
        <v>#N/A</v>
      </c>
      <c r="PX27" s="1" t="e">
        <v>#N/A</v>
      </c>
      <c r="PY27" s="1" t="e">
        <v>#N/A</v>
      </c>
      <c r="PZ27" s="1" t="e">
        <v>#N/A</v>
      </c>
      <c r="QA27" s="1" t="e">
        <v>#N/A</v>
      </c>
      <c r="QB27" s="1" t="e">
        <v>#N/A</v>
      </c>
      <c r="QC27" s="1" t="e">
        <v>#N/A</v>
      </c>
      <c r="QD27" s="1" t="e">
        <v>#N/A</v>
      </c>
      <c r="QE27" s="1" t="e">
        <v>#N/A</v>
      </c>
      <c r="QF27" s="1" t="e">
        <v>#N/A</v>
      </c>
      <c r="QG27" s="1" t="e">
        <v>#N/A</v>
      </c>
      <c r="QH27" s="1" t="e">
        <v>#N/A</v>
      </c>
      <c r="QI27" s="1" t="e">
        <v>#N/A</v>
      </c>
      <c r="QJ27" s="1" t="e">
        <v>#N/A</v>
      </c>
      <c r="QK27" s="1" t="e">
        <v>#N/A</v>
      </c>
      <c r="QL27" s="1" t="e">
        <v>#N/A</v>
      </c>
      <c r="QM27" s="1" t="e">
        <v>#N/A</v>
      </c>
      <c r="QN27" s="1" t="e">
        <v>#N/A</v>
      </c>
      <c r="QO27" s="1" t="e">
        <v>#N/A</v>
      </c>
      <c r="QP27" s="1" t="e">
        <v>#N/A</v>
      </c>
    </row>
    <row r="28" spans="1:458" ht="26.25" x14ac:dyDescent="0.4">
      <c r="A28" s="347"/>
      <c r="B28" s="422"/>
      <c r="C28" s="423"/>
      <c r="D28" s="349"/>
      <c r="E28" s="350"/>
      <c r="F28" s="351"/>
      <c r="G28" s="352"/>
      <c r="H28" s="348"/>
      <c r="I28" s="353"/>
      <c r="J28" s="345">
        <v>820.5918092407336</v>
      </c>
      <c r="L28" s="76"/>
      <c r="PJ28" s="1" t="e">
        <v>#N/A</v>
      </c>
      <c r="PK28" s="1" t="e">
        <v>#N/A</v>
      </c>
      <c r="PL28" s="1" t="e">
        <v>#N/A</v>
      </c>
      <c r="PM28" s="1" t="e">
        <v>#N/A</v>
      </c>
      <c r="PN28" s="1" t="e">
        <v>#N/A</v>
      </c>
      <c r="PO28" s="1" t="e">
        <v>#N/A</v>
      </c>
      <c r="PP28" s="1" t="e">
        <v>#N/A</v>
      </c>
      <c r="PQ28" s="1" t="e">
        <v>#N/A</v>
      </c>
      <c r="PR28" s="1" t="e">
        <v>#N/A</v>
      </c>
      <c r="PS28" s="1" t="e">
        <v>#N/A</v>
      </c>
      <c r="PT28" s="1" t="e">
        <v>#N/A</v>
      </c>
      <c r="PU28" s="1" t="e">
        <v>#N/A</v>
      </c>
      <c r="PV28" s="1" t="e">
        <v>#N/A</v>
      </c>
      <c r="PW28" s="1" t="e">
        <v>#N/A</v>
      </c>
      <c r="PX28" s="1" t="e">
        <v>#N/A</v>
      </c>
      <c r="PY28" s="1" t="e">
        <v>#N/A</v>
      </c>
      <c r="PZ28" s="1" t="e">
        <v>#N/A</v>
      </c>
      <c r="QA28" s="1" t="e">
        <v>#N/A</v>
      </c>
      <c r="QB28" s="1" t="e">
        <v>#N/A</v>
      </c>
      <c r="QC28" s="1" t="e">
        <v>#N/A</v>
      </c>
      <c r="QD28" s="1" t="e">
        <v>#N/A</v>
      </c>
      <c r="QE28" s="1" t="e">
        <v>#N/A</v>
      </c>
      <c r="QF28" s="1" t="e">
        <v>#N/A</v>
      </c>
      <c r="QG28" s="1" t="e">
        <v>#N/A</v>
      </c>
      <c r="QH28" s="1" t="e">
        <v>#N/A</v>
      </c>
      <c r="QI28" s="1" t="e">
        <v>#N/A</v>
      </c>
      <c r="QJ28" s="1" t="e">
        <v>#N/A</v>
      </c>
      <c r="QK28" s="1" t="e">
        <v>#N/A</v>
      </c>
      <c r="QL28" s="1" t="e">
        <v>#N/A</v>
      </c>
      <c r="QM28" s="1" t="e">
        <v>#N/A</v>
      </c>
      <c r="QN28" s="1" t="e">
        <v>#N/A</v>
      </c>
      <c r="QO28" s="1" t="e">
        <v>#N/A</v>
      </c>
      <c r="QP28" s="1" t="e">
        <v>#N/A</v>
      </c>
    </row>
    <row r="29" spans="1:458" ht="26.25" x14ac:dyDescent="0.4">
      <c r="A29" s="347"/>
      <c r="B29" s="422"/>
      <c r="C29" s="423"/>
      <c r="D29" s="349"/>
      <c r="E29" s="350"/>
      <c r="F29" s="351"/>
      <c r="G29" s="352"/>
      <c r="H29" s="348"/>
      <c r="I29" s="353"/>
      <c r="J29" s="345" t="s">
        <v>73</v>
      </c>
      <c r="L29" s="76"/>
      <c r="PJ29" s="1" t="e">
        <v>#N/A</v>
      </c>
      <c r="PK29" s="1" t="e">
        <v>#N/A</v>
      </c>
      <c r="PL29" s="1" t="e">
        <v>#N/A</v>
      </c>
      <c r="PM29" s="1" t="e">
        <v>#N/A</v>
      </c>
      <c r="PN29" s="1" t="e">
        <v>#N/A</v>
      </c>
      <c r="PO29" s="1" t="e">
        <v>#N/A</v>
      </c>
      <c r="PP29" s="1" t="e">
        <v>#N/A</v>
      </c>
      <c r="PQ29" s="1" t="e">
        <v>#N/A</v>
      </c>
      <c r="PR29" s="1" t="e">
        <v>#N/A</v>
      </c>
      <c r="PS29" s="1" t="e">
        <v>#N/A</v>
      </c>
      <c r="PT29" s="1" t="e">
        <v>#N/A</v>
      </c>
      <c r="PU29" s="1" t="e">
        <v>#N/A</v>
      </c>
      <c r="PV29" s="1" t="e">
        <v>#N/A</v>
      </c>
      <c r="PW29" s="1" t="e">
        <v>#N/A</v>
      </c>
      <c r="PX29" s="1" t="e">
        <v>#N/A</v>
      </c>
      <c r="PY29" s="1" t="e">
        <v>#N/A</v>
      </c>
      <c r="PZ29" s="1" t="e">
        <v>#N/A</v>
      </c>
      <c r="QA29" s="1" t="e">
        <v>#N/A</v>
      </c>
      <c r="QB29" s="1" t="e">
        <v>#N/A</v>
      </c>
      <c r="QC29" s="1" t="e">
        <v>#N/A</v>
      </c>
      <c r="QD29" s="1" t="e">
        <v>#N/A</v>
      </c>
      <c r="QE29" s="1" t="e">
        <v>#N/A</v>
      </c>
      <c r="QF29" s="1" t="e">
        <v>#N/A</v>
      </c>
      <c r="QG29" s="1" t="e">
        <v>#N/A</v>
      </c>
      <c r="QH29" s="1" t="e">
        <v>#N/A</v>
      </c>
      <c r="QI29" s="1" t="e">
        <v>#N/A</v>
      </c>
      <c r="QJ29" s="1" t="e">
        <v>#N/A</v>
      </c>
      <c r="QK29" s="1" t="e">
        <v>#N/A</v>
      </c>
      <c r="QL29" s="1" t="e">
        <v>#N/A</v>
      </c>
      <c r="QM29" s="1" t="e">
        <v>#N/A</v>
      </c>
      <c r="QN29" s="1" t="e">
        <v>#N/A</v>
      </c>
      <c r="QO29" s="1" t="e">
        <v>#N/A</v>
      </c>
      <c r="QP29" s="1" t="e">
        <v>#N/A</v>
      </c>
    </row>
    <row r="30" spans="1:458" ht="26.25" x14ac:dyDescent="0.4">
      <c r="A30" s="347"/>
      <c r="B30" s="422"/>
      <c r="C30" s="423"/>
      <c r="D30" s="349"/>
      <c r="E30" s="350"/>
      <c r="F30" s="351"/>
      <c r="G30" s="352"/>
      <c r="H30" s="348"/>
      <c r="I30" s="353"/>
      <c r="J30" s="345" t="s">
        <v>73</v>
      </c>
      <c r="L30" s="76"/>
      <c r="PJ30" s="1" t="e">
        <v>#N/A</v>
      </c>
      <c r="PK30" s="1" t="e">
        <v>#N/A</v>
      </c>
      <c r="PL30" s="1" t="e">
        <v>#N/A</v>
      </c>
      <c r="PM30" s="1" t="e">
        <v>#N/A</v>
      </c>
      <c r="PN30" s="1" t="e">
        <v>#N/A</v>
      </c>
      <c r="PO30" s="1" t="e">
        <v>#N/A</v>
      </c>
      <c r="PP30" s="1" t="e">
        <v>#N/A</v>
      </c>
      <c r="PQ30" s="1" t="e">
        <v>#N/A</v>
      </c>
      <c r="PR30" s="1" t="e">
        <v>#N/A</v>
      </c>
      <c r="PS30" s="1" t="e">
        <v>#N/A</v>
      </c>
      <c r="PT30" s="1" t="e">
        <v>#N/A</v>
      </c>
      <c r="PU30" s="1" t="e">
        <v>#N/A</v>
      </c>
      <c r="PV30" s="1" t="e">
        <v>#N/A</v>
      </c>
      <c r="PW30" s="1" t="e">
        <v>#N/A</v>
      </c>
      <c r="PX30" s="1" t="e">
        <v>#N/A</v>
      </c>
      <c r="PY30" s="1" t="e">
        <v>#N/A</v>
      </c>
      <c r="PZ30" s="1" t="e">
        <v>#N/A</v>
      </c>
      <c r="QA30" s="1" t="e">
        <v>#N/A</v>
      </c>
      <c r="QB30" s="1" t="e">
        <v>#N/A</v>
      </c>
      <c r="QC30" s="1" t="e">
        <v>#N/A</v>
      </c>
      <c r="QD30" s="1" t="e">
        <v>#N/A</v>
      </c>
      <c r="QE30" s="1" t="e">
        <v>#N/A</v>
      </c>
      <c r="QF30" s="1" t="e">
        <v>#N/A</v>
      </c>
      <c r="QG30" s="1" t="e">
        <v>#N/A</v>
      </c>
      <c r="QH30" s="1" t="e">
        <v>#N/A</v>
      </c>
      <c r="QI30" s="1" t="e">
        <v>#N/A</v>
      </c>
      <c r="QJ30" s="1" t="e">
        <v>#N/A</v>
      </c>
      <c r="QK30" s="1" t="e">
        <v>#N/A</v>
      </c>
      <c r="QL30" s="1" t="e">
        <v>#N/A</v>
      </c>
      <c r="QM30" s="1" t="e">
        <v>#N/A</v>
      </c>
      <c r="QN30" s="1" t="e">
        <v>#N/A</v>
      </c>
      <c r="QO30" s="1" t="e">
        <v>#N/A</v>
      </c>
      <c r="QP30" s="1" t="e">
        <v>#N/A</v>
      </c>
    </row>
    <row r="31" spans="1:458" ht="26.25" x14ac:dyDescent="0.4">
      <c r="A31" s="347"/>
      <c r="B31" s="422"/>
      <c r="C31" s="423"/>
      <c r="D31" s="349"/>
      <c r="E31" s="350"/>
      <c r="F31" s="351"/>
      <c r="G31" s="352"/>
      <c r="H31" s="348"/>
      <c r="I31" s="353"/>
      <c r="J31" s="345">
        <v>1155.5195355073763</v>
      </c>
      <c r="L31" s="76"/>
      <c r="PJ31" s="1" t="e">
        <v>#N/A</v>
      </c>
      <c r="PK31" s="1" t="e">
        <v>#N/A</v>
      </c>
      <c r="PL31" s="1" t="e">
        <v>#N/A</v>
      </c>
      <c r="PM31" s="1" t="e">
        <v>#N/A</v>
      </c>
      <c r="PN31" s="1" t="e">
        <v>#N/A</v>
      </c>
      <c r="PO31" s="1" t="e">
        <v>#N/A</v>
      </c>
      <c r="PP31" s="1" t="e">
        <v>#N/A</v>
      </c>
      <c r="PQ31" s="1" t="e">
        <v>#N/A</v>
      </c>
      <c r="PR31" s="1" t="e">
        <v>#N/A</v>
      </c>
      <c r="PS31" s="1" t="e">
        <v>#N/A</v>
      </c>
      <c r="PT31" s="1" t="e">
        <v>#N/A</v>
      </c>
      <c r="PU31" s="1" t="e">
        <v>#N/A</v>
      </c>
      <c r="PV31" s="1" t="e">
        <v>#N/A</v>
      </c>
      <c r="PW31" s="1" t="e">
        <v>#N/A</v>
      </c>
      <c r="PX31" s="1" t="e">
        <v>#N/A</v>
      </c>
      <c r="PY31" s="1" t="e">
        <v>#N/A</v>
      </c>
      <c r="PZ31" s="1" t="e">
        <v>#N/A</v>
      </c>
      <c r="QA31" s="1" t="e">
        <v>#N/A</v>
      </c>
      <c r="QB31" s="1" t="e">
        <v>#N/A</v>
      </c>
      <c r="QC31" s="1" t="e">
        <v>#N/A</v>
      </c>
      <c r="QD31" s="1" t="e">
        <v>#N/A</v>
      </c>
      <c r="QE31" s="1" t="e">
        <v>#N/A</v>
      </c>
      <c r="QF31" s="1" t="e">
        <v>#N/A</v>
      </c>
      <c r="QG31" s="1" t="e">
        <v>#N/A</v>
      </c>
      <c r="QH31" s="1" t="e">
        <v>#N/A</v>
      </c>
      <c r="QI31" s="1" t="e">
        <v>#N/A</v>
      </c>
      <c r="QJ31" s="1" t="e">
        <v>#N/A</v>
      </c>
      <c r="QK31" s="1" t="e">
        <v>#N/A</v>
      </c>
      <c r="QL31" s="1" t="e">
        <v>#N/A</v>
      </c>
      <c r="QM31" s="1" t="e">
        <v>#N/A</v>
      </c>
      <c r="QN31" s="1" t="e">
        <v>#N/A</v>
      </c>
      <c r="QO31" s="1" t="e">
        <v>#N/A</v>
      </c>
      <c r="QP31" s="1" t="e">
        <v>#N/A</v>
      </c>
    </row>
    <row r="32" spans="1:458" ht="26.25" x14ac:dyDescent="0.4">
      <c r="A32" s="347"/>
      <c r="B32" s="422"/>
      <c r="C32" s="423"/>
      <c r="D32" s="349"/>
      <c r="E32" s="350"/>
      <c r="F32" s="351"/>
      <c r="G32" s="352"/>
      <c r="H32" s="348"/>
      <c r="I32" s="353"/>
      <c r="J32" s="345"/>
      <c r="L32" s="76"/>
      <c r="PJ32" s="1" t="e">
        <v>#N/A</v>
      </c>
      <c r="PK32" s="1" t="e">
        <v>#N/A</v>
      </c>
      <c r="PL32" s="1" t="e">
        <v>#N/A</v>
      </c>
      <c r="PM32" s="1" t="e">
        <v>#N/A</v>
      </c>
      <c r="PN32" s="1" t="e">
        <v>#N/A</v>
      </c>
      <c r="PO32" s="1" t="e">
        <v>#N/A</v>
      </c>
      <c r="PP32" s="1" t="e">
        <v>#N/A</v>
      </c>
      <c r="PQ32" s="1" t="e">
        <v>#N/A</v>
      </c>
      <c r="PR32" s="1" t="e">
        <v>#N/A</v>
      </c>
      <c r="PS32" s="1" t="e">
        <v>#N/A</v>
      </c>
      <c r="PT32" s="1" t="e">
        <v>#N/A</v>
      </c>
      <c r="PU32" s="1" t="e">
        <v>#N/A</v>
      </c>
      <c r="PV32" s="1" t="e">
        <v>#N/A</v>
      </c>
      <c r="PW32" s="1" t="e">
        <v>#N/A</v>
      </c>
      <c r="PX32" s="1" t="e">
        <v>#N/A</v>
      </c>
      <c r="PY32" s="1" t="e">
        <v>#N/A</v>
      </c>
      <c r="PZ32" s="1" t="e">
        <v>#N/A</v>
      </c>
      <c r="QA32" s="1" t="e">
        <v>#N/A</v>
      </c>
      <c r="QB32" s="1" t="e">
        <v>#N/A</v>
      </c>
      <c r="QC32" s="1" t="e">
        <v>#N/A</v>
      </c>
      <c r="QD32" s="1" t="e">
        <v>#N/A</v>
      </c>
      <c r="QE32" s="1" t="e">
        <v>#N/A</v>
      </c>
      <c r="QF32" s="1" t="e">
        <v>#N/A</v>
      </c>
      <c r="QG32" s="1" t="e">
        <v>#N/A</v>
      </c>
      <c r="QH32" s="1" t="e">
        <v>#N/A</v>
      </c>
      <c r="QI32" s="1" t="e">
        <v>#N/A</v>
      </c>
      <c r="QJ32" s="1" t="e">
        <v>#N/A</v>
      </c>
      <c r="QK32" s="1" t="e">
        <v>#N/A</v>
      </c>
      <c r="QL32" s="1" t="e">
        <v>#N/A</v>
      </c>
      <c r="QM32" s="1" t="e">
        <v>#N/A</v>
      </c>
      <c r="QN32" s="1" t="e">
        <v>#N/A</v>
      </c>
      <c r="QO32" s="1" t="e">
        <v>#N/A</v>
      </c>
      <c r="QP32" s="1" t="e">
        <v>#N/A</v>
      </c>
    </row>
    <row r="33" spans="1:458" ht="26.25" x14ac:dyDescent="0.4">
      <c r="A33" s="347"/>
      <c r="B33" s="422"/>
      <c r="C33" s="423"/>
      <c r="D33" s="349"/>
      <c r="E33" s="350"/>
      <c r="F33" s="351"/>
      <c r="G33" s="352"/>
      <c r="H33" s="348"/>
      <c r="I33" s="353"/>
      <c r="J33" s="345"/>
      <c r="L33" s="76"/>
      <c r="PJ33" s="1" t="e">
        <v>#N/A</v>
      </c>
      <c r="PK33" s="1" t="e">
        <v>#N/A</v>
      </c>
      <c r="PL33" s="1" t="e">
        <v>#N/A</v>
      </c>
      <c r="PM33" s="1" t="e">
        <v>#N/A</v>
      </c>
      <c r="PN33" s="1" t="e">
        <v>#N/A</v>
      </c>
      <c r="PO33" s="1" t="e">
        <v>#N/A</v>
      </c>
      <c r="PP33" s="1" t="e">
        <v>#N/A</v>
      </c>
      <c r="PQ33" s="1" t="e">
        <v>#N/A</v>
      </c>
      <c r="PR33" s="1" t="e">
        <v>#N/A</v>
      </c>
      <c r="PS33" s="1" t="e">
        <v>#N/A</v>
      </c>
      <c r="PT33" s="1" t="e">
        <v>#N/A</v>
      </c>
      <c r="PU33" s="1" t="e">
        <v>#N/A</v>
      </c>
      <c r="PV33" s="1" t="e">
        <v>#N/A</v>
      </c>
      <c r="PW33" s="1" t="e">
        <v>#N/A</v>
      </c>
      <c r="PX33" s="1" t="e">
        <v>#N/A</v>
      </c>
      <c r="PY33" s="1" t="e">
        <v>#N/A</v>
      </c>
      <c r="PZ33" s="1" t="e">
        <v>#N/A</v>
      </c>
      <c r="QA33" s="1" t="e">
        <v>#N/A</v>
      </c>
      <c r="QB33" s="1" t="e">
        <v>#N/A</v>
      </c>
      <c r="QC33" s="1" t="e">
        <v>#N/A</v>
      </c>
      <c r="QD33" s="1" t="e">
        <v>#N/A</v>
      </c>
      <c r="QE33" s="1" t="e">
        <v>#N/A</v>
      </c>
      <c r="QF33" s="1" t="e">
        <v>#N/A</v>
      </c>
      <c r="QG33" s="1" t="e">
        <v>#N/A</v>
      </c>
      <c r="QH33" s="1" t="e">
        <v>#N/A</v>
      </c>
      <c r="QI33" s="1" t="e">
        <v>#N/A</v>
      </c>
      <c r="QJ33" s="1" t="e">
        <v>#N/A</v>
      </c>
      <c r="QK33" s="1" t="e">
        <v>#N/A</v>
      </c>
      <c r="QL33" s="1" t="e">
        <v>#N/A</v>
      </c>
      <c r="QM33" s="1" t="e">
        <v>#N/A</v>
      </c>
      <c r="QN33" s="1" t="e">
        <v>#N/A</v>
      </c>
      <c r="QO33" s="1" t="e">
        <v>#N/A</v>
      </c>
      <c r="QP33" s="1" t="e">
        <v>#N/A</v>
      </c>
    </row>
    <row r="34" spans="1:458" ht="26.25" x14ac:dyDescent="0.4">
      <c r="A34" s="347"/>
      <c r="B34" s="422"/>
      <c r="C34" s="423"/>
      <c r="D34" s="349"/>
      <c r="E34" s="350"/>
      <c r="F34" s="351"/>
      <c r="G34" s="352"/>
      <c r="H34" s="348"/>
      <c r="I34" s="353"/>
      <c r="J34" s="345"/>
      <c r="L34" s="76"/>
      <c r="PJ34" s="1" t="e">
        <v>#N/A</v>
      </c>
      <c r="PK34" s="1" t="e">
        <v>#N/A</v>
      </c>
      <c r="PL34" s="1" t="e">
        <v>#N/A</v>
      </c>
      <c r="PM34" s="1" t="e">
        <v>#N/A</v>
      </c>
      <c r="PN34" s="1" t="e">
        <v>#N/A</v>
      </c>
      <c r="PO34" s="1" t="e">
        <v>#N/A</v>
      </c>
      <c r="PP34" s="1" t="e">
        <v>#N/A</v>
      </c>
      <c r="PQ34" s="1" t="e">
        <v>#N/A</v>
      </c>
      <c r="PR34" s="1" t="e">
        <v>#N/A</v>
      </c>
      <c r="PS34" s="1" t="e">
        <v>#N/A</v>
      </c>
      <c r="PT34" s="1" t="e">
        <v>#N/A</v>
      </c>
      <c r="PU34" s="1" t="e">
        <v>#N/A</v>
      </c>
      <c r="PV34" s="1" t="e">
        <v>#N/A</v>
      </c>
      <c r="PW34" s="1" t="e">
        <v>#N/A</v>
      </c>
      <c r="PX34" s="1" t="e">
        <v>#N/A</v>
      </c>
      <c r="PY34" s="1" t="e">
        <v>#N/A</v>
      </c>
      <c r="PZ34" s="1" t="e">
        <v>#N/A</v>
      </c>
      <c r="QA34" s="1" t="e">
        <v>#N/A</v>
      </c>
      <c r="QB34" s="1" t="e">
        <v>#N/A</v>
      </c>
      <c r="QC34" s="1" t="e">
        <v>#N/A</v>
      </c>
      <c r="QD34" s="1" t="e">
        <v>#N/A</v>
      </c>
      <c r="QE34" s="1" t="e">
        <v>#N/A</v>
      </c>
      <c r="QF34" s="1" t="e">
        <v>#N/A</v>
      </c>
      <c r="QG34" s="1" t="e">
        <v>#N/A</v>
      </c>
      <c r="QH34" s="1" t="e">
        <v>#N/A</v>
      </c>
      <c r="QI34" s="1" t="e">
        <v>#N/A</v>
      </c>
      <c r="QJ34" s="1" t="e">
        <v>#N/A</v>
      </c>
      <c r="QK34" s="1" t="e">
        <v>#N/A</v>
      </c>
      <c r="QL34" s="1" t="e">
        <v>#N/A</v>
      </c>
      <c r="QM34" s="1" t="e">
        <v>#N/A</v>
      </c>
      <c r="QN34" s="1" t="e">
        <v>#N/A</v>
      </c>
      <c r="QO34" s="1" t="e">
        <v>#N/A</v>
      </c>
      <c r="QP34" s="1" t="e">
        <v>#N/A</v>
      </c>
    </row>
    <row r="35" spans="1:458" ht="26.25" x14ac:dyDescent="0.4">
      <c r="A35" s="347"/>
      <c r="B35" s="422"/>
      <c r="C35" s="423"/>
      <c r="D35" s="349"/>
      <c r="E35" s="350"/>
      <c r="F35" s="351"/>
      <c r="G35" s="352"/>
      <c r="H35" s="348"/>
      <c r="I35" s="353"/>
      <c r="J35" s="345"/>
      <c r="L35" s="76"/>
      <c r="PJ35" s="1" t="e">
        <v>#N/A</v>
      </c>
      <c r="PK35" s="1" t="e">
        <v>#N/A</v>
      </c>
      <c r="PL35" s="1" t="e">
        <v>#N/A</v>
      </c>
      <c r="PM35" s="1" t="e">
        <v>#N/A</v>
      </c>
      <c r="PN35" s="1" t="e">
        <v>#N/A</v>
      </c>
      <c r="PO35" s="1" t="e">
        <v>#N/A</v>
      </c>
      <c r="PP35" s="1" t="e">
        <v>#N/A</v>
      </c>
      <c r="PQ35" s="1" t="e">
        <v>#N/A</v>
      </c>
      <c r="PR35" s="1" t="e">
        <v>#N/A</v>
      </c>
      <c r="PS35" s="1" t="e">
        <v>#N/A</v>
      </c>
      <c r="PT35" s="1" t="e">
        <v>#N/A</v>
      </c>
      <c r="PU35" s="1" t="e">
        <v>#N/A</v>
      </c>
      <c r="PV35" s="1" t="e">
        <v>#N/A</v>
      </c>
      <c r="PW35" s="1" t="e">
        <v>#N/A</v>
      </c>
      <c r="PX35" s="1" t="e">
        <v>#N/A</v>
      </c>
      <c r="PY35" s="1" t="e">
        <v>#N/A</v>
      </c>
      <c r="PZ35" s="1" t="e">
        <v>#N/A</v>
      </c>
      <c r="QA35" s="1" t="e">
        <v>#N/A</v>
      </c>
      <c r="QB35" s="1" t="e">
        <v>#N/A</v>
      </c>
      <c r="QC35" s="1" t="e">
        <v>#N/A</v>
      </c>
      <c r="QD35" s="1" t="e">
        <v>#N/A</v>
      </c>
      <c r="QE35" s="1" t="e">
        <v>#N/A</v>
      </c>
      <c r="QF35" s="1" t="e">
        <v>#N/A</v>
      </c>
      <c r="QG35" s="1" t="e">
        <v>#N/A</v>
      </c>
      <c r="QH35" s="1" t="e">
        <v>#N/A</v>
      </c>
      <c r="QI35" s="1" t="e">
        <v>#N/A</v>
      </c>
      <c r="QJ35" s="1" t="e">
        <v>#N/A</v>
      </c>
      <c r="QK35" s="1" t="e">
        <v>#N/A</v>
      </c>
      <c r="QL35" s="1" t="e">
        <v>#N/A</v>
      </c>
      <c r="QM35" s="1" t="e">
        <v>#N/A</v>
      </c>
      <c r="QN35" s="1" t="e">
        <v>#N/A</v>
      </c>
      <c r="QO35" s="1" t="e">
        <v>#N/A</v>
      </c>
      <c r="QP35" s="1" t="e">
        <v>#N/A</v>
      </c>
    </row>
    <row r="36" spans="1:458" ht="26.25" x14ac:dyDescent="0.4">
      <c r="A36" s="347"/>
      <c r="B36" s="422"/>
      <c r="C36" s="423"/>
      <c r="D36" s="349"/>
      <c r="E36" s="350"/>
      <c r="F36" s="351"/>
      <c r="G36" s="352"/>
      <c r="H36" s="348"/>
      <c r="I36" s="353"/>
      <c r="J36" s="345"/>
      <c r="L36" s="76"/>
      <c r="PJ36" s="1" t="e">
        <v>#N/A</v>
      </c>
      <c r="PK36" s="1" t="e">
        <v>#N/A</v>
      </c>
      <c r="PL36" s="1" t="e">
        <v>#N/A</v>
      </c>
      <c r="PM36" s="1" t="e">
        <v>#N/A</v>
      </c>
      <c r="PN36" s="1" t="e">
        <v>#N/A</v>
      </c>
      <c r="PO36" s="1" t="e">
        <v>#N/A</v>
      </c>
      <c r="PP36" s="1" t="e">
        <v>#N/A</v>
      </c>
      <c r="PQ36" s="1" t="e">
        <v>#N/A</v>
      </c>
      <c r="PR36" s="1" t="e">
        <v>#N/A</v>
      </c>
      <c r="PS36" s="1" t="e">
        <v>#N/A</v>
      </c>
      <c r="PT36" s="1" t="e">
        <v>#N/A</v>
      </c>
      <c r="PU36" s="1" t="e">
        <v>#N/A</v>
      </c>
      <c r="PV36" s="1" t="e">
        <v>#N/A</v>
      </c>
      <c r="PW36" s="1" t="e">
        <v>#N/A</v>
      </c>
      <c r="PX36" s="1" t="e">
        <v>#N/A</v>
      </c>
      <c r="PY36" s="1" t="e">
        <v>#N/A</v>
      </c>
      <c r="PZ36" s="1" t="e">
        <v>#N/A</v>
      </c>
      <c r="QA36" s="1" t="e">
        <v>#N/A</v>
      </c>
      <c r="QB36" s="1" t="e">
        <v>#N/A</v>
      </c>
      <c r="QC36" s="1" t="e">
        <v>#N/A</v>
      </c>
      <c r="QD36" s="1" t="e">
        <v>#N/A</v>
      </c>
      <c r="QE36" s="1" t="e">
        <v>#N/A</v>
      </c>
      <c r="QF36" s="1" t="e">
        <v>#N/A</v>
      </c>
      <c r="QG36" s="1" t="e">
        <v>#N/A</v>
      </c>
      <c r="QH36" s="1" t="e">
        <v>#N/A</v>
      </c>
      <c r="QI36" s="1" t="e">
        <v>#N/A</v>
      </c>
      <c r="QJ36" s="1" t="e">
        <v>#N/A</v>
      </c>
      <c r="QK36" s="1" t="e">
        <v>#N/A</v>
      </c>
      <c r="QL36" s="1" t="e">
        <v>#N/A</v>
      </c>
      <c r="QM36" s="1" t="e">
        <v>#N/A</v>
      </c>
      <c r="QN36" s="1" t="e">
        <v>#N/A</v>
      </c>
      <c r="QO36" s="1" t="e">
        <v>#N/A</v>
      </c>
      <c r="QP36" s="1" t="e">
        <v>#N/A</v>
      </c>
    </row>
    <row r="37" spans="1:458" ht="26.25" x14ac:dyDescent="0.4">
      <c r="A37" s="347"/>
      <c r="B37" s="422"/>
      <c r="C37" s="423"/>
      <c r="D37" s="349"/>
      <c r="E37" s="350"/>
      <c r="F37" s="351"/>
      <c r="G37" s="352"/>
      <c r="H37" s="348"/>
      <c r="I37" s="353"/>
      <c r="J37" s="345">
        <v>23.98068882835906</v>
      </c>
      <c r="L37" s="76"/>
      <c r="PJ37" s="1" t="e">
        <v>#N/A</v>
      </c>
      <c r="PK37" s="1" t="e">
        <v>#N/A</v>
      </c>
      <c r="PL37" s="1" t="e">
        <v>#N/A</v>
      </c>
      <c r="PM37" s="1" t="e">
        <v>#N/A</v>
      </c>
      <c r="PN37" s="1" t="e">
        <v>#N/A</v>
      </c>
      <c r="PO37" s="1" t="e">
        <v>#N/A</v>
      </c>
      <c r="PP37" s="1" t="e">
        <v>#N/A</v>
      </c>
      <c r="PQ37" s="1" t="e">
        <v>#N/A</v>
      </c>
      <c r="PR37" s="1" t="e">
        <v>#N/A</v>
      </c>
      <c r="PS37" s="1" t="e">
        <v>#N/A</v>
      </c>
      <c r="PT37" s="1" t="e">
        <v>#N/A</v>
      </c>
      <c r="PU37" s="1" t="e">
        <v>#N/A</v>
      </c>
      <c r="PV37" s="1" t="e">
        <v>#N/A</v>
      </c>
      <c r="PW37" s="1" t="e">
        <v>#N/A</v>
      </c>
      <c r="PX37" s="1" t="e">
        <v>#N/A</v>
      </c>
      <c r="PY37" s="1" t="e">
        <v>#N/A</v>
      </c>
      <c r="PZ37" s="1" t="e">
        <v>#N/A</v>
      </c>
      <c r="QA37" s="1" t="e">
        <v>#N/A</v>
      </c>
      <c r="QB37" s="1" t="e">
        <v>#N/A</v>
      </c>
      <c r="QC37" s="1" t="e">
        <v>#N/A</v>
      </c>
      <c r="QD37" s="1" t="e">
        <v>#N/A</v>
      </c>
      <c r="QE37" s="1" t="e">
        <v>#N/A</v>
      </c>
      <c r="QF37" s="1" t="e">
        <v>#N/A</v>
      </c>
      <c r="QG37" s="1" t="e">
        <v>#N/A</v>
      </c>
      <c r="QH37" s="1" t="e">
        <v>#N/A</v>
      </c>
      <c r="QI37" s="1" t="e">
        <v>#N/A</v>
      </c>
      <c r="QJ37" s="1" t="e">
        <v>#N/A</v>
      </c>
      <c r="QK37" s="1" t="e">
        <v>#N/A</v>
      </c>
      <c r="QL37" s="1" t="e">
        <v>#N/A</v>
      </c>
      <c r="QM37" s="1" t="e">
        <v>#N/A</v>
      </c>
      <c r="QN37" s="1" t="e">
        <v>#N/A</v>
      </c>
      <c r="QO37" s="1" t="e">
        <v>#N/A</v>
      </c>
      <c r="QP37" s="1" t="e">
        <v>#N/A</v>
      </c>
    </row>
    <row r="38" spans="1:458" ht="26.25" x14ac:dyDescent="0.4">
      <c r="A38" s="347"/>
      <c r="B38" s="422"/>
      <c r="C38" s="423"/>
      <c r="D38" s="349"/>
      <c r="E38" s="350"/>
      <c r="F38" s="351"/>
      <c r="G38" s="352"/>
      <c r="H38" s="348"/>
      <c r="I38" s="353"/>
      <c r="J38" s="345"/>
      <c r="L38" s="76"/>
      <c r="PJ38" s="1" t="e">
        <v>#N/A</v>
      </c>
      <c r="PK38" s="1" t="e">
        <v>#N/A</v>
      </c>
      <c r="PL38" s="1" t="e">
        <v>#N/A</v>
      </c>
      <c r="PM38" s="1" t="e">
        <v>#N/A</v>
      </c>
      <c r="PN38" s="1" t="e">
        <v>#N/A</v>
      </c>
      <c r="PO38" s="1" t="e">
        <v>#N/A</v>
      </c>
      <c r="PP38" s="1" t="e">
        <v>#N/A</v>
      </c>
      <c r="PQ38" s="1" t="e">
        <v>#N/A</v>
      </c>
      <c r="PR38" s="1" t="e">
        <v>#N/A</v>
      </c>
      <c r="PS38" s="1" t="e">
        <v>#N/A</v>
      </c>
      <c r="PT38" s="1" t="e">
        <v>#N/A</v>
      </c>
      <c r="PU38" s="1" t="e">
        <v>#N/A</v>
      </c>
      <c r="PV38" s="1" t="e">
        <v>#N/A</v>
      </c>
      <c r="PW38" s="1" t="e">
        <v>#N/A</v>
      </c>
      <c r="PX38" s="1" t="e">
        <v>#N/A</v>
      </c>
      <c r="PY38" s="1" t="e">
        <v>#N/A</v>
      </c>
      <c r="PZ38" s="1" t="e">
        <v>#N/A</v>
      </c>
      <c r="QA38" s="1" t="e">
        <v>#N/A</v>
      </c>
      <c r="QB38" s="1" t="e">
        <v>#N/A</v>
      </c>
      <c r="QC38" s="1" t="e">
        <v>#N/A</v>
      </c>
      <c r="QD38" s="1" t="e">
        <v>#N/A</v>
      </c>
      <c r="QE38" s="1" t="e">
        <v>#N/A</v>
      </c>
      <c r="QF38" s="1" t="e">
        <v>#N/A</v>
      </c>
      <c r="QG38" s="1" t="e">
        <v>#N/A</v>
      </c>
      <c r="QH38" s="1" t="e">
        <v>#N/A</v>
      </c>
      <c r="QI38" s="1" t="e">
        <v>#N/A</v>
      </c>
      <c r="QJ38" s="1" t="e">
        <v>#N/A</v>
      </c>
      <c r="QK38" s="1" t="e">
        <v>#N/A</v>
      </c>
      <c r="QL38" s="1" t="e">
        <v>#N/A</v>
      </c>
      <c r="QM38" s="1" t="e">
        <v>#N/A</v>
      </c>
      <c r="QN38" s="1" t="e">
        <v>#N/A</v>
      </c>
      <c r="QO38" s="1" t="e">
        <v>#N/A</v>
      </c>
      <c r="QP38" s="1" t="e">
        <v>#N/A</v>
      </c>
    </row>
    <row r="39" spans="1:458" ht="26.25" x14ac:dyDescent="0.4">
      <c r="A39" s="347"/>
      <c r="B39" s="422"/>
      <c r="C39" s="423"/>
      <c r="D39" s="349"/>
      <c r="E39" s="350"/>
      <c r="F39" s="351"/>
      <c r="G39" s="352"/>
      <c r="H39" s="348"/>
      <c r="I39" s="353"/>
      <c r="J39" s="345"/>
      <c r="L39" s="76"/>
      <c r="PJ39" s="1" t="e">
        <v>#N/A</v>
      </c>
      <c r="PK39" s="1" t="e">
        <v>#N/A</v>
      </c>
      <c r="PL39" s="1" t="e">
        <v>#N/A</v>
      </c>
      <c r="PM39" s="1" t="e">
        <v>#N/A</v>
      </c>
      <c r="PN39" s="1" t="e">
        <v>#N/A</v>
      </c>
      <c r="PO39" s="1" t="e">
        <v>#N/A</v>
      </c>
      <c r="PP39" s="1" t="e">
        <v>#N/A</v>
      </c>
      <c r="PQ39" s="1" t="e">
        <v>#N/A</v>
      </c>
      <c r="PR39" s="1" t="e">
        <v>#N/A</v>
      </c>
      <c r="PS39" s="1" t="e">
        <v>#N/A</v>
      </c>
      <c r="PT39" s="1" t="e">
        <v>#N/A</v>
      </c>
      <c r="PU39" s="1" t="e">
        <v>#N/A</v>
      </c>
      <c r="PV39" s="1" t="e">
        <v>#N/A</v>
      </c>
      <c r="PW39" s="1" t="e">
        <v>#N/A</v>
      </c>
      <c r="PX39" s="1" t="e">
        <v>#N/A</v>
      </c>
      <c r="PY39" s="1" t="e">
        <v>#N/A</v>
      </c>
      <c r="PZ39" s="1" t="e">
        <v>#N/A</v>
      </c>
      <c r="QA39" s="1" t="e">
        <v>#N/A</v>
      </c>
      <c r="QB39" s="1" t="e">
        <v>#N/A</v>
      </c>
      <c r="QC39" s="1" t="e">
        <v>#N/A</v>
      </c>
      <c r="QD39" s="1" t="e">
        <v>#N/A</v>
      </c>
      <c r="QE39" s="1" t="e">
        <v>#N/A</v>
      </c>
      <c r="QF39" s="1" t="e">
        <v>#N/A</v>
      </c>
      <c r="QG39" s="1" t="e">
        <v>#N/A</v>
      </c>
      <c r="QH39" s="1" t="e">
        <v>#N/A</v>
      </c>
      <c r="QI39" s="1" t="e">
        <v>#N/A</v>
      </c>
      <c r="QJ39" s="1" t="e">
        <v>#N/A</v>
      </c>
      <c r="QK39" s="1" t="e">
        <v>#N/A</v>
      </c>
      <c r="QL39" s="1" t="e">
        <v>#N/A</v>
      </c>
      <c r="QM39" s="1" t="e">
        <v>#N/A</v>
      </c>
      <c r="QN39" s="1" t="e">
        <v>#N/A</v>
      </c>
      <c r="QO39" s="1" t="e">
        <v>#N/A</v>
      </c>
      <c r="QP39" s="1" t="e">
        <v>#N/A</v>
      </c>
    </row>
    <row r="40" spans="1:458" ht="26.25" x14ac:dyDescent="0.4">
      <c r="A40" s="347"/>
      <c r="B40" s="422"/>
      <c r="C40" s="423"/>
      <c r="D40" s="349"/>
      <c r="E40" s="350"/>
      <c r="F40" s="351"/>
      <c r="G40" s="352"/>
      <c r="H40" s="348"/>
      <c r="I40" s="353"/>
      <c r="J40" s="345">
        <v>49.466874797278166</v>
      </c>
      <c r="L40" s="76"/>
      <c r="PJ40" s="1" t="e">
        <v>#N/A</v>
      </c>
      <c r="PK40" s="1" t="e">
        <v>#N/A</v>
      </c>
      <c r="PL40" s="1" t="e">
        <v>#N/A</v>
      </c>
      <c r="PM40" s="1" t="e">
        <v>#N/A</v>
      </c>
      <c r="PN40" s="1" t="e">
        <v>#N/A</v>
      </c>
      <c r="PO40" s="1" t="e">
        <v>#N/A</v>
      </c>
      <c r="PP40" s="1" t="e">
        <v>#N/A</v>
      </c>
      <c r="PQ40" s="1" t="e">
        <v>#N/A</v>
      </c>
      <c r="PR40" s="1" t="e">
        <v>#N/A</v>
      </c>
      <c r="PS40" s="1" t="e">
        <v>#N/A</v>
      </c>
      <c r="PT40" s="1" t="e">
        <v>#N/A</v>
      </c>
      <c r="PU40" s="1" t="e">
        <v>#N/A</v>
      </c>
      <c r="PV40" s="1" t="e">
        <v>#N/A</v>
      </c>
      <c r="PW40" s="1" t="e">
        <v>#N/A</v>
      </c>
      <c r="PX40" s="1" t="e">
        <v>#N/A</v>
      </c>
      <c r="PY40" s="1" t="e">
        <v>#N/A</v>
      </c>
      <c r="PZ40" s="1" t="e">
        <v>#N/A</v>
      </c>
      <c r="QA40" s="1" t="e">
        <v>#N/A</v>
      </c>
      <c r="QB40" s="1" t="e">
        <v>#N/A</v>
      </c>
      <c r="QC40" s="1" t="e">
        <v>#N/A</v>
      </c>
      <c r="QD40" s="1" t="e">
        <v>#N/A</v>
      </c>
      <c r="QE40" s="1" t="e">
        <v>#N/A</v>
      </c>
      <c r="QF40" s="1" t="e">
        <v>#N/A</v>
      </c>
      <c r="QG40" s="1" t="e">
        <v>#N/A</v>
      </c>
      <c r="QH40" s="1" t="e">
        <v>#N/A</v>
      </c>
      <c r="QI40" s="1" t="e">
        <v>#N/A</v>
      </c>
      <c r="QJ40" s="1" t="e">
        <v>#N/A</v>
      </c>
      <c r="QK40" s="1" t="e">
        <v>#N/A</v>
      </c>
      <c r="QL40" s="1" t="e">
        <v>#N/A</v>
      </c>
      <c r="QM40" s="1" t="e">
        <v>#N/A</v>
      </c>
      <c r="QN40" s="1" t="e">
        <v>#N/A</v>
      </c>
      <c r="QO40" s="1" t="e">
        <v>#N/A</v>
      </c>
      <c r="QP40" s="1" t="e">
        <v>#N/A</v>
      </c>
    </row>
    <row r="41" spans="1:458" ht="26.25" x14ac:dyDescent="0.4">
      <c r="A41" s="347"/>
      <c r="B41" s="422"/>
      <c r="C41" s="423"/>
      <c r="D41" s="349"/>
      <c r="E41" s="350"/>
      <c r="F41" s="351"/>
      <c r="G41" s="352"/>
      <c r="H41" s="348"/>
      <c r="I41" s="353"/>
      <c r="J41" s="345"/>
      <c r="L41" s="76"/>
      <c r="PJ41" s="1" t="e">
        <v>#N/A</v>
      </c>
      <c r="PK41" s="1" t="e">
        <v>#N/A</v>
      </c>
      <c r="PL41" s="1" t="e">
        <v>#N/A</v>
      </c>
      <c r="PM41" s="1" t="e">
        <v>#N/A</v>
      </c>
      <c r="PN41" s="1" t="e">
        <v>#N/A</v>
      </c>
      <c r="PO41" s="1" t="e">
        <v>#N/A</v>
      </c>
      <c r="PP41" s="1" t="e">
        <v>#N/A</v>
      </c>
      <c r="PQ41" s="1" t="e">
        <v>#N/A</v>
      </c>
      <c r="PR41" s="1" t="e">
        <v>#N/A</v>
      </c>
      <c r="PS41" s="1" t="e">
        <v>#N/A</v>
      </c>
      <c r="PT41" s="1" t="e">
        <v>#N/A</v>
      </c>
      <c r="PU41" s="1" t="e">
        <v>#N/A</v>
      </c>
      <c r="PV41" s="1" t="e">
        <v>#N/A</v>
      </c>
      <c r="PW41" s="1" t="e">
        <v>#N/A</v>
      </c>
      <c r="PX41" s="1" t="e">
        <v>#N/A</v>
      </c>
      <c r="PY41" s="1" t="e">
        <v>#N/A</v>
      </c>
      <c r="PZ41" s="1" t="e">
        <v>#N/A</v>
      </c>
      <c r="QA41" s="1" t="e">
        <v>#N/A</v>
      </c>
      <c r="QB41" s="1" t="e">
        <v>#N/A</v>
      </c>
      <c r="QC41" s="1" t="e">
        <v>#N/A</v>
      </c>
      <c r="QD41" s="1" t="e">
        <v>#N/A</v>
      </c>
      <c r="QE41" s="1" t="e">
        <v>#N/A</v>
      </c>
      <c r="QF41" s="1" t="e">
        <v>#N/A</v>
      </c>
      <c r="QG41" s="1" t="e">
        <v>#N/A</v>
      </c>
      <c r="QH41" s="1" t="e">
        <v>#N/A</v>
      </c>
      <c r="QI41" s="1" t="e">
        <v>#N/A</v>
      </c>
      <c r="QJ41" s="1" t="e">
        <v>#N/A</v>
      </c>
      <c r="QK41" s="1" t="e">
        <v>#N/A</v>
      </c>
      <c r="QL41" s="1" t="e">
        <v>#N/A</v>
      </c>
      <c r="QM41" s="1" t="e">
        <v>#N/A</v>
      </c>
      <c r="QN41" s="1" t="e">
        <v>#N/A</v>
      </c>
      <c r="QO41" s="1" t="e">
        <v>#N/A</v>
      </c>
      <c r="QP41" s="1" t="e">
        <v>#N/A</v>
      </c>
    </row>
    <row r="42" spans="1:458" ht="26.25" x14ac:dyDescent="0.4">
      <c r="A42" s="347"/>
      <c r="B42" s="422"/>
      <c r="C42" s="423"/>
      <c r="D42" s="349"/>
      <c r="E42" s="350"/>
      <c r="F42" s="351"/>
      <c r="G42" s="352"/>
      <c r="H42" s="348"/>
      <c r="I42" s="353"/>
      <c r="J42" s="345"/>
      <c r="L42" s="76"/>
      <c r="PJ42" s="1" t="e">
        <v>#N/A</v>
      </c>
      <c r="PK42" s="1" t="e">
        <v>#N/A</v>
      </c>
      <c r="PL42" s="1" t="e">
        <v>#N/A</v>
      </c>
      <c r="PM42" s="1" t="e">
        <v>#N/A</v>
      </c>
      <c r="PN42" s="1" t="e">
        <v>#N/A</v>
      </c>
      <c r="PO42" s="1" t="e">
        <v>#N/A</v>
      </c>
      <c r="PP42" s="1" t="e">
        <v>#N/A</v>
      </c>
      <c r="PQ42" s="1" t="e">
        <v>#N/A</v>
      </c>
      <c r="PR42" s="1" t="e">
        <v>#N/A</v>
      </c>
      <c r="PS42" s="1" t="e">
        <v>#N/A</v>
      </c>
      <c r="PT42" s="1" t="e">
        <v>#N/A</v>
      </c>
      <c r="PU42" s="1" t="e">
        <v>#N/A</v>
      </c>
      <c r="PV42" s="1" t="e">
        <v>#N/A</v>
      </c>
      <c r="PW42" s="1" t="e">
        <v>#N/A</v>
      </c>
      <c r="PX42" s="1" t="e">
        <v>#N/A</v>
      </c>
      <c r="PY42" s="1" t="e">
        <v>#N/A</v>
      </c>
      <c r="PZ42" s="1" t="e">
        <v>#N/A</v>
      </c>
      <c r="QA42" s="1" t="e">
        <v>#N/A</v>
      </c>
      <c r="QB42" s="1" t="e">
        <v>#N/A</v>
      </c>
      <c r="QC42" s="1" t="e">
        <v>#N/A</v>
      </c>
      <c r="QD42" s="1" t="e">
        <v>#N/A</v>
      </c>
      <c r="QE42" s="1" t="e">
        <v>#N/A</v>
      </c>
      <c r="QF42" s="1" t="e">
        <v>#N/A</v>
      </c>
      <c r="QG42" s="1" t="e">
        <v>#N/A</v>
      </c>
      <c r="QH42" s="1" t="e">
        <v>#N/A</v>
      </c>
      <c r="QI42" s="1" t="e">
        <v>#N/A</v>
      </c>
      <c r="QJ42" s="1" t="e">
        <v>#N/A</v>
      </c>
      <c r="QK42" s="1" t="e">
        <v>#N/A</v>
      </c>
      <c r="QL42" s="1" t="e">
        <v>#N/A</v>
      </c>
      <c r="QM42" s="1" t="e">
        <v>#N/A</v>
      </c>
      <c r="QN42" s="1" t="e">
        <v>#N/A</v>
      </c>
      <c r="QO42" s="1" t="e">
        <v>#N/A</v>
      </c>
      <c r="QP42" s="1" t="e">
        <v>#N/A</v>
      </c>
    </row>
    <row r="43" spans="1:458" ht="26.25" x14ac:dyDescent="0.4">
      <c r="A43" s="347"/>
      <c r="B43" s="422"/>
      <c r="C43" s="423"/>
      <c r="D43" s="349"/>
      <c r="E43" s="350"/>
      <c r="F43" s="351"/>
      <c r="G43" s="352"/>
      <c r="H43" s="348"/>
      <c r="I43" s="353"/>
      <c r="J43" s="345">
        <v>189.87278505584817</v>
      </c>
      <c r="L43" s="76"/>
      <c r="PJ43" s="1" t="e">
        <v>#N/A</v>
      </c>
      <c r="PK43" s="1" t="e">
        <v>#N/A</v>
      </c>
      <c r="PL43" s="1" t="e">
        <v>#N/A</v>
      </c>
      <c r="PM43" s="1" t="e">
        <v>#N/A</v>
      </c>
      <c r="PN43" s="1" t="e">
        <v>#N/A</v>
      </c>
      <c r="PO43" s="1" t="e">
        <v>#N/A</v>
      </c>
      <c r="PP43" s="1" t="e">
        <v>#N/A</v>
      </c>
      <c r="PQ43" s="1" t="e">
        <v>#N/A</v>
      </c>
      <c r="PR43" s="1" t="e">
        <v>#N/A</v>
      </c>
      <c r="PS43" s="1" t="e">
        <v>#N/A</v>
      </c>
      <c r="PT43" s="1" t="e">
        <v>#N/A</v>
      </c>
      <c r="PU43" s="1" t="e">
        <v>#N/A</v>
      </c>
      <c r="PV43" s="1" t="e">
        <v>#N/A</v>
      </c>
      <c r="PW43" s="1" t="e">
        <v>#N/A</v>
      </c>
      <c r="PX43" s="1" t="e">
        <v>#N/A</v>
      </c>
      <c r="PY43" s="1" t="e">
        <v>#N/A</v>
      </c>
      <c r="PZ43" s="1" t="e">
        <v>#N/A</v>
      </c>
      <c r="QA43" s="1" t="e">
        <v>#N/A</v>
      </c>
      <c r="QB43" s="1" t="e">
        <v>#N/A</v>
      </c>
      <c r="QC43" s="1" t="e">
        <v>#N/A</v>
      </c>
      <c r="QD43" s="1" t="e">
        <v>#N/A</v>
      </c>
      <c r="QE43" s="1" t="e">
        <v>#N/A</v>
      </c>
      <c r="QF43" s="1" t="e">
        <v>#N/A</v>
      </c>
      <c r="QG43" s="1" t="e">
        <v>#N/A</v>
      </c>
      <c r="QH43" s="1" t="e">
        <v>#N/A</v>
      </c>
      <c r="QI43" s="1" t="e">
        <v>#N/A</v>
      </c>
      <c r="QJ43" s="1" t="e">
        <v>#N/A</v>
      </c>
      <c r="QK43" s="1" t="e">
        <v>#N/A</v>
      </c>
      <c r="QL43" s="1" t="e">
        <v>#N/A</v>
      </c>
      <c r="QM43" s="1" t="e">
        <v>#N/A</v>
      </c>
      <c r="QN43" s="1" t="e">
        <v>#N/A</v>
      </c>
      <c r="QO43" s="1" t="e">
        <v>#N/A</v>
      </c>
      <c r="QP43" s="1" t="e">
        <v>#N/A</v>
      </c>
    </row>
    <row r="44" spans="1:458" ht="26.25" x14ac:dyDescent="0.4">
      <c r="A44" s="347"/>
      <c r="B44" s="422"/>
      <c r="C44" s="423"/>
      <c r="D44" s="349"/>
      <c r="E44" s="350"/>
      <c r="F44" s="351"/>
      <c r="G44" s="352"/>
      <c r="H44" s="348"/>
      <c r="I44" s="353"/>
      <c r="J44" s="345"/>
      <c r="L44" s="76"/>
      <c r="PJ44" s="1" t="e">
        <v>#N/A</v>
      </c>
      <c r="PK44" s="1" t="e">
        <v>#N/A</v>
      </c>
      <c r="PL44" s="1" t="e">
        <v>#N/A</v>
      </c>
      <c r="PM44" s="1" t="e">
        <v>#N/A</v>
      </c>
      <c r="PN44" s="1" t="e">
        <v>#N/A</v>
      </c>
      <c r="PO44" s="1" t="e">
        <v>#N/A</v>
      </c>
      <c r="PP44" s="1" t="e">
        <v>#N/A</v>
      </c>
      <c r="PQ44" s="1" t="e">
        <v>#N/A</v>
      </c>
      <c r="PR44" s="1" t="e">
        <v>#N/A</v>
      </c>
      <c r="PS44" s="1" t="e">
        <v>#N/A</v>
      </c>
      <c r="PT44" s="1" t="e">
        <v>#N/A</v>
      </c>
      <c r="PU44" s="1" t="e">
        <v>#N/A</v>
      </c>
      <c r="PV44" s="1" t="e">
        <v>#N/A</v>
      </c>
      <c r="PW44" s="1" t="e">
        <v>#N/A</v>
      </c>
      <c r="PX44" s="1" t="e">
        <v>#N/A</v>
      </c>
      <c r="PY44" s="1" t="e">
        <v>#N/A</v>
      </c>
      <c r="PZ44" s="1" t="e">
        <v>#N/A</v>
      </c>
      <c r="QA44" s="1" t="e">
        <v>#N/A</v>
      </c>
      <c r="QB44" s="1" t="e">
        <v>#N/A</v>
      </c>
      <c r="QC44" s="1" t="e">
        <v>#N/A</v>
      </c>
      <c r="QD44" s="1" t="e">
        <v>#N/A</v>
      </c>
      <c r="QE44" s="1" t="e">
        <v>#N/A</v>
      </c>
      <c r="QF44" s="1" t="e">
        <v>#N/A</v>
      </c>
      <c r="QG44" s="1" t="e">
        <v>#N/A</v>
      </c>
      <c r="QH44" s="1" t="e">
        <v>#N/A</v>
      </c>
      <c r="QI44" s="1" t="e">
        <v>#N/A</v>
      </c>
      <c r="QJ44" s="1" t="e">
        <v>#N/A</v>
      </c>
      <c r="QK44" s="1" t="e">
        <v>#N/A</v>
      </c>
      <c r="QL44" s="1" t="e">
        <v>#N/A</v>
      </c>
      <c r="QM44" s="1" t="e">
        <v>#N/A</v>
      </c>
      <c r="QN44" s="1" t="e">
        <v>#N/A</v>
      </c>
      <c r="QO44" s="1" t="e">
        <v>#N/A</v>
      </c>
      <c r="QP44" s="1" t="e">
        <v>#N/A</v>
      </c>
    </row>
    <row r="45" spans="1:458" ht="26.25" x14ac:dyDescent="0.4">
      <c r="A45" s="347"/>
      <c r="B45" s="422"/>
      <c r="C45" s="423"/>
      <c r="D45" s="349"/>
      <c r="E45" s="350"/>
      <c r="F45" s="351"/>
      <c r="G45" s="352"/>
      <c r="H45" s="348"/>
      <c r="I45" s="353"/>
      <c r="J45" s="345"/>
      <c r="L45" s="76"/>
      <c r="PJ45" s="1" t="e">
        <v>#N/A</v>
      </c>
      <c r="PK45" s="1" t="e">
        <v>#N/A</v>
      </c>
      <c r="PL45" s="1" t="e">
        <v>#N/A</v>
      </c>
      <c r="PM45" s="1" t="e">
        <v>#N/A</v>
      </c>
      <c r="PN45" s="1" t="e">
        <v>#N/A</v>
      </c>
      <c r="PO45" s="1" t="e">
        <v>#N/A</v>
      </c>
      <c r="PP45" s="1" t="e">
        <v>#N/A</v>
      </c>
      <c r="PQ45" s="1" t="e">
        <v>#N/A</v>
      </c>
      <c r="PR45" s="1" t="e">
        <v>#N/A</v>
      </c>
      <c r="PS45" s="1" t="e">
        <v>#N/A</v>
      </c>
      <c r="PT45" s="1" t="e">
        <v>#N/A</v>
      </c>
      <c r="PU45" s="1" t="e">
        <v>#N/A</v>
      </c>
      <c r="PV45" s="1" t="e">
        <v>#N/A</v>
      </c>
      <c r="PW45" s="1" t="e">
        <v>#N/A</v>
      </c>
      <c r="PX45" s="1" t="e">
        <v>#N/A</v>
      </c>
      <c r="PY45" s="1" t="e">
        <v>#N/A</v>
      </c>
      <c r="PZ45" s="1" t="e">
        <v>#N/A</v>
      </c>
      <c r="QA45" s="1" t="e">
        <v>#N/A</v>
      </c>
      <c r="QB45" s="1" t="e">
        <v>#N/A</v>
      </c>
      <c r="QC45" s="1" t="e">
        <v>#N/A</v>
      </c>
      <c r="QD45" s="1" t="e">
        <v>#N/A</v>
      </c>
      <c r="QE45" s="1" t="e">
        <v>#N/A</v>
      </c>
      <c r="QF45" s="1" t="e">
        <v>#N/A</v>
      </c>
      <c r="QG45" s="1" t="e">
        <v>#N/A</v>
      </c>
      <c r="QH45" s="1" t="e">
        <v>#N/A</v>
      </c>
      <c r="QI45" s="1" t="e">
        <v>#N/A</v>
      </c>
      <c r="QJ45" s="1" t="e">
        <v>#N/A</v>
      </c>
      <c r="QK45" s="1" t="e">
        <v>#N/A</v>
      </c>
      <c r="QL45" s="1" t="e">
        <v>#N/A</v>
      </c>
      <c r="QM45" s="1" t="e">
        <v>#N/A</v>
      </c>
      <c r="QN45" s="1" t="e">
        <v>#N/A</v>
      </c>
      <c r="QO45" s="1" t="e">
        <v>#N/A</v>
      </c>
      <c r="QP45" s="1" t="e">
        <v>#N/A</v>
      </c>
    </row>
    <row r="46" spans="1:458" ht="26.25" x14ac:dyDescent="0.4">
      <c r="A46" s="347"/>
      <c r="B46" s="422"/>
      <c r="C46" s="423"/>
      <c r="D46" s="349"/>
      <c r="E46" s="350"/>
      <c r="F46" s="351"/>
      <c r="G46" s="352"/>
      <c r="H46" s="348"/>
      <c r="I46" s="353"/>
      <c r="J46" s="345"/>
      <c r="L46" s="76"/>
      <c r="PJ46" s="1" t="e">
        <v>#N/A</v>
      </c>
      <c r="PK46" s="1" t="e">
        <v>#N/A</v>
      </c>
      <c r="PL46" s="1" t="e">
        <v>#N/A</v>
      </c>
      <c r="PM46" s="1" t="e">
        <v>#N/A</v>
      </c>
      <c r="PN46" s="1" t="e">
        <v>#N/A</v>
      </c>
      <c r="PO46" s="1" t="e">
        <v>#N/A</v>
      </c>
      <c r="PP46" s="1" t="e">
        <v>#N/A</v>
      </c>
      <c r="PQ46" s="1" t="e">
        <v>#N/A</v>
      </c>
      <c r="PR46" s="1" t="e">
        <v>#N/A</v>
      </c>
      <c r="PS46" s="1" t="e">
        <v>#N/A</v>
      </c>
      <c r="PT46" s="1" t="e">
        <v>#N/A</v>
      </c>
      <c r="PU46" s="1" t="e">
        <v>#N/A</v>
      </c>
      <c r="PV46" s="1" t="e">
        <v>#N/A</v>
      </c>
      <c r="PW46" s="1" t="e">
        <v>#N/A</v>
      </c>
      <c r="PX46" s="1" t="e">
        <v>#N/A</v>
      </c>
      <c r="PY46" s="1" t="e">
        <v>#N/A</v>
      </c>
      <c r="PZ46" s="1" t="e">
        <v>#N/A</v>
      </c>
      <c r="QA46" s="1" t="e">
        <v>#N/A</v>
      </c>
      <c r="QB46" s="1" t="e">
        <v>#N/A</v>
      </c>
      <c r="QC46" s="1" t="e">
        <v>#N/A</v>
      </c>
      <c r="QD46" s="1" t="e">
        <v>#N/A</v>
      </c>
      <c r="QE46" s="1" t="e">
        <v>#N/A</v>
      </c>
      <c r="QF46" s="1" t="e">
        <v>#N/A</v>
      </c>
      <c r="QG46" s="1" t="e">
        <v>#N/A</v>
      </c>
      <c r="QH46" s="1" t="e">
        <v>#N/A</v>
      </c>
      <c r="QI46" s="1" t="e">
        <v>#N/A</v>
      </c>
      <c r="QJ46" s="1" t="e">
        <v>#N/A</v>
      </c>
      <c r="QK46" s="1" t="e">
        <v>#N/A</v>
      </c>
      <c r="QL46" s="1" t="e">
        <v>#N/A</v>
      </c>
      <c r="QM46" s="1" t="e">
        <v>#N/A</v>
      </c>
      <c r="QN46" s="1" t="e">
        <v>#N/A</v>
      </c>
      <c r="QO46" s="1" t="e">
        <v>#N/A</v>
      </c>
      <c r="QP46" s="1" t="e">
        <v>#N/A</v>
      </c>
    </row>
    <row r="47" spans="1:458" ht="26.25" x14ac:dyDescent="0.4">
      <c r="A47" s="347"/>
      <c r="B47" s="422"/>
      <c r="C47" s="423"/>
      <c r="D47" s="349"/>
      <c r="E47" s="350"/>
      <c r="F47" s="351"/>
      <c r="G47" s="352"/>
      <c r="H47" s="348"/>
      <c r="I47" s="353"/>
      <c r="J47" s="345"/>
      <c r="L47" s="76"/>
      <c r="PJ47" s="1" t="e">
        <v>#N/A</v>
      </c>
      <c r="PK47" s="1" t="e">
        <v>#N/A</v>
      </c>
      <c r="PL47" s="1" t="e">
        <v>#N/A</v>
      </c>
      <c r="PM47" s="1" t="e">
        <v>#N/A</v>
      </c>
      <c r="PN47" s="1" t="e">
        <v>#N/A</v>
      </c>
      <c r="PO47" s="1" t="e">
        <v>#N/A</v>
      </c>
      <c r="PP47" s="1" t="e">
        <v>#N/A</v>
      </c>
      <c r="PQ47" s="1" t="e">
        <v>#N/A</v>
      </c>
      <c r="PR47" s="1" t="e">
        <v>#N/A</v>
      </c>
      <c r="PS47" s="1" t="e">
        <v>#N/A</v>
      </c>
      <c r="PT47" s="1" t="e">
        <v>#N/A</v>
      </c>
      <c r="PU47" s="1" t="e">
        <v>#N/A</v>
      </c>
      <c r="PV47" s="1" t="e">
        <v>#N/A</v>
      </c>
      <c r="PW47" s="1" t="e">
        <v>#N/A</v>
      </c>
      <c r="PX47" s="1" t="e">
        <v>#N/A</v>
      </c>
      <c r="PY47" s="1" t="e">
        <v>#N/A</v>
      </c>
      <c r="PZ47" s="1" t="e">
        <v>#N/A</v>
      </c>
      <c r="QA47" s="1" t="e">
        <v>#N/A</v>
      </c>
      <c r="QB47" s="1" t="e">
        <v>#N/A</v>
      </c>
      <c r="QC47" s="1" t="e">
        <v>#N/A</v>
      </c>
      <c r="QD47" s="1" t="e">
        <v>#N/A</v>
      </c>
      <c r="QE47" s="1" t="e">
        <v>#N/A</v>
      </c>
      <c r="QF47" s="1" t="e">
        <v>#N/A</v>
      </c>
      <c r="QG47" s="1" t="e">
        <v>#N/A</v>
      </c>
      <c r="QH47" s="1" t="e">
        <v>#N/A</v>
      </c>
      <c r="QI47" s="1" t="e">
        <v>#N/A</v>
      </c>
      <c r="QJ47" s="1" t="e">
        <v>#N/A</v>
      </c>
      <c r="QK47" s="1" t="e">
        <v>#N/A</v>
      </c>
      <c r="QL47" s="1" t="e">
        <v>#N/A</v>
      </c>
      <c r="QM47" s="1" t="e">
        <v>#N/A</v>
      </c>
      <c r="QN47" s="1" t="e">
        <v>#N/A</v>
      </c>
      <c r="QO47" s="1" t="e">
        <v>#N/A</v>
      </c>
      <c r="QP47" s="1" t="e">
        <v>#N/A</v>
      </c>
    </row>
    <row r="48" spans="1:458" ht="26.25" x14ac:dyDescent="0.4">
      <c r="A48" s="347"/>
      <c r="B48" s="422"/>
      <c r="C48" s="428"/>
      <c r="D48" s="349"/>
      <c r="E48" s="350"/>
      <c r="F48" s="351"/>
      <c r="G48" s="352"/>
      <c r="H48" s="348"/>
      <c r="I48" s="353"/>
      <c r="J48" s="345"/>
      <c r="L48" s="76"/>
      <c r="PJ48" s="1" t="e">
        <v>#N/A</v>
      </c>
      <c r="PK48" s="1" t="e">
        <v>#N/A</v>
      </c>
      <c r="PL48" s="1" t="e">
        <v>#N/A</v>
      </c>
      <c r="PM48" s="1" t="e">
        <v>#N/A</v>
      </c>
      <c r="PN48" s="1" t="e">
        <v>#N/A</v>
      </c>
      <c r="PO48" s="1" t="e">
        <v>#N/A</v>
      </c>
      <c r="PP48" s="1" t="e">
        <v>#N/A</v>
      </c>
      <c r="PQ48" s="1" t="e">
        <v>#N/A</v>
      </c>
      <c r="PR48" s="1" t="e">
        <v>#N/A</v>
      </c>
      <c r="PS48" s="1" t="e">
        <v>#N/A</v>
      </c>
      <c r="PT48" s="1" t="e">
        <v>#N/A</v>
      </c>
      <c r="PU48" s="1" t="e">
        <v>#N/A</v>
      </c>
      <c r="PV48" s="1" t="e">
        <v>#N/A</v>
      </c>
      <c r="PW48" s="1" t="e">
        <v>#N/A</v>
      </c>
      <c r="PX48" s="1" t="e">
        <v>#N/A</v>
      </c>
      <c r="PY48" s="1" t="e">
        <v>#N/A</v>
      </c>
      <c r="PZ48" s="1" t="e">
        <v>#N/A</v>
      </c>
      <c r="QA48" s="1" t="e">
        <v>#N/A</v>
      </c>
      <c r="QB48" s="1" t="e">
        <v>#N/A</v>
      </c>
      <c r="QC48" s="1" t="e">
        <v>#N/A</v>
      </c>
      <c r="QD48" s="1" t="e">
        <v>#N/A</v>
      </c>
      <c r="QE48" s="1" t="e">
        <v>#N/A</v>
      </c>
      <c r="QF48" s="1" t="e">
        <v>#N/A</v>
      </c>
      <c r="QG48" s="1" t="e">
        <v>#N/A</v>
      </c>
      <c r="QH48" s="1" t="e">
        <v>#N/A</v>
      </c>
      <c r="QI48" s="1" t="e">
        <v>#N/A</v>
      </c>
      <c r="QJ48" s="1" t="e">
        <v>#N/A</v>
      </c>
      <c r="QK48" s="1" t="e">
        <v>#N/A</v>
      </c>
      <c r="QL48" s="1" t="e">
        <v>#N/A</v>
      </c>
      <c r="QM48" s="1" t="e">
        <v>#N/A</v>
      </c>
      <c r="QN48" s="1" t="e">
        <v>#N/A</v>
      </c>
      <c r="QO48" s="1" t="e">
        <v>#N/A</v>
      </c>
      <c r="QP48" s="1" t="e">
        <v>#N/A</v>
      </c>
    </row>
    <row r="49" spans="1:458" ht="26.25" x14ac:dyDescent="0.4">
      <c r="A49" s="347"/>
      <c r="B49" s="422"/>
      <c r="C49" s="423"/>
      <c r="D49" s="349"/>
      <c r="E49" s="350"/>
      <c r="F49" s="351"/>
      <c r="G49" s="352"/>
      <c r="H49" s="348"/>
      <c r="I49" s="353"/>
      <c r="J49" s="345">
        <v>47.223825197653575</v>
      </c>
      <c r="L49" s="76"/>
      <c r="PJ49" s="1" t="e">
        <v>#N/A</v>
      </c>
      <c r="PK49" s="1" t="e">
        <v>#N/A</v>
      </c>
      <c r="PL49" s="1" t="e">
        <v>#N/A</v>
      </c>
      <c r="PM49" s="1" t="e">
        <v>#N/A</v>
      </c>
      <c r="PN49" s="1" t="e">
        <v>#N/A</v>
      </c>
      <c r="PO49" s="1" t="e">
        <v>#N/A</v>
      </c>
      <c r="PP49" s="1" t="e">
        <v>#N/A</v>
      </c>
      <c r="PQ49" s="1" t="e">
        <v>#N/A</v>
      </c>
      <c r="PR49" s="1" t="e">
        <v>#N/A</v>
      </c>
      <c r="PS49" s="1" t="e">
        <v>#N/A</v>
      </c>
      <c r="PT49" s="1" t="e">
        <v>#N/A</v>
      </c>
      <c r="PU49" s="1" t="e">
        <v>#N/A</v>
      </c>
      <c r="PV49" s="1" t="e">
        <v>#N/A</v>
      </c>
      <c r="PW49" s="1" t="e">
        <v>#N/A</v>
      </c>
      <c r="PX49" s="1" t="e">
        <v>#N/A</v>
      </c>
      <c r="PY49" s="1" t="e">
        <v>#N/A</v>
      </c>
      <c r="PZ49" s="1" t="e">
        <v>#N/A</v>
      </c>
      <c r="QA49" s="1" t="e">
        <v>#N/A</v>
      </c>
      <c r="QB49" s="1" t="e">
        <v>#N/A</v>
      </c>
      <c r="QC49" s="1" t="e">
        <v>#N/A</v>
      </c>
      <c r="QD49" s="1" t="e">
        <v>#N/A</v>
      </c>
      <c r="QE49" s="1" t="e">
        <v>#N/A</v>
      </c>
      <c r="QF49" s="1" t="e">
        <v>#N/A</v>
      </c>
      <c r="QG49" s="1" t="e">
        <v>#N/A</v>
      </c>
      <c r="QH49" s="1" t="e">
        <v>#N/A</v>
      </c>
      <c r="QI49" s="1" t="e">
        <v>#N/A</v>
      </c>
      <c r="QJ49" s="1" t="e">
        <v>#N/A</v>
      </c>
      <c r="QK49" s="1" t="e">
        <v>#N/A</v>
      </c>
      <c r="QL49" s="1" t="e">
        <v>#N/A</v>
      </c>
      <c r="QM49" s="1" t="e">
        <v>#N/A</v>
      </c>
      <c r="QN49" s="1" t="e">
        <v>#N/A</v>
      </c>
      <c r="QO49" s="1" t="e">
        <v>#N/A</v>
      </c>
      <c r="QP49" s="1" t="e">
        <v>#N/A</v>
      </c>
    </row>
    <row r="50" spans="1:458" ht="26.25" x14ac:dyDescent="0.4">
      <c r="A50" s="347"/>
      <c r="B50" s="422"/>
      <c r="C50" s="423"/>
      <c r="D50" s="349"/>
      <c r="E50" s="350"/>
      <c r="F50" s="351"/>
      <c r="G50" s="352"/>
      <c r="H50" s="348"/>
      <c r="I50" s="353"/>
      <c r="J50" s="345"/>
      <c r="L50" s="76"/>
      <c r="PJ50" s="1" t="e">
        <v>#N/A</v>
      </c>
      <c r="PK50" s="1" t="e">
        <v>#N/A</v>
      </c>
      <c r="PL50" s="1" t="e">
        <v>#N/A</v>
      </c>
      <c r="PM50" s="1" t="e">
        <v>#N/A</v>
      </c>
      <c r="PN50" s="1" t="e">
        <v>#N/A</v>
      </c>
      <c r="PO50" s="1" t="e">
        <v>#N/A</v>
      </c>
      <c r="PP50" s="1" t="e">
        <v>#N/A</v>
      </c>
      <c r="PQ50" s="1" t="e">
        <v>#N/A</v>
      </c>
      <c r="PR50" s="1" t="e">
        <v>#N/A</v>
      </c>
      <c r="PS50" s="1" t="e">
        <v>#N/A</v>
      </c>
      <c r="PT50" s="1" t="e">
        <v>#N/A</v>
      </c>
      <c r="PU50" s="1" t="e">
        <v>#N/A</v>
      </c>
      <c r="PV50" s="1" t="e">
        <v>#N/A</v>
      </c>
      <c r="PW50" s="1" t="e">
        <v>#N/A</v>
      </c>
      <c r="PX50" s="1" t="e">
        <v>#N/A</v>
      </c>
      <c r="PY50" s="1" t="e">
        <v>#N/A</v>
      </c>
      <c r="PZ50" s="1" t="e">
        <v>#N/A</v>
      </c>
      <c r="QA50" s="1" t="e">
        <v>#N/A</v>
      </c>
      <c r="QB50" s="1" t="e">
        <v>#N/A</v>
      </c>
      <c r="QC50" s="1" t="e">
        <v>#N/A</v>
      </c>
      <c r="QD50" s="1" t="e">
        <v>#N/A</v>
      </c>
      <c r="QE50" s="1" t="e">
        <v>#N/A</v>
      </c>
      <c r="QF50" s="1" t="e">
        <v>#N/A</v>
      </c>
      <c r="QG50" s="1" t="e">
        <v>#N/A</v>
      </c>
      <c r="QH50" s="1" t="e">
        <v>#N/A</v>
      </c>
      <c r="QI50" s="1" t="e">
        <v>#N/A</v>
      </c>
      <c r="QJ50" s="1" t="e">
        <v>#N/A</v>
      </c>
      <c r="QK50" s="1" t="e">
        <v>#N/A</v>
      </c>
      <c r="QL50" s="1" t="e">
        <v>#N/A</v>
      </c>
      <c r="QM50" s="1" t="e">
        <v>#N/A</v>
      </c>
      <c r="QN50" s="1" t="e">
        <v>#N/A</v>
      </c>
      <c r="QO50" s="1" t="e">
        <v>#N/A</v>
      </c>
      <c r="QP50" s="1" t="e">
        <v>#N/A</v>
      </c>
    </row>
    <row r="51" spans="1:458" ht="26.25" x14ac:dyDescent="0.4">
      <c r="A51" s="347"/>
      <c r="B51" s="422"/>
      <c r="C51" s="423"/>
      <c r="D51" s="349"/>
      <c r="E51" s="350"/>
      <c r="F51" s="351"/>
      <c r="G51" s="352"/>
      <c r="H51" s="348"/>
      <c r="I51" s="353"/>
      <c r="J51" s="345"/>
      <c r="L51" s="76"/>
      <c r="PJ51" s="1" t="e">
        <v>#N/A</v>
      </c>
      <c r="PK51" s="1" t="e">
        <v>#N/A</v>
      </c>
      <c r="PL51" s="1" t="e">
        <v>#N/A</v>
      </c>
      <c r="PM51" s="1" t="e">
        <v>#N/A</v>
      </c>
      <c r="PN51" s="1" t="e">
        <v>#N/A</v>
      </c>
      <c r="PO51" s="1" t="e">
        <v>#N/A</v>
      </c>
      <c r="PP51" s="1" t="e">
        <v>#N/A</v>
      </c>
      <c r="PQ51" s="1" t="e">
        <v>#N/A</v>
      </c>
      <c r="PR51" s="1" t="e">
        <v>#N/A</v>
      </c>
      <c r="PS51" s="1" t="e">
        <v>#N/A</v>
      </c>
      <c r="PT51" s="1" t="e">
        <v>#N/A</v>
      </c>
      <c r="PU51" s="1" t="e">
        <v>#N/A</v>
      </c>
      <c r="PV51" s="1" t="e">
        <v>#N/A</v>
      </c>
      <c r="PW51" s="1" t="e">
        <v>#N/A</v>
      </c>
      <c r="PX51" s="1" t="e">
        <v>#N/A</v>
      </c>
      <c r="PY51" s="1" t="e">
        <v>#N/A</v>
      </c>
      <c r="PZ51" s="1" t="e">
        <v>#N/A</v>
      </c>
      <c r="QA51" s="1" t="e">
        <v>#N/A</v>
      </c>
      <c r="QB51" s="1" t="e">
        <v>#N/A</v>
      </c>
      <c r="QC51" s="1" t="e">
        <v>#N/A</v>
      </c>
      <c r="QD51" s="1" t="e">
        <v>#N/A</v>
      </c>
      <c r="QE51" s="1" t="e">
        <v>#N/A</v>
      </c>
      <c r="QF51" s="1" t="e">
        <v>#N/A</v>
      </c>
      <c r="QG51" s="1" t="e">
        <v>#N/A</v>
      </c>
      <c r="QH51" s="1" t="e">
        <v>#N/A</v>
      </c>
      <c r="QI51" s="1" t="e">
        <v>#N/A</v>
      </c>
      <c r="QJ51" s="1" t="e">
        <v>#N/A</v>
      </c>
      <c r="QK51" s="1" t="e">
        <v>#N/A</v>
      </c>
      <c r="QL51" s="1" t="e">
        <v>#N/A</v>
      </c>
      <c r="QM51" s="1" t="e">
        <v>#N/A</v>
      </c>
      <c r="QN51" s="1" t="e">
        <v>#N/A</v>
      </c>
      <c r="QO51" s="1" t="e">
        <v>#N/A</v>
      </c>
      <c r="QP51" s="1" t="e">
        <v>#N/A</v>
      </c>
    </row>
    <row r="52" spans="1:458" ht="26.25" x14ac:dyDescent="0.4">
      <c r="A52" s="347"/>
      <c r="B52" s="422"/>
      <c r="C52" s="423"/>
      <c r="D52" s="349"/>
      <c r="E52" s="350"/>
      <c r="F52" s="351"/>
      <c r="G52" s="352"/>
      <c r="H52" s="348"/>
      <c r="I52" s="353"/>
      <c r="J52" s="345">
        <v>73.070904250947677</v>
      </c>
      <c r="L52" s="76"/>
      <c r="PJ52" s="1" t="e">
        <v>#N/A</v>
      </c>
      <c r="PK52" s="1" t="e">
        <v>#N/A</v>
      </c>
      <c r="PL52" s="1" t="e">
        <v>#N/A</v>
      </c>
      <c r="PM52" s="1" t="e">
        <v>#N/A</v>
      </c>
      <c r="PN52" s="1" t="e">
        <v>#N/A</v>
      </c>
      <c r="PO52" s="1" t="e">
        <v>#N/A</v>
      </c>
      <c r="PP52" s="1" t="e">
        <v>#N/A</v>
      </c>
      <c r="PQ52" s="1" t="e">
        <v>#N/A</v>
      </c>
      <c r="PR52" s="1" t="e">
        <v>#N/A</v>
      </c>
      <c r="PS52" s="1" t="e">
        <v>#N/A</v>
      </c>
      <c r="PT52" s="1" t="e">
        <v>#N/A</v>
      </c>
      <c r="PU52" s="1" t="e">
        <v>#N/A</v>
      </c>
      <c r="PV52" s="1" t="e">
        <v>#N/A</v>
      </c>
      <c r="PW52" s="1" t="e">
        <v>#N/A</v>
      </c>
      <c r="PX52" s="1" t="e">
        <v>#N/A</v>
      </c>
      <c r="PY52" s="1" t="e">
        <v>#N/A</v>
      </c>
      <c r="PZ52" s="1" t="e">
        <v>#N/A</v>
      </c>
      <c r="QA52" s="1" t="e">
        <v>#N/A</v>
      </c>
      <c r="QB52" s="1" t="e">
        <v>#N/A</v>
      </c>
      <c r="QC52" s="1" t="e">
        <v>#N/A</v>
      </c>
      <c r="QD52" s="1" t="e">
        <v>#N/A</v>
      </c>
      <c r="QE52" s="1" t="e">
        <v>#N/A</v>
      </c>
      <c r="QF52" s="1" t="e">
        <v>#N/A</v>
      </c>
      <c r="QG52" s="1" t="e">
        <v>#N/A</v>
      </c>
      <c r="QH52" s="1" t="e">
        <v>#N/A</v>
      </c>
      <c r="QI52" s="1" t="e">
        <v>#N/A</v>
      </c>
      <c r="QJ52" s="1" t="e">
        <v>#N/A</v>
      </c>
      <c r="QK52" s="1" t="e">
        <v>#N/A</v>
      </c>
      <c r="QL52" s="1" t="e">
        <v>#N/A</v>
      </c>
      <c r="QM52" s="1" t="e">
        <v>#N/A</v>
      </c>
      <c r="QN52" s="1" t="e">
        <v>#N/A</v>
      </c>
      <c r="QO52" s="1" t="e">
        <v>#N/A</v>
      </c>
      <c r="QP52" s="1" t="e">
        <v>#N/A</v>
      </c>
    </row>
    <row r="53" spans="1:458" ht="26.25" x14ac:dyDescent="0.4">
      <c r="A53" s="347"/>
      <c r="B53" s="422"/>
      <c r="C53" s="423"/>
      <c r="D53" s="349"/>
      <c r="E53" s="350"/>
      <c r="F53" s="351"/>
      <c r="G53" s="352"/>
      <c r="H53" s="348"/>
      <c r="I53" s="353"/>
      <c r="J53" s="345"/>
      <c r="L53" s="76"/>
      <c r="PJ53" s="1" t="e">
        <v>#N/A</v>
      </c>
      <c r="PK53" s="1" t="e">
        <v>#N/A</v>
      </c>
      <c r="PL53" s="1" t="e">
        <v>#N/A</v>
      </c>
      <c r="PM53" s="1" t="e">
        <v>#N/A</v>
      </c>
      <c r="PN53" s="1" t="e">
        <v>#N/A</v>
      </c>
      <c r="PO53" s="1" t="e">
        <v>#N/A</v>
      </c>
      <c r="PP53" s="1" t="e">
        <v>#N/A</v>
      </c>
      <c r="PQ53" s="1" t="e">
        <v>#N/A</v>
      </c>
      <c r="PR53" s="1" t="e">
        <v>#N/A</v>
      </c>
      <c r="PS53" s="1" t="e">
        <v>#N/A</v>
      </c>
      <c r="PT53" s="1" t="e">
        <v>#N/A</v>
      </c>
      <c r="PU53" s="1" t="e">
        <v>#N/A</v>
      </c>
      <c r="PV53" s="1" t="e">
        <v>#N/A</v>
      </c>
      <c r="PW53" s="1" t="e">
        <v>#N/A</v>
      </c>
      <c r="PX53" s="1" t="e">
        <v>#N/A</v>
      </c>
      <c r="PY53" s="1" t="e">
        <v>#N/A</v>
      </c>
      <c r="PZ53" s="1" t="e">
        <v>#N/A</v>
      </c>
      <c r="QA53" s="1" t="e">
        <v>#N/A</v>
      </c>
      <c r="QB53" s="1" t="e">
        <v>#N/A</v>
      </c>
      <c r="QC53" s="1" t="e">
        <v>#N/A</v>
      </c>
      <c r="QD53" s="1" t="e">
        <v>#N/A</v>
      </c>
      <c r="QE53" s="1" t="e">
        <v>#N/A</v>
      </c>
      <c r="QF53" s="1" t="e">
        <v>#N/A</v>
      </c>
      <c r="QG53" s="1" t="e">
        <v>#N/A</v>
      </c>
      <c r="QH53" s="1" t="e">
        <v>#N/A</v>
      </c>
      <c r="QI53" s="1" t="e">
        <v>#N/A</v>
      </c>
      <c r="QJ53" s="1" t="e">
        <v>#N/A</v>
      </c>
      <c r="QK53" s="1" t="e">
        <v>#N/A</v>
      </c>
      <c r="QL53" s="1" t="e">
        <v>#N/A</v>
      </c>
      <c r="QM53" s="1" t="e">
        <v>#N/A</v>
      </c>
      <c r="QN53" s="1" t="e">
        <v>#N/A</v>
      </c>
      <c r="QO53" s="1" t="e">
        <v>#N/A</v>
      </c>
      <c r="QP53" s="1" t="e">
        <v>#N/A</v>
      </c>
    </row>
    <row r="54" spans="1:458" ht="26.25" x14ac:dyDescent="0.4">
      <c r="A54" s="347"/>
      <c r="B54" s="422"/>
      <c r="C54" s="423"/>
      <c r="D54" s="349"/>
      <c r="E54" s="350"/>
      <c r="F54" s="351"/>
      <c r="G54" s="352"/>
      <c r="H54" s="348"/>
      <c r="I54" s="353"/>
      <c r="J54" s="345"/>
      <c r="L54" s="76"/>
      <c r="PJ54" s="1" t="e">
        <v>#N/A</v>
      </c>
      <c r="PK54" s="1" t="e">
        <v>#N/A</v>
      </c>
      <c r="PL54" s="1" t="e">
        <v>#N/A</v>
      </c>
      <c r="PM54" s="1" t="e">
        <v>#N/A</v>
      </c>
      <c r="PN54" s="1" t="e">
        <v>#N/A</v>
      </c>
      <c r="PO54" s="1" t="e">
        <v>#N/A</v>
      </c>
      <c r="PP54" s="1" t="e">
        <v>#N/A</v>
      </c>
      <c r="PQ54" s="1" t="e">
        <v>#N/A</v>
      </c>
      <c r="PR54" s="1" t="e">
        <v>#N/A</v>
      </c>
      <c r="PS54" s="1" t="e">
        <v>#N/A</v>
      </c>
      <c r="PT54" s="1" t="e">
        <v>#N/A</v>
      </c>
      <c r="PU54" s="1" t="e">
        <v>#N/A</v>
      </c>
      <c r="PV54" s="1" t="e">
        <v>#N/A</v>
      </c>
      <c r="PW54" s="1" t="e">
        <v>#N/A</v>
      </c>
      <c r="PX54" s="1" t="e">
        <v>#N/A</v>
      </c>
      <c r="PY54" s="1" t="e">
        <v>#N/A</v>
      </c>
      <c r="PZ54" s="1" t="e">
        <v>#N/A</v>
      </c>
      <c r="QA54" s="1" t="e">
        <v>#N/A</v>
      </c>
      <c r="QB54" s="1" t="e">
        <v>#N/A</v>
      </c>
      <c r="QC54" s="1" t="e">
        <v>#N/A</v>
      </c>
      <c r="QD54" s="1" t="e">
        <v>#N/A</v>
      </c>
      <c r="QE54" s="1" t="e">
        <v>#N/A</v>
      </c>
      <c r="QF54" s="1" t="e">
        <v>#N/A</v>
      </c>
      <c r="QG54" s="1" t="e">
        <v>#N/A</v>
      </c>
      <c r="QH54" s="1" t="e">
        <v>#N/A</v>
      </c>
      <c r="QI54" s="1" t="e">
        <v>#N/A</v>
      </c>
      <c r="QJ54" s="1" t="e">
        <v>#N/A</v>
      </c>
      <c r="QK54" s="1" t="e">
        <v>#N/A</v>
      </c>
      <c r="QL54" s="1" t="e">
        <v>#N/A</v>
      </c>
      <c r="QM54" s="1" t="e">
        <v>#N/A</v>
      </c>
      <c r="QN54" s="1" t="e">
        <v>#N/A</v>
      </c>
      <c r="QO54" s="1" t="e">
        <v>#N/A</v>
      </c>
      <c r="QP54" s="1" t="e">
        <v>#N/A</v>
      </c>
    </row>
    <row r="55" spans="1:458" ht="26.25" x14ac:dyDescent="0.4">
      <c r="A55" s="347"/>
      <c r="B55" s="422"/>
      <c r="C55" s="423"/>
      <c r="D55" s="349"/>
      <c r="E55" s="350"/>
      <c r="F55" s="351"/>
      <c r="G55" s="352"/>
      <c r="H55" s="348"/>
      <c r="I55" s="353"/>
      <c r="J55" s="345">
        <v>45.394313010722485</v>
      </c>
      <c r="L55" s="76"/>
      <c r="PJ55" s="1" t="e">
        <v>#N/A</v>
      </c>
      <c r="PK55" s="1" t="e">
        <v>#N/A</v>
      </c>
      <c r="PL55" s="1" t="e">
        <v>#N/A</v>
      </c>
      <c r="PM55" s="1" t="e">
        <v>#N/A</v>
      </c>
      <c r="PN55" s="1" t="e">
        <v>#N/A</v>
      </c>
      <c r="PO55" s="1" t="e">
        <v>#N/A</v>
      </c>
      <c r="PP55" s="1" t="e">
        <v>#N/A</v>
      </c>
      <c r="PQ55" s="1" t="e">
        <v>#N/A</v>
      </c>
      <c r="PR55" s="1" t="e">
        <v>#N/A</v>
      </c>
      <c r="PS55" s="1" t="e">
        <v>#N/A</v>
      </c>
      <c r="PT55" s="1" t="e">
        <v>#N/A</v>
      </c>
      <c r="PU55" s="1" t="e">
        <v>#N/A</v>
      </c>
      <c r="PV55" s="1" t="e">
        <v>#N/A</v>
      </c>
      <c r="PW55" s="1" t="e">
        <v>#N/A</v>
      </c>
      <c r="PX55" s="1" t="e">
        <v>#N/A</v>
      </c>
      <c r="PY55" s="1" t="e">
        <v>#N/A</v>
      </c>
      <c r="PZ55" s="1" t="e">
        <v>#N/A</v>
      </c>
      <c r="QA55" s="1" t="e">
        <v>#N/A</v>
      </c>
      <c r="QB55" s="1" t="e">
        <v>#N/A</v>
      </c>
      <c r="QC55" s="1" t="e">
        <v>#N/A</v>
      </c>
      <c r="QD55" s="1" t="e">
        <v>#N/A</v>
      </c>
      <c r="QE55" s="1" t="e">
        <v>#N/A</v>
      </c>
      <c r="QF55" s="1" t="e">
        <v>#N/A</v>
      </c>
      <c r="QG55" s="1" t="e">
        <v>#N/A</v>
      </c>
      <c r="QH55" s="1" t="e">
        <v>#N/A</v>
      </c>
      <c r="QI55" s="1" t="e">
        <v>#N/A</v>
      </c>
      <c r="QJ55" s="1" t="e">
        <v>#N/A</v>
      </c>
      <c r="QK55" s="1" t="e">
        <v>#N/A</v>
      </c>
      <c r="QL55" s="1" t="e">
        <v>#N/A</v>
      </c>
      <c r="QM55" s="1" t="e">
        <v>#N/A</v>
      </c>
      <c r="QN55" s="1" t="e">
        <v>#N/A</v>
      </c>
      <c r="QO55" s="1" t="e">
        <v>#N/A</v>
      </c>
      <c r="QP55" s="1" t="e">
        <v>#N/A</v>
      </c>
    </row>
    <row r="56" spans="1:458" ht="26.25" x14ac:dyDescent="0.4">
      <c r="A56" s="347"/>
      <c r="B56" s="422"/>
      <c r="C56" s="423"/>
      <c r="D56" s="349"/>
      <c r="E56" s="350"/>
      <c r="F56" s="351"/>
      <c r="G56" s="352"/>
      <c r="H56" s="348"/>
      <c r="I56" s="353"/>
      <c r="J56" s="345"/>
      <c r="L56" s="76"/>
      <c r="PJ56" s="1" t="e">
        <v>#N/A</v>
      </c>
      <c r="PK56" s="1" t="e">
        <v>#N/A</v>
      </c>
      <c r="PL56" s="1" t="e">
        <v>#N/A</v>
      </c>
      <c r="PM56" s="1" t="e">
        <v>#N/A</v>
      </c>
      <c r="PN56" s="1" t="e">
        <v>#N/A</v>
      </c>
      <c r="PO56" s="1" t="e">
        <v>#N/A</v>
      </c>
      <c r="PP56" s="1" t="e">
        <v>#N/A</v>
      </c>
      <c r="PQ56" s="1" t="e">
        <v>#N/A</v>
      </c>
      <c r="PR56" s="1" t="e">
        <v>#N/A</v>
      </c>
      <c r="PS56" s="1" t="e">
        <v>#N/A</v>
      </c>
      <c r="PT56" s="1" t="e">
        <v>#N/A</v>
      </c>
      <c r="PU56" s="1" t="e">
        <v>#N/A</v>
      </c>
      <c r="PV56" s="1" t="e">
        <v>#N/A</v>
      </c>
      <c r="PW56" s="1" t="e">
        <v>#N/A</v>
      </c>
      <c r="PX56" s="1" t="e">
        <v>#N/A</v>
      </c>
      <c r="PY56" s="1" t="e">
        <v>#N/A</v>
      </c>
      <c r="PZ56" s="1" t="e">
        <v>#N/A</v>
      </c>
      <c r="QA56" s="1" t="e">
        <v>#N/A</v>
      </c>
      <c r="QB56" s="1" t="e">
        <v>#N/A</v>
      </c>
      <c r="QC56" s="1" t="e">
        <v>#N/A</v>
      </c>
      <c r="QD56" s="1" t="e">
        <v>#N/A</v>
      </c>
      <c r="QE56" s="1" t="e">
        <v>#N/A</v>
      </c>
      <c r="QF56" s="1" t="e">
        <v>#N/A</v>
      </c>
      <c r="QG56" s="1" t="e">
        <v>#N/A</v>
      </c>
      <c r="QH56" s="1" t="e">
        <v>#N/A</v>
      </c>
      <c r="QI56" s="1" t="e">
        <v>#N/A</v>
      </c>
      <c r="QJ56" s="1" t="e">
        <v>#N/A</v>
      </c>
      <c r="QK56" s="1" t="e">
        <v>#N/A</v>
      </c>
      <c r="QL56" s="1" t="e">
        <v>#N/A</v>
      </c>
      <c r="QM56" s="1" t="e">
        <v>#N/A</v>
      </c>
      <c r="QN56" s="1" t="e">
        <v>#N/A</v>
      </c>
      <c r="QO56" s="1" t="e">
        <v>#N/A</v>
      </c>
      <c r="QP56" s="1" t="e">
        <v>#N/A</v>
      </c>
    </row>
    <row r="57" spans="1:458" ht="26.25" x14ac:dyDescent="0.4">
      <c r="A57" s="347"/>
      <c r="B57" s="422"/>
      <c r="C57" s="423"/>
      <c r="D57" s="349"/>
      <c r="E57" s="350"/>
      <c r="F57" s="351"/>
      <c r="G57" s="352"/>
      <c r="H57" s="348"/>
      <c r="I57" s="353"/>
      <c r="J57" s="345"/>
      <c r="L57" s="76"/>
      <c r="PJ57" s="1" t="e">
        <v>#N/A</v>
      </c>
      <c r="PK57" s="1" t="e">
        <v>#N/A</v>
      </c>
      <c r="PL57" s="1" t="e">
        <v>#N/A</v>
      </c>
      <c r="PM57" s="1" t="e">
        <v>#N/A</v>
      </c>
      <c r="PN57" s="1" t="e">
        <v>#N/A</v>
      </c>
      <c r="PO57" s="1" t="e">
        <v>#N/A</v>
      </c>
      <c r="PP57" s="1" t="e">
        <v>#N/A</v>
      </c>
      <c r="PQ57" s="1" t="e">
        <v>#N/A</v>
      </c>
      <c r="PR57" s="1" t="e">
        <v>#N/A</v>
      </c>
      <c r="PS57" s="1" t="e">
        <v>#N/A</v>
      </c>
      <c r="PT57" s="1" t="e">
        <v>#N/A</v>
      </c>
      <c r="PU57" s="1" t="e">
        <v>#N/A</v>
      </c>
      <c r="PV57" s="1" t="e">
        <v>#N/A</v>
      </c>
      <c r="PW57" s="1" t="e">
        <v>#N/A</v>
      </c>
      <c r="PX57" s="1" t="e">
        <v>#N/A</v>
      </c>
      <c r="PY57" s="1" t="e">
        <v>#N/A</v>
      </c>
      <c r="PZ57" s="1" t="e">
        <v>#N/A</v>
      </c>
      <c r="QA57" s="1" t="e">
        <v>#N/A</v>
      </c>
      <c r="QB57" s="1" t="e">
        <v>#N/A</v>
      </c>
      <c r="QC57" s="1" t="e">
        <v>#N/A</v>
      </c>
      <c r="QD57" s="1" t="e">
        <v>#N/A</v>
      </c>
      <c r="QE57" s="1" t="e">
        <v>#N/A</v>
      </c>
      <c r="QF57" s="1" t="e">
        <v>#N/A</v>
      </c>
      <c r="QG57" s="1" t="e">
        <v>#N/A</v>
      </c>
      <c r="QH57" s="1" t="e">
        <v>#N/A</v>
      </c>
      <c r="QI57" s="1" t="e">
        <v>#N/A</v>
      </c>
      <c r="QJ57" s="1" t="e">
        <v>#N/A</v>
      </c>
      <c r="QK57" s="1" t="e">
        <v>#N/A</v>
      </c>
      <c r="QL57" s="1" t="e">
        <v>#N/A</v>
      </c>
      <c r="QM57" s="1" t="e">
        <v>#N/A</v>
      </c>
      <c r="QN57" s="1" t="e">
        <v>#N/A</v>
      </c>
      <c r="QO57" s="1" t="e">
        <v>#N/A</v>
      </c>
      <c r="QP57" s="1" t="e">
        <v>#N/A</v>
      </c>
    </row>
    <row r="58" spans="1:458" ht="26.25" x14ac:dyDescent="0.4">
      <c r="A58" s="347"/>
      <c r="B58" s="422"/>
      <c r="C58" s="423"/>
      <c r="D58" s="349"/>
      <c r="E58" s="350"/>
      <c r="F58" s="351"/>
      <c r="G58" s="352"/>
      <c r="H58" s="348"/>
      <c r="I58" s="353"/>
      <c r="J58" s="345"/>
      <c r="L58" s="76"/>
      <c r="PJ58" s="1" t="e">
        <v>#N/A</v>
      </c>
      <c r="PK58" s="1" t="e">
        <v>#N/A</v>
      </c>
      <c r="PL58" s="1" t="e">
        <v>#N/A</v>
      </c>
      <c r="PM58" s="1" t="e">
        <v>#N/A</v>
      </c>
      <c r="PN58" s="1" t="e">
        <v>#N/A</v>
      </c>
      <c r="PO58" s="1" t="e">
        <v>#N/A</v>
      </c>
      <c r="PP58" s="1" t="e">
        <v>#N/A</v>
      </c>
      <c r="PQ58" s="1" t="e">
        <v>#N/A</v>
      </c>
      <c r="PR58" s="1" t="e">
        <v>#N/A</v>
      </c>
      <c r="PS58" s="1" t="e">
        <v>#N/A</v>
      </c>
      <c r="PT58" s="1" t="e">
        <v>#N/A</v>
      </c>
      <c r="PU58" s="1" t="e">
        <v>#N/A</v>
      </c>
      <c r="PV58" s="1" t="e">
        <v>#N/A</v>
      </c>
      <c r="PW58" s="1" t="e">
        <v>#N/A</v>
      </c>
      <c r="PX58" s="1" t="e">
        <v>#N/A</v>
      </c>
      <c r="PY58" s="1" t="e">
        <v>#N/A</v>
      </c>
      <c r="PZ58" s="1" t="e">
        <v>#N/A</v>
      </c>
      <c r="QA58" s="1" t="e">
        <v>#N/A</v>
      </c>
      <c r="QB58" s="1" t="e">
        <v>#N/A</v>
      </c>
      <c r="QC58" s="1" t="e">
        <v>#N/A</v>
      </c>
      <c r="QD58" s="1" t="e">
        <v>#N/A</v>
      </c>
      <c r="QE58" s="1" t="e">
        <v>#N/A</v>
      </c>
      <c r="QF58" s="1" t="e">
        <v>#N/A</v>
      </c>
      <c r="QG58" s="1" t="e">
        <v>#N/A</v>
      </c>
      <c r="QH58" s="1" t="e">
        <v>#N/A</v>
      </c>
      <c r="QI58" s="1" t="e">
        <v>#N/A</v>
      </c>
      <c r="QJ58" s="1" t="e">
        <v>#N/A</v>
      </c>
      <c r="QK58" s="1" t="e">
        <v>#N/A</v>
      </c>
      <c r="QL58" s="1" t="e">
        <v>#N/A</v>
      </c>
      <c r="QM58" s="1" t="e">
        <v>#N/A</v>
      </c>
      <c r="QN58" s="1" t="e">
        <v>#N/A</v>
      </c>
      <c r="QO58" s="1" t="e">
        <v>#N/A</v>
      </c>
      <c r="QP58" s="1" t="e">
        <v>#N/A</v>
      </c>
    </row>
    <row r="59" spans="1:458" ht="26.25" x14ac:dyDescent="0.4">
      <c r="A59" s="347"/>
      <c r="B59" s="422"/>
      <c r="C59" s="423"/>
      <c r="D59" s="349"/>
      <c r="E59" s="350"/>
      <c r="F59" s="351"/>
      <c r="G59" s="352"/>
      <c r="H59" s="348"/>
      <c r="I59" s="353"/>
      <c r="J59" s="345"/>
      <c r="L59" s="76"/>
      <c r="PJ59" s="1" t="e">
        <v>#N/A</v>
      </c>
      <c r="PK59" s="1" t="e">
        <v>#N/A</v>
      </c>
      <c r="PL59" s="1" t="e">
        <v>#N/A</v>
      </c>
      <c r="PM59" s="1" t="e">
        <v>#N/A</v>
      </c>
      <c r="PN59" s="1" t="e">
        <v>#N/A</v>
      </c>
      <c r="PO59" s="1" t="e">
        <v>#N/A</v>
      </c>
      <c r="PP59" s="1" t="e">
        <v>#N/A</v>
      </c>
      <c r="PQ59" s="1" t="e">
        <v>#N/A</v>
      </c>
      <c r="PR59" s="1" t="e">
        <v>#N/A</v>
      </c>
      <c r="PS59" s="1" t="e">
        <v>#N/A</v>
      </c>
      <c r="PT59" s="1" t="e">
        <v>#N/A</v>
      </c>
      <c r="PU59" s="1" t="e">
        <v>#N/A</v>
      </c>
      <c r="PV59" s="1" t="e">
        <v>#N/A</v>
      </c>
      <c r="PW59" s="1" t="e">
        <v>#N/A</v>
      </c>
      <c r="PX59" s="1" t="e">
        <v>#N/A</v>
      </c>
      <c r="PY59" s="1" t="e">
        <v>#N/A</v>
      </c>
      <c r="PZ59" s="1" t="e">
        <v>#N/A</v>
      </c>
      <c r="QA59" s="1" t="e">
        <v>#N/A</v>
      </c>
      <c r="QB59" s="1" t="e">
        <v>#N/A</v>
      </c>
      <c r="QC59" s="1" t="e">
        <v>#N/A</v>
      </c>
      <c r="QD59" s="1" t="e">
        <v>#N/A</v>
      </c>
      <c r="QE59" s="1" t="e">
        <v>#N/A</v>
      </c>
      <c r="QF59" s="1" t="e">
        <v>#N/A</v>
      </c>
      <c r="QG59" s="1" t="e">
        <v>#N/A</v>
      </c>
      <c r="QH59" s="1" t="e">
        <v>#N/A</v>
      </c>
      <c r="QI59" s="1" t="e">
        <v>#N/A</v>
      </c>
      <c r="QJ59" s="1" t="e">
        <v>#N/A</v>
      </c>
      <c r="QK59" s="1" t="e">
        <v>#N/A</v>
      </c>
      <c r="QL59" s="1" t="e">
        <v>#N/A</v>
      </c>
      <c r="QM59" s="1" t="e">
        <v>#N/A</v>
      </c>
      <c r="QN59" s="1" t="e">
        <v>#N/A</v>
      </c>
      <c r="QO59" s="1" t="e">
        <v>#N/A</v>
      </c>
      <c r="QP59" s="1" t="e">
        <v>#N/A</v>
      </c>
    </row>
    <row r="60" spans="1:458" ht="26.25" x14ac:dyDescent="0.4">
      <c r="A60" s="347"/>
      <c r="B60" s="422"/>
      <c r="C60" s="428"/>
      <c r="D60" s="349"/>
      <c r="E60" s="350"/>
      <c r="F60" s="351"/>
      <c r="G60" s="352"/>
      <c r="H60" s="348"/>
      <c r="I60" s="353"/>
      <c r="J60" s="345"/>
      <c r="L60" s="76"/>
      <c r="PJ60" s="1" t="e">
        <v>#N/A</v>
      </c>
      <c r="PK60" s="1" t="e">
        <v>#N/A</v>
      </c>
      <c r="PL60" s="1" t="e">
        <v>#N/A</v>
      </c>
      <c r="PM60" s="1" t="e">
        <v>#N/A</v>
      </c>
      <c r="PN60" s="1" t="e">
        <v>#N/A</v>
      </c>
      <c r="PO60" s="1" t="e">
        <v>#N/A</v>
      </c>
      <c r="PP60" s="1" t="e">
        <v>#N/A</v>
      </c>
      <c r="PQ60" s="1" t="e">
        <v>#N/A</v>
      </c>
      <c r="PR60" s="1" t="e">
        <v>#N/A</v>
      </c>
      <c r="PS60" s="1" t="e">
        <v>#N/A</v>
      </c>
      <c r="PT60" s="1" t="e">
        <v>#N/A</v>
      </c>
      <c r="PU60" s="1" t="e">
        <v>#N/A</v>
      </c>
      <c r="PV60" s="1" t="e">
        <v>#N/A</v>
      </c>
      <c r="PW60" s="1" t="e">
        <v>#N/A</v>
      </c>
      <c r="PX60" s="1" t="e">
        <v>#N/A</v>
      </c>
      <c r="PY60" s="1" t="e">
        <v>#N/A</v>
      </c>
      <c r="PZ60" s="1" t="e">
        <v>#N/A</v>
      </c>
      <c r="QA60" s="1" t="e">
        <v>#N/A</v>
      </c>
      <c r="QB60" s="1" t="e">
        <v>#N/A</v>
      </c>
      <c r="QC60" s="1" t="e">
        <v>#N/A</v>
      </c>
      <c r="QD60" s="1" t="e">
        <v>#N/A</v>
      </c>
      <c r="QE60" s="1" t="e">
        <v>#N/A</v>
      </c>
      <c r="QF60" s="1" t="e">
        <v>#N/A</v>
      </c>
      <c r="QG60" s="1" t="e">
        <v>#N/A</v>
      </c>
      <c r="QH60" s="1" t="e">
        <v>#N/A</v>
      </c>
      <c r="QI60" s="1" t="e">
        <v>#N/A</v>
      </c>
      <c r="QJ60" s="1" t="e">
        <v>#N/A</v>
      </c>
      <c r="QK60" s="1" t="e">
        <v>#N/A</v>
      </c>
      <c r="QL60" s="1" t="e">
        <v>#N/A</v>
      </c>
      <c r="QM60" s="1" t="e">
        <v>#N/A</v>
      </c>
      <c r="QN60" s="1" t="e">
        <v>#N/A</v>
      </c>
      <c r="QO60" s="1" t="e">
        <v>#N/A</v>
      </c>
      <c r="QP60" s="1" t="e">
        <v>#N/A</v>
      </c>
    </row>
    <row r="61" spans="1:458" ht="26.25" x14ac:dyDescent="0.4">
      <c r="A61" s="347"/>
      <c r="B61" s="422"/>
      <c r="C61" s="428"/>
      <c r="D61" s="349"/>
      <c r="E61" s="350"/>
      <c r="F61" s="351"/>
      <c r="G61" s="352"/>
      <c r="H61" s="348"/>
      <c r="I61" s="353"/>
      <c r="J61" s="345">
        <v>5.486670278899747</v>
      </c>
      <c r="L61" s="76"/>
      <c r="PJ61" s="1" t="e">
        <v>#N/A</v>
      </c>
      <c r="PK61" s="1" t="e">
        <v>#N/A</v>
      </c>
      <c r="PL61" s="1" t="e">
        <v>#N/A</v>
      </c>
      <c r="PM61" s="1" t="e">
        <v>#N/A</v>
      </c>
      <c r="PN61" s="1" t="e">
        <v>#N/A</v>
      </c>
      <c r="PO61" s="1" t="e">
        <v>#N/A</v>
      </c>
      <c r="PP61" s="1" t="e">
        <v>#N/A</v>
      </c>
      <c r="PQ61" s="1" t="e">
        <v>#N/A</v>
      </c>
      <c r="PR61" s="1" t="e">
        <v>#N/A</v>
      </c>
      <c r="PS61" s="1" t="e">
        <v>#N/A</v>
      </c>
      <c r="PT61" s="1" t="e">
        <v>#N/A</v>
      </c>
      <c r="PU61" s="1" t="e">
        <v>#N/A</v>
      </c>
      <c r="PV61" s="1" t="e">
        <v>#N/A</v>
      </c>
      <c r="PW61" s="1" t="e">
        <v>#N/A</v>
      </c>
      <c r="PX61" s="1" t="e">
        <v>#N/A</v>
      </c>
      <c r="PY61" s="1" t="e">
        <v>#N/A</v>
      </c>
      <c r="PZ61" s="1" t="e">
        <v>#N/A</v>
      </c>
      <c r="QA61" s="1" t="e">
        <v>#N/A</v>
      </c>
      <c r="QB61" s="1" t="e">
        <v>#N/A</v>
      </c>
      <c r="QC61" s="1" t="e">
        <v>#N/A</v>
      </c>
      <c r="QD61" s="1" t="e">
        <v>#N/A</v>
      </c>
      <c r="QE61" s="1" t="e">
        <v>#N/A</v>
      </c>
      <c r="QF61" s="1" t="e">
        <v>#N/A</v>
      </c>
      <c r="QG61" s="1" t="e">
        <v>#N/A</v>
      </c>
      <c r="QH61" s="1" t="e">
        <v>#N/A</v>
      </c>
      <c r="QI61" s="1" t="e">
        <v>#N/A</v>
      </c>
      <c r="QJ61" s="1" t="e">
        <v>#N/A</v>
      </c>
      <c r="QK61" s="1" t="e">
        <v>#N/A</v>
      </c>
      <c r="QL61" s="1" t="e">
        <v>#N/A</v>
      </c>
      <c r="QM61" s="1" t="e">
        <v>#N/A</v>
      </c>
      <c r="QN61" s="1" t="e">
        <v>#N/A</v>
      </c>
      <c r="QO61" s="1" t="e">
        <v>#N/A</v>
      </c>
      <c r="QP61" s="1" t="e">
        <v>#N/A</v>
      </c>
    </row>
    <row r="62" spans="1:458" ht="26.25" x14ac:dyDescent="0.4">
      <c r="A62" s="347"/>
      <c r="B62" s="422"/>
      <c r="C62" s="423"/>
      <c r="D62" s="349"/>
      <c r="E62" s="350"/>
      <c r="F62" s="351"/>
      <c r="G62" s="352"/>
      <c r="H62" s="348"/>
      <c r="I62" s="353"/>
      <c r="J62" s="345"/>
      <c r="L62" s="76"/>
      <c r="PJ62" s="1" t="e">
        <v>#N/A</v>
      </c>
      <c r="PK62" s="1" t="e">
        <v>#N/A</v>
      </c>
      <c r="PL62" s="1" t="e">
        <v>#N/A</v>
      </c>
      <c r="PM62" s="1" t="e">
        <v>#N/A</v>
      </c>
      <c r="PN62" s="1" t="e">
        <v>#N/A</v>
      </c>
      <c r="PO62" s="1" t="e">
        <v>#N/A</v>
      </c>
      <c r="PP62" s="1" t="e">
        <v>#N/A</v>
      </c>
      <c r="PQ62" s="1" t="e">
        <v>#N/A</v>
      </c>
      <c r="PR62" s="1" t="e">
        <v>#N/A</v>
      </c>
      <c r="PS62" s="1" t="e">
        <v>#N/A</v>
      </c>
      <c r="PT62" s="1" t="e">
        <v>#N/A</v>
      </c>
      <c r="PU62" s="1" t="e">
        <v>#N/A</v>
      </c>
      <c r="PV62" s="1" t="e">
        <v>#N/A</v>
      </c>
      <c r="PW62" s="1" t="e">
        <v>#N/A</v>
      </c>
      <c r="PX62" s="1" t="e">
        <v>#N/A</v>
      </c>
      <c r="PY62" s="1" t="e">
        <v>#N/A</v>
      </c>
      <c r="PZ62" s="1" t="e">
        <v>#N/A</v>
      </c>
      <c r="QA62" s="1" t="e">
        <v>#N/A</v>
      </c>
      <c r="QB62" s="1" t="e">
        <v>#N/A</v>
      </c>
      <c r="QC62" s="1" t="e">
        <v>#N/A</v>
      </c>
      <c r="QD62" s="1" t="e">
        <v>#N/A</v>
      </c>
      <c r="QE62" s="1" t="e">
        <v>#N/A</v>
      </c>
      <c r="QF62" s="1" t="e">
        <v>#N/A</v>
      </c>
      <c r="QG62" s="1" t="e">
        <v>#N/A</v>
      </c>
      <c r="QH62" s="1" t="e">
        <v>#N/A</v>
      </c>
      <c r="QI62" s="1" t="e">
        <v>#N/A</v>
      </c>
      <c r="QJ62" s="1" t="e">
        <v>#N/A</v>
      </c>
      <c r="QK62" s="1" t="e">
        <v>#N/A</v>
      </c>
      <c r="QL62" s="1" t="e">
        <v>#N/A</v>
      </c>
      <c r="QM62" s="1" t="e">
        <v>#N/A</v>
      </c>
      <c r="QN62" s="1" t="e">
        <v>#N/A</v>
      </c>
      <c r="QO62" s="1" t="e">
        <v>#N/A</v>
      </c>
      <c r="QP62" s="1" t="e">
        <v>#N/A</v>
      </c>
    </row>
    <row r="63" spans="1:458" ht="26.25" x14ac:dyDescent="0.4">
      <c r="A63" s="347"/>
      <c r="B63" s="422"/>
      <c r="C63" s="423"/>
      <c r="D63" s="349"/>
      <c r="E63" s="350"/>
      <c r="F63" s="351"/>
      <c r="G63" s="352"/>
      <c r="H63" s="348"/>
      <c r="I63" s="353"/>
      <c r="J63" s="345"/>
      <c r="L63" s="76"/>
      <c r="PJ63" s="1" t="e">
        <v>#N/A</v>
      </c>
      <c r="PK63" s="1" t="e">
        <v>#N/A</v>
      </c>
      <c r="PL63" s="1" t="e">
        <v>#N/A</v>
      </c>
      <c r="PM63" s="1" t="e">
        <v>#N/A</v>
      </c>
      <c r="PN63" s="1" t="e">
        <v>#N/A</v>
      </c>
      <c r="PO63" s="1" t="e">
        <v>#N/A</v>
      </c>
      <c r="PP63" s="1" t="e">
        <v>#N/A</v>
      </c>
      <c r="PQ63" s="1" t="e">
        <v>#N/A</v>
      </c>
      <c r="PR63" s="1" t="e">
        <v>#N/A</v>
      </c>
      <c r="PS63" s="1" t="e">
        <v>#N/A</v>
      </c>
      <c r="PT63" s="1" t="e">
        <v>#N/A</v>
      </c>
      <c r="PU63" s="1" t="e">
        <v>#N/A</v>
      </c>
      <c r="PV63" s="1" t="e">
        <v>#N/A</v>
      </c>
      <c r="PW63" s="1" t="e">
        <v>#N/A</v>
      </c>
      <c r="PX63" s="1" t="e">
        <v>#N/A</v>
      </c>
      <c r="PY63" s="1" t="e">
        <v>#N/A</v>
      </c>
      <c r="PZ63" s="1" t="e">
        <v>#N/A</v>
      </c>
      <c r="QA63" s="1" t="e">
        <v>#N/A</v>
      </c>
      <c r="QB63" s="1" t="e">
        <v>#N/A</v>
      </c>
      <c r="QC63" s="1" t="e">
        <v>#N/A</v>
      </c>
      <c r="QD63" s="1" t="e">
        <v>#N/A</v>
      </c>
      <c r="QE63" s="1" t="e">
        <v>#N/A</v>
      </c>
      <c r="QF63" s="1" t="e">
        <v>#N/A</v>
      </c>
      <c r="QG63" s="1" t="e">
        <v>#N/A</v>
      </c>
      <c r="QH63" s="1" t="e">
        <v>#N/A</v>
      </c>
      <c r="QI63" s="1" t="e">
        <v>#N/A</v>
      </c>
      <c r="QJ63" s="1" t="e">
        <v>#N/A</v>
      </c>
      <c r="QK63" s="1" t="e">
        <v>#N/A</v>
      </c>
      <c r="QL63" s="1" t="e">
        <v>#N/A</v>
      </c>
      <c r="QM63" s="1" t="e">
        <v>#N/A</v>
      </c>
      <c r="QN63" s="1" t="e">
        <v>#N/A</v>
      </c>
      <c r="QO63" s="1" t="e">
        <v>#N/A</v>
      </c>
      <c r="QP63" s="1" t="e">
        <v>#N/A</v>
      </c>
    </row>
    <row r="64" spans="1:458" ht="26.25" x14ac:dyDescent="0.4">
      <c r="A64" s="347"/>
      <c r="B64" s="348"/>
      <c r="C64" s="428"/>
      <c r="D64" s="349"/>
      <c r="E64" s="350"/>
      <c r="F64" s="351"/>
      <c r="G64" s="352"/>
      <c r="H64" s="348"/>
      <c r="I64" s="353"/>
      <c r="J64" s="345">
        <v>28.504276668216239</v>
      </c>
      <c r="L64" s="76"/>
      <c r="PJ64" s="1" t="e">
        <v>#N/A</v>
      </c>
      <c r="PK64" s="1" t="e">
        <v>#N/A</v>
      </c>
      <c r="PL64" s="1" t="e">
        <v>#N/A</v>
      </c>
      <c r="PM64" s="1" t="e">
        <v>#N/A</v>
      </c>
      <c r="PN64" s="1" t="e">
        <v>#N/A</v>
      </c>
      <c r="PO64" s="1" t="e">
        <v>#N/A</v>
      </c>
      <c r="PP64" s="1" t="e">
        <v>#N/A</v>
      </c>
      <c r="PQ64" s="1" t="e">
        <v>#N/A</v>
      </c>
      <c r="PR64" s="1" t="e">
        <v>#N/A</v>
      </c>
      <c r="PS64" s="1" t="e">
        <v>#N/A</v>
      </c>
      <c r="PT64" s="1" t="e">
        <v>#N/A</v>
      </c>
      <c r="PU64" s="1" t="e">
        <v>#N/A</v>
      </c>
      <c r="PV64" s="1" t="e">
        <v>#N/A</v>
      </c>
      <c r="PW64" s="1" t="e">
        <v>#N/A</v>
      </c>
      <c r="PX64" s="1" t="e">
        <v>#N/A</v>
      </c>
      <c r="PY64" s="1" t="e">
        <v>#N/A</v>
      </c>
      <c r="PZ64" s="1" t="e">
        <v>#N/A</v>
      </c>
      <c r="QA64" s="1" t="e">
        <v>#N/A</v>
      </c>
      <c r="QB64" s="1" t="e">
        <v>#N/A</v>
      </c>
      <c r="QC64" s="1" t="e">
        <v>#N/A</v>
      </c>
      <c r="QD64" s="1" t="e">
        <v>#N/A</v>
      </c>
      <c r="QE64" s="1" t="e">
        <v>#N/A</v>
      </c>
      <c r="QF64" s="1" t="e">
        <v>#N/A</v>
      </c>
      <c r="QG64" s="1" t="e">
        <v>#N/A</v>
      </c>
      <c r="QH64" s="1" t="e">
        <v>#N/A</v>
      </c>
      <c r="QI64" s="1" t="e">
        <v>#N/A</v>
      </c>
      <c r="QJ64" s="1" t="e">
        <v>#N/A</v>
      </c>
      <c r="QK64" s="1" t="e">
        <v>#N/A</v>
      </c>
      <c r="QL64" s="1" t="e">
        <v>#N/A</v>
      </c>
      <c r="QM64" s="1" t="e">
        <v>#N/A</v>
      </c>
      <c r="QN64" s="1" t="e">
        <v>#N/A</v>
      </c>
      <c r="QO64" s="1" t="e">
        <v>#N/A</v>
      </c>
      <c r="QP64" s="1" t="e">
        <v>#N/A</v>
      </c>
    </row>
    <row r="65" spans="1:458" ht="26.25" x14ac:dyDescent="0.4">
      <c r="A65" s="347"/>
      <c r="B65" s="348"/>
      <c r="C65" s="428"/>
      <c r="D65" s="349"/>
      <c r="E65" s="350"/>
      <c r="F65" s="351"/>
      <c r="G65" s="352"/>
      <c r="H65" s="348"/>
      <c r="I65" s="353"/>
      <c r="J65" s="345"/>
      <c r="L65" s="76"/>
      <c r="PJ65" s="1" t="e">
        <v>#N/A</v>
      </c>
      <c r="PK65" s="1" t="e">
        <v>#N/A</v>
      </c>
      <c r="PL65" s="1" t="e">
        <v>#N/A</v>
      </c>
      <c r="PM65" s="1" t="e">
        <v>#N/A</v>
      </c>
      <c r="PN65" s="1" t="e">
        <v>#N/A</v>
      </c>
      <c r="PO65" s="1" t="e">
        <v>#N/A</v>
      </c>
      <c r="PP65" s="1" t="e">
        <v>#N/A</v>
      </c>
      <c r="PQ65" s="1" t="e">
        <v>#N/A</v>
      </c>
      <c r="PR65" s="1" t="e">
        <v>#N/A</v>
      </c>
      <c r="PS65" s="1" t="e">
        <v>#N/A</v>
      </c>
      <c r="PT65" s="1" t="e">
        <v>#N/A</v>
      </c>
      <c r="PU65" s="1" t="e">
        <v>#N/A</v>
      </c>
      <c r="PV65" s="1" t="e">
        <v>#N/A</v>
      </c>
      <c r="PW65" s="1" t="e">
        <v>#N/A</v>
      </c>
      <c r="PX65" s="1" t="e">
        <v>#N/A</v>
      </c>
      <c r="PY65" s="1" t="e">
        <v>#N/A</v>
      </c>
      <c r="PZ65" s="1" t="e">
        <v>#N/A</v>
      </c>
      <c r="QA65" s="1" t="e">
        <v>#N/A</v>
      </c>
      <c r="QB65" s="1" t="e">
        <v>#N/A</v>
      </c>
      <c r="QC65" s="1" t="e">
        <v>#N/A</v>
      </c>
      <c r="QD65" s="1" t="e">
        <v>#N/A</v>
      </c>
      <c r="QE65" s="1" t="e">
        <v>#N/A</v>
      </c>
      <c r="QF65" s="1" t="e">
        <v>#N/A</v>
      </c>
      <c r="QG65" s="1" t="e">
        <v>#N/A</v>
      </c>
      <c r="QH65" s="1" t="e">
        <v>#N/A</v>
      </c>
      <c r="QI65" s="1" t="e">
        <v>#N/A</v>
      </c>
      <c r="QJ65" s="1" t="e">
        <v>#N/A</v>
      </c>
      <c r="QK65" s="1" t="e">
        <v>#N/A</v>
      </c>
      <c r="QL65" s="1" t="e">
        <v>#N/A</v>
      </c>
      <c r="QM65" s="1" t="e">
        <v>#N/A</v>
      </c>
      <c r="QN65" s="1" t="e">
        <v>#N/A</v>
      </c>
      <c r="QO65" s="1" t="e">
        <v>#N/A</v>
      </c>
      <c r="QP65" s="1" t="e">
        <v>#N/A</v>
      </c>
    </row>
    <row r="66" spans="1:458" ht="26.25" x14ac:dyDescent="0.4">
      <c r="A66" s="347"/>
      <c r="B66" s="348"/>
      <c r="C66" s="428"/>
      <c r="D66" s="349"/>
      <c r="E66" s="350"/>
      <c r="F66" s="351"/>
      <c r="G66" s="352"/>
      <c r="H66" s="348"/>
      <c r="I66" s="353"/>
      <c r="J66" s="345"/>
      <c r="L66" s="76"/>
      <c r="PJ66" s="1" t="e">
        <v>#N/A</v>
      </c>
      <c r="PK66" s="1" t="e">
        <v>#N/A</v>
      </c>
      <c r="PL66" s="1" t="e">
        <v>#N/A</v>
      </c>
      <c r="PM66" s="1" t="e">
        <v>#N/A</v>
      </c>
      <c r="PN66" s="1" t="e">
        <v>#N/A</v>
      </c>
      <c r="PO66" s="1" t="e">
        <v>#N/A</v>
      </c>
      <c r="PP66" s="1" t="e">
        <v>#N/A</v>
      </c>
      <c r="PQ66" s="1" t="e">
        <v>#N/A</v>
      </c>
      <c r="PR66" s="1" t="e">
        <v>#N/A</v>
      </c>
      <c r="PS66" s="1" t="e">
        <v>#N/A</v>
      </c>
      <c r="PT66" s="1" t="e">
        <v>#N/A</v>
      </c>
      <c r="PU66" s="1" t="e">
        <v>#N/A</v>
      </c>
      <c r="PV66" s="1" t="e">
        <v>#N/A</v>
      </c>
      <c r="PW66" s="1" t="e">
        <v>#N/A</v>
      </c>
      <c r="PX66" s="1" t="e">
        <v>#N/A</v>
      </c>
      <c r="PY66" s="1" t="e">
        <v>#N/A</v>
      </c>
      <c r="PZ66" s="1" t="e">
        <v>#N/A</v>
      </c>
      <c r="QA66" s="1" t="e">
        <v>#N/A</v>
      </c>
      <c r="QB66" s="1" t="e">
        <v>#N/A</v>
      </c>
      <c r="QC66" s="1" t="e">
        <v>#N/A</v>
      </c>
      <c r="QD66" s="1" t="e">
        <v>#N/A</v>
      </c>
      <c r="QE66" s="1" t="e">
        <v>#N/A</v>
      </c>
      <c r="QF66" s="1" t="e">
        <v>#N/A</v>
      </c>
      <c r="QG66" s="1" t="e">
        <v>#N/A</v>
      </c>
      <c r="QH66" s="1" t="e">
        <v>#N/A</v>
      </c>
      <c r="QI66" s="1" t="e">
        <v>#N/A</v>
      </c>
      <c r="QJ66" s="1" t="e">
        <v>#N/A</v>
      </c>
      <c r="QK66" s="1" t="e">
        <v>#N/A</v>
      </c>
      <c r="QL66" s="1" t="e">
        <v>#N/A</v>
      </c>
      <c r="QM66" s="1" t="e">
        <v>#N/A</v>
      </c>
      <c r="QN66" s="1" t="e">
        <v>#N/A</v>
      </c>
      <c r="QO66" s="1" t="e">
        <v>#N/A</v>
      </c>
      <c r="QP66" s="1" t="e">
        <v>#N/A</v>
      </c>
    </row>
    <row r="67" spans="1:458" ht="26.25" x14ac:dyDescent="0.4">
      <c r="A67" s="347"/>
      <c r="B67" s="348"/>
      <c r="C67" s="428"/>
      <c r="D67" s="349"/>
      <c r="E67" s="350"/>
      <c r="F67" s="351"/>
      <c r="G67" s="352"/>
      <c r="H67" s="348"/>
      <c r="I67" s="353"/>
      <c r="J67" s="345"/>
      <c r="L67" s="76"/>
      <c r="PJ67" s="1" t="e">
        <v>#N/A</v>
      </c>
      <c r="PK67" s="1" t="e">
        <v>#N/A</v>
      </c>
      <c r="PL67" s="1" t="e">
        <v>#N/A</v>
      </c>
      <c r="PM67" s="1" t="e">
        <v>#N/A</v>
      </c>
      <c r="PN67" s="1" t="e">
        <v>#N/A</v>
      </c>
      <c r="PO67" s="1" t="e">
        <v>#N/A</v>
      </c>
      <c r="PP67" s="1" t="e">
        <v>#N/A</v>
      </c>
      <c r="PQ67" s="1" t="e">
        <v>#N/A</v>
      </c>
      <c r="PR67" s="1" t="e">
        <v>#N/A</v>
      </c>
      <c r="PS67" s="1" t="e">
        <v>#N/A</v>
      </c>
      <c r="PT67" s="1" t="e">
        <v>#N/A</v>
      </c>
      <c r="PU67" s="1" t="e">
        <v>#N/A</v>
      </c>
      <c r="PV67" s="1" t="e">
        <v>#N/A</v>
      </c>
      <c r="PW67" s="1" t="e">
        <v>#N/A</v>
      </c>
      <c r="PX67" s="1" t="e">
        <v>#N/A</v>
      </c>
      <c r="PY67" s="1" t="e">
        <v>#N/A</v>
      </c>
      <c r="PZ67" s="1" t="e">
        <v>#N/A</v>
      </c>
      <c r="QA67" s="1" t="e">
        <v>#N/A</v>
      </c>
      <c r="QB67" s="1" t="e">
        <v>#N/A</v>
      </c>
      <c r="QC67" s="1" t="e">
        <v>#N/A</v>
      </c>
      <c r="QD67" s="1" t="e">
        <v>#N/A</v>
      </c>
      <c r="QE67" s="1" t="e">
        <v>#N/A</v>
      </c>
      <c r="QF67" s="1" t="e">
        <v>#N/A</v>
      </c>
      <c r="QG67" s="1" t="e">
        <v>#N/A</v>
      </c>
      <c r="QH67" s="1" t="e">
        <v>#N/A</v>
      </c>
      <c r="QI67" s="1" t="e">
        <v>#N/A</v>
      </c>
      <c r="QJ67" s="1" t="e">
        <v>#N/A</v>
      </c>
      <c r="QK67" s="1" t="e">
        <v>#N/A</v>
      </c>
      <c r="QL67" s="1" t="e">
        <v>#N/A</v>
      </c>
      <c r="QM67" s="1" t="e">
        <v>#N/A</v>
      </c>
      <c r="QN67" s="1" t="e">
        <v>#N/A</v>
      </c>
      <c r="QO67" s="1" t="e">
        <v>#N/A</v>
      </c>
      <c r="QP67" s="1" t="e">
        <v>#N/A</v>
      </c>
    </row>
    <row r="68" spans="1:458" ht="26.25" x14ac:dyDescent="0.4">
      <c r="A68" s="347"/>
      <c r="B68" s="348"/>
      <c r="C68" s="288"/>
      <c r="D68" s="349"/>
      <c r="E68" s="350"/>
      <c r="F68" s="351"/>
      <c r="G68" s="352"/>
      <c r="H68" s="348"/>
      <c r="I68" s="353"/>
      <c r="J68" s="345"/>
      <c r="L68" s="76"/>
      <c r="PJ68" s="1" t="e">
        <v>#N/A</v>
      </c>
      <c r="PK68" s="1" t="e">
        <v>#N/A</v>
      </c>
      <c r="PL68" s="1" t="e">
        <v>#N/A</v>
      </c>
      <c r="PM68" s="1" t="e">
        <v>#N/A</v>
      </c>
      <c r="PN68" s="1" t="e">
        <v>#N/A</v>
      </c>
      <c r="PO68" s="1" t="e">
        <v>#N/A</v>
      </c>
      <c r="PP68" s="1" t="e">
        <v>#N/A</v>
      </c>
      <c r="PQ68" s="1" t="e">
        <v>#N/A</v>
      </c>
      <c r="PR68" s="1" t="e">
        <v>#N/A</v>
      </c>
      <c r="PS68" s="1" t="e">
        <v>#N/A</v>
      </c>
      <c r="PT68" s="1" t="e">
        <v>#N/A</v>
      </c>
      <c r="PU68" s="1" t="e">
        <v>#N/A</v>
      </c>
      <c r="PV68" s="1" t="e">
        <v>#N/A</v>
      </c>
      <c r="PW68" s="1" t="e">
        <v>#N/A</v>
      </c>
      <c r="PX68" s="1" t="e">
        <v>#N/A</v>
      </c>
      <c r="PY68" s="1" t="e">
        <v>#N/A</v>
      </c>
      <c r="PZ68" s="1" t="e">
        <v>#N/A</v>
      </c>
      <c r="QA68" s="1" t="e">
        <v>#N/A</v>
      </c>
      <c r="QB68" s="1" t="e">
        <v>#N/A</v>
      </c>
      <c r="QC68" s="1" t="e">
        <v>#N/A</v>
      </c>
      <c r="QD68" s="1" t="e">
        <v>#N/A</v>
      </c>
      <c r="QE68" s="1" t="e">
        <v>#N/A</v>
      </c>
      <c r="QF68" s="1" t="e">
        <v>#N/A</v>
      </c>
      <c r="QG68" s="1" t="e">
        <v>#N/A</v>
      </c>
      <c r="QH68" s="1" t="e">
        <v>#N/A</v>
      </c>
      <c r="QI68" s="1" t="e">
        <v>#N/A</v>
      </c>
      <c r="QJ68" s="1" t="e">
        <v>#N/A</v>
      </c>
      <c r="QK68" s="1" t="e">
        <v>#N/A</v>
      </c>
      <c r="QL68" s="1" t="e">
        <v>#N/A</v>
      </c>
      <c r="QM68" s="1" t="e">
        <v>#N/A</v>
      </c>
      <c r="QN68" s="1" t="e">
        <v>#N/A</v>
      </c>
      <c r="QO68" s="1" t="e">
        <v>#N/A</v>
      </c>
      <c r="QP68" s="1" t="e">
        <v>#N/A</v>
      </c>
    </row>
    <row r="69" spans="1:458" ht="26.25" x14ac:dyDescent="0.4">
      <c r="A69" s="347"/>
      <c r="B69" s="348"/>
      <c r="C69" s="288"/>
      <c r="D69" s="349"/>
      <c r="E69" s="350"/>
      <c r="F69" s="351"/>
      <c r="G69" s="352"/>
      <c r="H69" s="348"/>
      <c r="I69" s="353"/>
      <c r="J69" s="345"/>
      <c r="L69" s="76"/>
      <c r="PJ69" s="1" t="e">
        <v>#N/A</v>
      </c>
      <c r="PK69" s="1" t="e">
        <v>#N/A</v>
      </c>
      <c r="PL69" s="1" t="e">
        <v>#N/A</v>
      </c>
      <c r="PM69" s="1" t="e">
        <v>#N/A</v>
      </c>
      <c r="PN69" s="1" t="e">
        <v>#N/A</v>
      </c>
      <c r="PO69" s="1" t="e">
        <v>#N/A</v>
      </c>
      <c r="PP69" s="1" t="e">
        <v>#N/A</v>
      </c>
      <c r="PQ69" s="1" t="e">
        <v>#N/A</v>
      </c>
      <c r="PR69" s="1" t="e">
        <v>#N/A</v>
      </c>
      <c r="PS69" s="1" t="e">
        <v>#N/A</v>
      </c>
      <c r="PT69" s="1" t="e">
        <v>#N/A</v>
      </c>
      <c r="PU69" s="1" t="e">
        <v>#N/A</v>
      </c>
      <c r="PV69" s="1" t="e">
        <v>#N/A</v>
      </c>
      <c r="PW69" s="1" t="e">
        <v>#N/A</v>
      </c>
      <c r="PX69" s="1" t="e">
        <v>#N/A</v>
      </c>
      <c r="PY69" s="1" t="e">
        <v>#N/A</v>
      </c>
      <c r="PZ69" s="1" t="e">
        <v>#N/A</v>
      </c>
      <c r="QA69" s="1" t="e">
        <v>#N/A</v>
      </c>
      <c r="QB69" s="1" t="e">
        <v>#N/A</v>
      </c>
      <c r="QC69" s="1" t="e">
        <v>#N/A</v>
      </c>
      <c r="QD69" s="1" t="e">
        <v>#N/A</v>
      </c>
      <c r="QE69" s="1" t="e">
        <v>#N/A</v>
      </c>
      <c r="QF69" s="1" t="e">
        <v>#N/A</v>
      </c>
      <c r="QG69" s="1" t="e">
        <v>#N/A</v>
      </c>
      <c r="QH69" s="1" t="e">
        <v>#N/A</v>
      </c>
      <c r="QI69" s="1" t="e">
        <v>#N/A</v>
      </c>
      <c r="QJ69" s="1" t="e">
        <v>#N/A</v>
      </c>
      <c r="QK69" s="1" t="e">
        <v>#N/A</v>
      </c>
      <c r="QL69" s="1" t="e">
        <v>#N/A</v>
      </c>
      <c r="QM69" s="1" t="e">
        <v>#N/A</v>
      </c>
      <c r="QN69" s="1" t="e">
        <v>#N/A</v>
      </c>
      <c r="QO69" s="1" t="e">
        <v>#N/A</v>
      </c>
      <c r="QP69" s="1" t="e">
        <v>#N/A</v>
      </c>
    </row>
    <row r="70" spans="1:458" ht="26.25" x14ac:dyDescent="0.4">
      <c r="A70" s="347"/>
      <c r="B70" s="348"/>
      <c r="C70" s="288"/>
      <c r="D70" s="349"/>
      <c r="E70" s="350"/>
      <c r="F70" s="351"/>
      <c r="G70" s="352"/>
      <c r="H70" s="348"/>
      <c r="I70" s="353"/>
      <c r="J70" s="345">
        <v>3.9129075265438806</v>
      </c>
      <c r="L70" s="76"/>
      <c r="PJ70" s="1" t="e">
        <v>#N/A</v>
      </c>
      <c r="PK70" s="1" t="e">
        <v>#N/A</v>
      </c>
      <c r="PL70" s="1" t="e">
        <v>#N/A</v>
      </c>
      <c r="PM70" s="1" t="e">
        <v>#N/A</v>
      </c>
      <c r="PN70" s="1" t="e">
        <v>#N/A</v>
      </c>
      <c r="PO70" s="1" t="e">
        <v>#N/A</v>
      </c>
      <c r="PP70" s="1" t="e">
        <v>#N/A</v>
      </c>
      <c r="PQ70" s="1" t="e">
        <v>#N/A</v>
      </c>
      <c r="PR70" s="1" t="e">
        <v>#N/A</v>
      </c>
      <c r="PS70" s="1" t="e">
        <v>#N/A</v>
      </c>
      <c r="PT70" s="1" t="e">
        <v>#N/A</v>
      </c>
      <c r="PU70" s="1" t="e">
        <v>#N/A</v>
      </c>
      <c r="PV70" s="1" t="e">
        <v>#N/A</v>
      </c>
      <c r="PW70" s="1" t="e">
        <v>#N/A</v>
      </c>
      <c r="PX70" s="1" t="e">
        <v>#N/A</v>
      </c>
      <c r="PY70" s="1" t="e">
        <v>#N/A</v>
      </c>
      <c r="PZ70" s="1" t="e">
        <v>#N/A</v>
      </c>
      <c r="QA70" s="1" t="e">
        <v>#N/A</v>
      </c>
      <c r="QB70" s="1" t="e">
        <v>#N/A</v>
      </c>
      <c r="QC70" s="1" t="e">
        <v>#N/A</v>
      </c>
      <c r="QD70" s="1" t="e">
        <v>#N/A</v>
      </c>
      <c r="QE70" s="1" t="e">
        <v>#N/A</v>
      </c>
      <c r="QF70" s="1" t="e">
        <v>#N/A</v>
      </c>
      <c r="QG70" s="1" t="e">
        <v>#N/A</v>
      </c>
      <c r="QH70" s="1" t="e">
        <v>#N/A</v>
      </c>
      <c r="QI70" s="1" t="e">
        <v>#N/A</v>
      </c>
      <c r="QJ70" s="1" t="e">
        <v>#N/A</v>
      </c>
      <c r="QK70" s="1" t="e">
        <v>#N/A</v>
      </c>
      <c r="QL70" s="1" t="e">
        <v>#N/A</v>
      </c>
      <c r="QM70" s="1" t="e">
        <v>#N/A</v>
      </c>
      <c r="QN70" s="1" t="e">
        <v>#N/A</v>
      </c>
      <c r="QO70" s="1" t="e">
        <v>#N/A</v>
      </c>
      <c r="QP70" s="1" t="e">
        <v>#N/A</v>
      </c>
    </row>
    <row r="71" spans="1:458" ht="26.25" x14ac:dyDescent="0.4">
      <c r="A71" s="347"/>
      <c r="B71" s="348"/>
      <c r="C71" s="288"/>
      <c r="D71" s="349"/>
      <c r="E71" s="350"/>
      <c r="F71" s="351"/>
      <c r="G71" s="352"/>
      <c r="H71" s="348"/>
      <c r="I71" s="353"/>
      <c r="J71" s="345"/>
      <c r="L71" s="76"/>
      <c r="PJ71" s="1" t="e">
        <v>#N/A</v>
      </c>
      <c r="PK71" s="1" t="e">
        <v>#N/A</v>
      </c>
      <c r="PL71" s="1" t="e">
        <v>#N/A</v>
      </c>
      <c r="PM71" s="1" t="e">
        <v>#N/A</v>
      </c>
      <c r="PN71" s="1" t="e">
        <v>#N/A</v>
      </c>
      <c r="PO71" s="1" t="e">
        <v>#N/A</v>
      </c>
      <c r="PP71" s="1" t="e">
        <v>#N/A</v>
      </c>
      <c r="PQ71" s="1" t="e">
        <v>#N/A</v>
      </c>
      <c r="PR71" s="1" t="e">
        <v>#N/A</v>
      </c>
      <c r="PS71" s="1" t="e">
        <v>#N/A</v>
      </c>
      <c r="PT71" s="1" t="e">
        <v>#N/A</v>
      </c>
      <c r="PU71" s="1" t="e">
        <v>#N/A</v>
      </c>
      <c r="PV71" s="1" t="e">
        <v>#N/A</v>
      </c>
      <c r="PW71" s="1" t="e">
        <v>#N/A</v>
      </c>
      <c r="PX71" s="1" t="e">
        <v>#N/A</v>
      </c>
      <c r="PY71" s="1" t="e">
        <v>#N/A</v>
      </c>
      <c r="PZ71" s="1" t="e">
        <v>#N/A</v>
      </c>
      <c r="QA71" s="1" t="e">
        <v>#N/A</v>
      </c>
      <c r="QB71" s="1" t="e">
        <v>#N/A</v>
      </c>
      <c r="QC71" s="1" t="e">
        <v>#N/A</v>
      </c>
      <c r="QD71" s="1" t="e">
        <v>#N/A</v>
      </c>
      <c r="QE71" s="1" t="e">
        <v>#N/A</v>
      </c>
      <c r="QF71" s="1" t="e">
        <v>#N/A</v>
      </c>
      <c r="QG71" s="1" t="e">
        <v>#N/A</v>
      </c>
      <c r="QH71" s="1" t="e">
        <v>#N/A</v>
      </c>
      <c r="QI71" s="1" t="e">
        <v>#N/A</v>
      </c>
      <c r="QJ71" s="1" t="e">
        <v>#N/A</v>
      </c>
      <c r="QK71" s="1" t="e">
        <v>#N/A</v>
      </c>
      <c r="QL71" s="1" t="e">
        <v>#N/A</v>
      </c>
      <c r="QM71" s="1" t="e">
        <v>#N/A</v>
      </c>
      <c r="QN71" s="1" t="e">
        <v>#N/A</v>
      </c>
      <c r="QO71" s="1" t="e">
        <v>#N/A</v>
      </c>
      <c r="QP71" s="1" t="e">
        <v>#N/A</v>
      </c>
    </row>
    <row r="72" spans="1:458" ht="26.25" x14ac:dyDescent="0.4">
      <c r="A72" s="347"/>
      <c r="B72" s="348"/>
      <c r="C72" s="288"/>
      <c r="D72" s="349"/>
      <c r="E72" s="350"/>
      <c r="F72" s="351"/>
      <c r="G72" s="352"/>
      <c r="H72" s="348"/>
      <c r="I72" s="353"/>
      <c r="J72" s="345"/>
      <c r="L72" s="76"/>
      <c r="PJ72" s="1" t="e">
        <v>#N/A</v>
      </c>
      <c r="PK72" s="1" t="e">
        <v>#N/A</v>
      </c>
      <c r="PL72" s="1" t="e">
        <v>#N/A</v>
      </c>
      <c r="PM72" s="1" t="e">
        <v>#N/A</v>
      </c>
      <c r="PN72" s="1" t="e">
        <v>#N/A</v>
      </c>
      <c r="PO72" s="1" t="e">
        <v>#N/A</v>
      </c>
      <c r="PP72" s="1" t="e">
        <v>#N/A</v>
      </c>
      <c r="PQ72" s="1" t="e">
        <v>#N/A</v>
      </c>
      <c r="PR72" s="1" t="e">
        <v>#N/A</v>
      </c>
      <c r="PS72" s="1" t="e">
        <v>#N/A</v>
      </c>
      <c r="PT72" s="1" t="e">
        <v>#N/A</v>
      </c>
      <c r="PU72" s="1" t="e">
        <v>#N/A</v>
      </c>
      <c r="PV72" s="1" t="e">
        <v>#N/A</v>
      </c>
      <c r="PW72" s="1" t="e">
        <v>#N/A</v>
      </c>
      <c r="PX72" s="1" t="e">
        <v>#N/A</v>
      </c>
      <c r="PY72" s="1" t="e">
        <v>#N/A</v>
      </c>
      <c r="PZ72" s="1" t="e">
        <v>#N/A</v>
      </c>
      <c r="QA72" s="1" t="e">
        <v>#N/A</v>
      </c>
      <c r="QB72" s="1" t="e">
        <v>#N/A</v>
      </c>
      <c r="QC72" s="1" t="e">
        <v>#N/A</v>
      </c>
      <c r="QD72" s="1" t="e">
        <v>#N/A</v>
      </c>
      <c r="QE72" s="1" t="e">
        <v>#N/A</v>
      </c>
      <c r="QF72" s="1" t="e">
        <v>#N/A</v>
      </c>
      <c r="QG72" s="1" t="e">
        <v>#N/A</v>
      </c>
      <c r="QH72" s="1" t="e">
        <v>#N/A</v>
      </c>
      <c r="QI72" s="1" t="e">
        <v>#N/A</v>
      </c>
      <c r="QJ72" s="1" t="e">
        <v>#N/A</v>
      </c>
      <c r="QK72" s="1" t="e">
        <v>#N/A</v>
      </c>
      <c r="QL72" s="1" t="e">
        <v>#N/A</v>
      </c>
      <c r="QM72" s="1" t="e">
        <v>#N/A</v>
      </c>
      <c r="QN72" s="1" t="e">
        <v>#N/A</v>
      </c>
      <c r="QO72" s="1" t="e">
        <v>#N/A</v>
      </c>
      <c r="QP72" s="1" t="e">
        <v>#N/A</v>
      </c>
    </row>
    <row r="73" spans="1:458" ht="26.25" x14ac:dyDescent="0.4">
      <c r="A73" s="347"/>
      <c r="B73" s="348"/>
      <c r="C73" s="288"/>
      <c r="D73" s="349"/>
      <c r="E73" s="350"/>
      <c r="F73" s="351"/>
      <c r="G73" s="352"/>
      <c r="H73" s="348"/>
      <c r="I73" s="353"/>
      <c r="J73" s="345"/>
      <c r="L73" s="76"/>
      <c r="PJ73" s="1" t="e">
        <v>#N/A</v>
      </c>
      <c r="PK73" s="1" t="e">
        <v>#N/A</v>
      </c>
      <c r="PL73" s="1" t="e">
        <v>#N/A</v>
      </c>
      <c r="PM73" s="1" t="e">
        <v>#N/A</v>
      </c>
      <c r="PN73" s="1" t="e">
        <v>#N/A</v>
      </c>
      <c r="PO73" s="1" t="e">
        <v>#N/A</v>
      </c>
      <c r="PP73" s="1" t="e">
        <v>#N/A</v>
      </c>
      <c r="PQ73" s="1" t="e">
        <v>#N/A</v>
      </c>
      <c r="PR73" s="1" t="e">
        <v>#N/A</v>
      </c>
      <c r="PS73" s="1" t="e">
        <v>#N/A</v>
      </c>
      <c r="PT73" s="1" t="e">
        <v>#N/A</v>
      </c>
      <c r="PU73" s="1" t="e">
        <v>#N/A</v>
      </c>
      <c r="PV73" s="1" t="e">
        <v>#N/A</v>
      </c>
      <c r="PW73" s="1" t="e">
        <v>#N/A</v>
      </c>
      <c r="PX73" s="1" t="e">
        <v>#N/A</v>
      </c>
      <c r="PY73" s="1" t="e">
        <v>#N/A</v>
      </c>
      <c r="PZ73" s="1" t="e">
        <v>#N/A</v>
      </c>
      <c r="QA73" s="1" t="e">
        <v>#N/A</v>
      </c>
      <c r="QB73" s="1" t="e">
        <v>#N/A</v>
      </c>
      <c r="QC73" s="1" t="e">
        <v>#N/A</v>
      </c>
      <c r="QD73" s="1" t="e">
        <v>#N/A</v>
      </c>
      <c r="QE73" s="1" t="e">
        <v>#N/A</v>
      </c>
      <c r="QF73" s="1" t="e">
        <v>#N/A</v>
      </c>
      <c r="QG73" s="1" t="e">
        <v>#N/A</v>
      </c>
      <c r="QH73" s="1" t="e">
        <v>#N/A</v>
      </c>
      <c r="QI73" s="1" t="e">
        <v>#N/A</v>
      </c>
      <c r="QJ73" s="1" t="e">
        <v>#N/A</v>
      </c>
      <c r="QK73" s="1" t="e">
        <v>#N/A</v>
      </c>
      <c r="QL73" s="1" t="e">
        <v>#N/A</v>
      </c>
      <c r="QM73" s="1" t="e">
        <v>#N/A</v>
      </c>
      <c r="QN73" s="1" t="e">
        <v>#N/A</v>
      </c>
      <c r="QO73" s="1" t="e">
        <v>#N/A</v>
      </c>
      <c r="QP73" s="1" t="e">
        <v>#N/A</v>
      </c>
    </row>
    <row r="74" spans="1:458" ht="26.25" x14ac:dyDescent="0.4">
      <c r="A74" s="347"/>
      <c r="B74" s="348"/>
      <c r="C74" s="288"/>
      <c r="D74" s="349"/>
      <c r="E74" s="350"/>
      <c r="F74" s="351"/>
      <c r="G74" s="352"/>
      <c r="H74" s="348"/>
      <c r="I74" s="353"/>
      <c r="J74" s="374"/>
      <c r="L74" s="76"/>
      <c r="PJ74" s="1" t="e">
        <v>#N/A</v>
      </c>
      <c r="PK74" s="1" t="e">
        <v>#N/A</v>
      </c>
      <c r="PL74" s="1" t="e">
        <v>#N/A</v>
      </c>
      <c r="PM74" s="1" t="e">
        <v>#N/A</v>
      </c>
      <c r="PN74" s="1" t="e">
        <v>#N/A</v>
      </c>
      <c r="PO74" s="1" t="e">
        <v>#N/A</v>
      </c>
      <c r="PP74" s="1" t="e">
        <v>#N/A</v>
      </c>
      <c r="PQ74" s="1" t="e">
        <v>#N/A</v>
      </c>
      <c r="PR74" s="1" t="e">
        <v>#N/A</v>
      </c>
      <c r="PS74" s="1" t="e">
        <v>#N/A</v>
      </c>
      <c r="PT74" s="1" t="e">
        <v>#N/A</v>
      </c>
      <c r="PU74" s="1" t="e">
        <v>#N/A</v>
      </c>
      <c r="PV74" s="1" t="e">
        <v>#N/A</v>
      </c>
      <c r="PW74" s="1" t="e">
        <v>#N/A</v>
      </c>
      <c r="PX74" s="1" t="e">
        <v>#N/A</v>
      </c>
      <c r="PY74" s="1" t="e">
        <v>#N/A</v>
      </c>
      <c r="PZ74" s="1" t="e">
        <v>#N/A</v>
      </c>
      <c r="QA74" s="1" t="e">
        <v>#N/A</v>
      </c>
      <c r="QB74" s="1" t="e">
        <v>#N/A</v>
      </c>
      <c r="QC74" s="1" t="e">
        <v>#N/A</v>
      </c>
      <c r="QD74" s="1" t="e">
        <v>#N/A</v>
      </c>
      <c r="QE74" s="1" t="e">
        <v>#N/A</v>
      </c>
      <c r="QF74" s="1" t="e">
        <v>#N/A</v>
      </c>
      <c r="QG74" s="1" t="e">
        <v>#N/A</v>
      </c>
      <c r="QH74" s="1" t="e">
        <v>#N/A</v>
      </c>
      <c r="QI74" s="1" t="e">
        <v>#N/A</v>
      </c>
      <c r="QJ74" s="1" t="e">
        <v>#N/A</v>
      </c>
      <c r="QK74" s="1" t="e">
        <v>#N/A</v>
      </c>
      <c r="QL74" s="1" t="e">
        <v>#N/A</v>
      </c>
      <c r="QM74" s="1" t="e">
        <v>#N/A</v>
      </c>
      <c r="QN74" s="1" t="e">
        <v>#N/A</v>
      </c>
      <c r="QO74" s="1" t="e">
        <v>#N/A</v>
      </c>
      <c r="QP74" s="1" t="e">
        <v>#N/A</v>
      </c>
    </row>
    <row r="75" spans="1:458" ht="26.25" x14ac:dyDescent="0.4">
      <c r="A75" s="347"/>
      <c r="B75" s="348"/>
      <c r="C75" s="288"/>
      <c r="D75" s="349"/>
      <c r="E75" s="350"/>
      <c r="F75" s="351"/>
      <c r="G75" s="352"/>
      <c r="H75" s="348"/>
      <c r="I75" s="353"/>
      <c r="J75" s="345"/>
      <c r="L75" s="76"/>
      <c r="PJ75" s="1" t="e">
        <v>#N/A</v>
      </c>
      <c r="PK75" s="1" t="e">
        <v>#N/A</v>
      </c>
      <c r="PL75" s="1" t="e">
        <v>#N/A</v>
      </c>
      <c r="PM75" s="1" t="e">
        <v>#N/A</v>
      </c>
      <c r="PN75" s="1" t="e">
        <v>#N/A</v>
      </c>
      <c r="PO75" s="1" t="e">
        <v>#N/A</v>
      </c>
      <c r="PP75" s="1" t="e">
        <v>#N/A</v>
      </c>
      <c r="PQ75" s="1" t="e">
        <v>#N/A</v>
      </c>
      <c r="PR75" s="1" t="e">
        <v>#N/A</v>
      </c>
      <c r="PS75" s="1" t="e">
        <v>#N/A</v>
      </c>
      <c r="PT75" s="1" t="e">
        <v>#N/A</v>
      </c>
      <c r="PU75" s="1" t="e">
        <v>#N/A</v>
      </c>
      <c r="PV75" s="1" t="e">
        <v>#N/A</v>
      </c>
      <c r="PW75" s="1" t="e">
        <v>#N/A</v>
      </c>
      <c r="PX75" s="1" t="e">
        <v>#N/A</v>
      </c>
      <c r="PY75" s="1" t="e">
        <v>#N/A</v>
      </c>
      <c r="PZ75" s="1" t="e">
        <v>#N/A</v>
      </c>
      <c r="QA75" s="1" t="e">
        <v>#N/A</v>
      </c>
      <c r="QB75" s="1" t="e">
        <v>#N/A</v>
      </c>
      <c r="QC75" s="1" t="e">
        <v>#N/A</v>
      </c>
      <c r="QD75" s="1" t="e">
        <v>#N/A</v>
      </c>
      <c r="QE75" s="1" t="e">
        <v>#N/A</v>
      </c>
      <c r="QF75" s="1" t="e">
        <v>#N/A</v>
      </c>
      <c r="QG75" s="1" t="e">
        <v>#N/A</v>
      </c>
      <c r="QH75" s="1" t="e">
        <v>#N/A</v>
      </c>
      <c r="QI75" s="1" t="e">
        <v>#N/A</v>
      </c>
      <c r="QJ75" s="1" t="e">
        <v>#N/A</v>
      </c>
      <c r="QK75" s="1" t="e">
        <v>#N/A</v>
      </c>
      <c r="QL75" s="1" t="e">
        <v>#N/A</v>
      </c>
      <c r="QM75" s="1" t="e">
        <v>#N/A</v>
      </c>
      <c r="QN75" s="1" t="e">
        <v>#N/A</v>
      </c>
      <c r="QO75" s="1" t="e">
        <v>#N/A</v>
      </c>
      <c r="QP75" s="1" t="e">
        <v>#N/A</v>
      </c>
    </row>
    <row r="76" spans="1:458" ht="26.25" x14ac:dyDescent="0.4">
      <c r="A76" s="347"/>
      <c r="B76" s="348"/>
      <c r="C76" s="288"/>
      <c r="D76" s="349"/>
      <c r="E76" s="350"/>
      <c r="F76" s="351"/>
      <c r="G76" s="352"/>
      <c r="H76" s="348"/>
      <c r="I76" s="353"/>
      <c r="J76" s="345"/>
      <c r="L76" s="76"/>
      <c r="PJ76" s="1" t="e">
        <v>#N/A</v>
      </c>
      <c r="PK76" s="1" t="e">
        <v>#N/A</v>
      </c>
      <c r="PL76" s="1" t="e">
        <v>#N/A</v>
      </c>
      <c r="PM76" s="1" t="e">
        <v>#N/A</v>
      </c>
      <c r="PN76" s="1" t="e">
        <v>#N/A</v>
      </c>
      <c r="PO76" s="1" t="e">
        <v>#N/A</v>
      </c>
      <c r="PP76" s="1" t="e">
        <v>#N/A</v>
      </c>
      <c r="PQ76" s="1" t="e">
        <v>#N/A</v>
      </c>
      <c r="PR76" s="1" t="e">
        <v>#N/A</v>
      </c>
      <c r="PS76" s="1" t="e">
        <v>#N/A</v>
      </c>
      <c r="PT76" s="1" t="e">
        <v>#N/A</v>
      </c>
      <c r="PU76" s="1" t="e">
        <v>#N/A</v>
      </c>
      <c r="PV76" s="1" t="e">
        <v>#N/A</v>
      </c>
      <c r="PW76" s="1" t="e">
        <v>#N/A</v>
      </c>
      <c r="PX76" s="1" t="e">
        <v>#N/A</v>
      </c>
      <c r="PY76" s="1" t="e">
        <v>#N/A</v>
      </c>
      <c r="PZ76" s="1" t="e">
        <v>#N/A</v>
      </c>
      <c r="QA76" s="1" t="e">
        <v>#N/A</v>
      </c>
      <c r="QB76" s="1" t="e">
        <v>#N/A</v>
      </c>
      <c r="QC76" s="1" t="e">
        <v>#N/A</v>
      </c>
      <c r="QD76" s="1" t="e">
        <v>#N/A</v>
      </c>
      <c r="QE76" s="1" t="e">
        <v>#N/A</v>
      </c>
      <c r="QF76" s="1" t="e">
        <v>#N/A</v>
      </c>
      <c r="QG76" s="1" t="e">
        <v>#N/A</v>
      </c>
      <c r="QH76" s="1" t="e">
        <v>#N/A</v>
      </c>
      <c r="QI76" s="1" t="e">
        <v>#N/A</v>
      </c>
      <c r="QJ76" s="1" t="e">
        <v>#N/A</v>
      </c>
      <c r="QK76" s="1" t="e">
        <v>#N/A</v>
      </c>
      <c r="QL76" s="1" t="e">
        <v>#N/A</v>
      </c>
      <c r="QM76" s="1" t="e">
        <v>#N/A</v>
      </c>
      <c r="QN76" s="1" t="e">
        <v>#N/A</v>
      </c>
      <c r="QO76" s="1" t="e">
        <v>#N/A</v>
      </c>
      <c r="QP76" s="1" t="e">
        <v>#N/A</v>
      </c>
    </row>
    <row r="77" spans="1:458" ht="21" x14ac:dyDescent="0.35">
      <c r="A77" s="378"/>
      <c r="B77" s="386"/>
      <c r="C77" s="381"/>
      <c r="D77" s="382"/>
      <c r="E77" s="383"/>
      <c r="F77" s="384"/>
      <c r="G77" s="385"/>
      <c r="H77" s="386"/>
      <c r="I77" s="387"/>
      <c r="J77" s="375"/>
      <c r="L77" s="76"/>
      <c r="PJ77" s="1" t="e">
        <v>#N/A</v>
      </c>
      <c r="PK77" s="1" t="e">
        <v>#N/A</v>
      </c>
      <c r="PL77" s="1" t="e">
        <v>#N/A</v>
      </c>
      <c r="PM77" s="1" t="e">
        <v>#N/A</v>
      </c>
      <c r="PN77" s="1" t="e">
        <v>#N/A</v>
      </c>
      <c r="PO77" s="1" t="e">
        <v>#N/A</v>
      </c>
      <c r="PP77" s="1" t="e">
        <v>#N/A</v>
      </c>
      <c r="PQ77" s="1" t="e">
        <v>#N/A</v>
      </c>
      <c r="PR77" s="1" t="e">
        <v>#N/A</v>
      </c>
      <c r="PS77" s="1" t="e">
        <v>#N/A</v>
      </c>
      <c r="PT77" s="1" t="e">
        <v>#N/A</v>
      </c>
      <c r="PU77" s="1" t="e">
        <v>#N/A</v>
      </c>
      <c r="PV77" s="1" t="e">
        <v>#N/A</v>
      </c>
      <c r="PW77" s="1" t="e">
        <v>#N/A</v>
      </c>
      <c r="PX77" s="1" t="e">
        <v>#N/A</v>
      </c>
      <c r="PY77" s="1" t="e">
        <v>#N/A</v>
      </c>
      <c r="PZ77" s="1" t="e">
        <v>#N/A</v>
      </c>
      <c r="QA77" s="1" t="e">
        <v>#N/A</v>
      </c>
      <c r="QB77" s="1" t="e">
        <v>#N/A</v>
      </c>
      <c r="QC77" s="1" t="e">
        <v>#N/A</v>
      </c>
      <c r="QD77" s="1" t="e">
        <v>#N/A</v>
      </c>
      <c r="QE77" s="1" t="e">
        <v>#N/A</v>
      </c>
      <c r="QF77" s="1" t="e">
        <v>#N/A</v>
      </c>
      <c r="QG77" s="1" t="e">
        <v>#N/A</v>
      </c>
      <c r="QH77" s="1" t="e">
        <v>#N/A</v>
      </c>
      <c r="QI77" s="1" t="e">
        <v>#N/A</v>
      </c>
      <c r="QJ77" s="1" t="e">
        <v>#N/A</v>
      </c>
      <c r="QK77" s="1" t="e">
        <v>#N/A</v>
      </c>
      <c r="QL77" s="1" t="e">
        <v>#N/A</v>
      </c>
      <c r="QM77" s="1" t="e">
        <v>#N/A</v>
      </c>
      <c r="QN77" s="1" t="e">
        <v>#N/A</v>
      </c>
      <c r="QO77" s="1" t="e">
        <v>#N/A</v>
      </c>
      <c r="QP77" s="1" t="e">
        <v>#N/A</v>
      </c>
    </row>
    <row r="78" spans="1:458" ht="26.25" x14ac:dyDescent="0.4">
      <c r="A78" s="347"/>
      <c r="B78" s="348"/>
      <c r="C78" s="288"/>
      <c r="D78" s="349"/>
      <c r="E78" s="350"/>
      <c r="F78" s="351"/>
      <c r="G78" s="352"/>
      <c r="H78" s="348"/>
      <c r="I78" s="353"/>
      <c r="J78" s="345"/>
      <c r="L78" s="76"/>
      <c r="PJ78" s="1" t="e">
        <v>#N/A</v>
      </c>
      <c r="PK78" s="1" t="e">
        <v>#N/A</v>
      </c>
      <c r="PL78" s="1" t="e">
        <v>#N/A</v>
      </c>
      <c r="PM78" s="1" t="e">
        <v>#N/A</v>
      </c>
      <c r="PN78" s="1" t="e">
        <v>#N/A</v>
      </c>
      <c r="PO78" s="1" t="e">
        <v>#N/A</v>
      </c>
      <c r="PP78" s="1" t="e">
        <v>#N/A</v>
      </c>
      <c r="PQ78" s="1" t="e">
        <v>#N/A</v>
      </c>
      <c r="PR78" s="1" t="e">
        <v>#N/A</v>
      </c>
      <c r="PS78" s="1" t="e">
        <v>#N/A</v>
      </c>
      <c r="PT78" s="1" t="e">
        <v>#N/A</v>
      </c>
      <c r="PU78" s="1" t="e">
        <v>#N/A</v>
      </c>
      <c r="PV78" s="1" t="e">
        <v>#N/A</v>
      </c>
      <c r="PW78" s="1" t="e">
        <v>#N/A</v>
      </c>
      <c r="PX78" s="1" t="e">
        <v>#N/A</v>
      </c>
      <c r="PY78" s="1" t="e">
        <v>#N/A</v>
      </c>
      <c r="PZ78" s="1" t="e">
        <v>#N/A</v>
      </c>
      <c r="QA78" s="1" t="e">
        <v>#N/A</v>
      </c>
      <c r="QB78" s="1" t="e">
        <v>#N/A</v>
      </c>
      <c r="QC78" s="1" t="e">
        <v>#N/A</v>
      </c>
      <c r="QD78" s="1" t="e">
        <v>#N/A</v>
      </c>
      <c r="QE78" s="1" t="e">
        <v>#N/A</v>
      </c>
      <c r="QF78" s="1" t="e">
        <v>#N/A</v>
      </c>
      <c r="QG78" s="1" t="e">
        <v>#N/A</v>
      </c>
      <c r="QH78" s="1" t="e">
        <v>#N/A</v>
      </c>
      <c r="QI78" s="1" t="e">
        <v>#N/A</v>
      </c>
      <c r="QJ78" s="1" t="e">
        <v>#N/A</v>
      </c>
      <c r="QK78" s="1" t="e">
        <v>#N/A</v>
      </c>
      <c r="QL78" s="1" t="e">
        <v>#N/A</v>
      </c>
      <c r="QM78" s="1" t="e">
        <v>#N/A</v>
      </c>
      <c r="QN78" s="1" t="e">
        <v>#N/A</v>
      </c>
      <c r="QO78" s="1" t="e">
        <v>#N/A</v>
      </c>
      <c r="QP78" s="1" t="e">
        <v>#N/A</v>
      </c>
    </row>
    <row r="79" spans="1:458" ht="26.25" x14ac:dyDescent="0.4">
      <c r="A79" s="347"/>
      <c r="B79" s="348"/>
      <c r="C79" s="288"/>
      <c r="D79" s="349"/>
      <c r="E79" s="350"/>
      <c r="F79" s="351"/>
      <c r="G79" s="352"/>
      <c r="H79" s="348"/>
      <c r="I79" s="353"/>
      <c r="J79" s="345"/>
      <c r="L79" s="76"/>
      <c r="PJ79" s="1" t="e">
        <v>#N/A</v>
      </c>
      <c r="PK79" s="1" t="e">
        <v>#N/A</v>
      </c>
      <c r="PL79" s="1" t="e">
        <v>#N/A</v>
      </c>
      <c r="PM79" s="1" t="e">
        <v>#N/A</v>
      </c>
      <c r="PN79" s="1" t="e">
        <v>#N/A</v>
      </c>
      <c r="PO79" s="1" t="e">
        <v>#N/A</v>
      </c>
      <c r="PP79" s="1" t="e">
        <v>#N/A</v>
      </c>
      <c r="PQ79" s="1" t="e">
        <v>#N/A</v>
      </c>
      <c r="PR79" s="1" t="e">
        <v>#N/A</v>
      </c>
      <c r="PS79" s="1" t="e">
        <v>#N/A</v>
      </c>
      <c r="PT79" s="1" t="e">
        <v>#N/A</v>
      </c>
      <c r="PU79" s="1" t="e">
        <v>#N/A</v>
      </c>
      <c r="PV79" s="1" t="e">
        <v>#N/A</v>
      </c>
      <c r="PW79" s="1" t="e">
        <v>#N/A</v>
      </c>
      <c r="PX79" s="1" t="e">
        <v>#N/A</v>
      </c>
      <c r="PY79" s="1" t="e">
        <v>#N/A</v>
      </c>
      <c r="PZ79" s="1" t="e">
        <v>#N/A</v>
      </c>
      <c r="QA79" s="1" t="e">
        <v>#N/A</v>
      </c>
      <c r="QB79" s="1" t="e">
        <v>#N/A</v>
      </c>
      <c r="QC79" s="1" t="e">
        <v>#N/A</v>
      </c>
      <c r="QD79" s="1" t="e">
        <v>#N/A</v>
      </c>
      <c r="QE79" s="1" t="e">
        <v>#N/A</v>
      </c>
      <c r="QF79" s="1" t="e">
        <v>#N/A</v>
      </c>
      <c r="QG79" s="1" t="e">
        <v>#N/A</v>
      </c>
      <c r="QH79" s="1" t="e">
        <v>#N/A</v>
      </c>
      <c r="QI79" s="1" t="e">
        <v>#N/A</v>
      </c>
      <c r="QJ79" s="1" t="e">
        <v>#N/A</v>
      </c>
      <c r="QK79" s="1" t="e">
        <v>#N/A</v>
      </c>
      <c r="QL79" s="1" t="e">
        <v>#N/A</v>
      </c>
      <c r="QM79" s="1" t="e">
        <v>#N/A</v>
      </c>
      <c r="QN79" s="1" t="e">
        <v>#N/A</v>
      </c>
      <c r="QO79" s="1" t="e">
        <v>#N/A</v>
      </c>
      <c r="QP79" s="1" t="e">
        <v>#N/A</v>
      </c>
    </row>
    <row r="80" spans="1:458" ht="26.25" x14ac:dyDescent="0.4">
      <c r="A80" s="347"/>
      <c r="B80" s="348"/>
      <c r="C80" s="288"/>
      <c r="D80" s="349"/>
      <c r="E80" s="350"/>
      <c r="F80" s="351"/>
      <c r="G80" s="352"/>
      <c r="H80" s="348"/>
      <c r="I80" s="353"/>
      <c r="J80" s="345"/>
      <c r="L80" s="76"/>
      <c r="PJ80" s="1" t="e">
        <v>#N/A</v>
      </c>
      <c r="PK80" s="1" t="e">
        <v>#N/A</v>
      </c>
      <c r="PL80" s="1" t="e">
        <v>#N/A</v>
      </c>
      <c r="PM80" s="1" t="e">
        <v>#N/A</v>
      </c>
      <c r="PN80" s="1" t="e">
        <v>#N/A</v>
      </c>
      <c r="PO80" s="1" t="e">
        <v>#N/A</v>
      </c>
      <c r="PP80" s="1" t="e">
        <v>#N/A</v>
      </c>
      <c r="PQ80" s="1" t="e">
        <v>#N/A</v>
      </c>
      <c r="PR80" s="1" t="e">
        <v>#N/A</v>
      </c>
      <c r="PS80" s="1" t="e">
        <v>#N/A</v>
      </c>
      <c r="PT80" s="1" t="e">
        <v>#N/A</v>
      </c>
      <c r="PU80" s="1" t="e">
        <v>#N/A</v>
      </c>
      <c r="PV80" s="1" t="e">
        <v>#N/A</v>
      </c>
      <c r="PW80" s="1" t="e">
        <v>#N/A</v>
      </c>
      <c r="PX80" s="1" t="e">
        <v>#N/A</v>
      </c>
      <c r="PY80" s="1" t="e">
        <v>#N/A</v>
      </c>
      <c r="PZ80" s="1" t="e">
        <v>#N/A</v>
      </c>
      <c r="QA80" s="1" t="e">
        <v>#N/A</v>
      </c>
      <c r="QB80" s="1" t="e">
        <v>#N/A</v>
      </c>
      <c r="QC80" s="1" t="e">
        <v>#N/A</v>
      </c>
      <c r="QD80" s="1" t="e">
        <v>#N/A</v>
      </c>
      <c r="QE80" s="1" t="e">
        <v>#N/A</v>
      </c>
      <c r="QF80" s="1" t="e">
        <v>#N/A</v>
      </c>
      <c r="QG80" s="1" t="e">
        <v>#N/A</v>
      </c>
      <c r="QH80" s="1" t="e">
        <v>#N/A</v>
      </c>
      <c r="QI80" s="1" t="e">
        <v>#N/A</v>
      </c>
      <c r="QJ80" s="1" t="e">
        <v>#N/A</v>
      </c>
      <c r="QK80" s="1" t="e">
        <v>#N/A</v>
      </c>
      <c r="QL80" s="1" t="e">
        <v>#N/A</v>
      </c>
      <c r="QM80" s="1" t="e">
        <v>#N/A</v>
      </c>
      <c r="QN80" s="1" t="e">
        <v>#N/A</v>
      </c>
      <c r="QO80" s="1" t="e">
        <v>#N/A</v>
      </c>
      <c r="QP80" s="1" t="e">
        <v>#N/A</v>
      </c>
    </row>
    <row r="81" spans="1:458" ht="26.25" x14ac:dyDescent="0.4">
      <c r="A81" s="347"/>
      <c r="B81" s="348"/>
      <c r="C81" s="288"/>
      <c r="D81" s="349"/>
      <c r="E81" s="350"/>
      <c r="F81" s="351"/>
      <c r="G81" s="352"/>
      <c r="H81" s="348"/>
      <c r="I81" s="353"/>
      <c r="J81" s="345"/>
      <c r="L81" s="76"/>
      <c r="PJ81" s="1" t="e">
        <v>#N/A</v>
      </c>
      <c r="PK81" s="1" t="e">
        <v>#N/A</v>
      </c>
      <c r="PL81" s="1" t="e">
        <v>#N/A</v>
      </c>
      <c r="PM81" s="1" t="e">
        <v>#N/A</v>
      </c>
      <c r="PN81" s="1" t="e">
        <v>#N/A</v>
      </c>
      <c r="PO81" s="1" t="e">
        <v>#N/A</v>
      </c>
      <c r="PP81" s="1" t="e">
        <v>#N/A</v>
      </c>
      <c r="PQ81" s="1" t="e">
        <v>#N/A</v>
      </c>
      <c r="PR81" s="1" t="e">
        <v>#N/A</v>
      </c>
      <c r="PS81" s="1" t="e">
        <v>#N/A</v>
      </c>
      <c r="PT81" s="1" t="e">
        <v>#N/A</v>
      </c>
      <c r="PU81" s="1" t="e">
        <v>#N/A</v>
      </c>
      <c r="PV81" s="1" t="e">
        <v>#N/A</v>
      </c>
      <c r="PW81" s="1" t="e">
        <v>#N/A</v>
      </c>
      <c r="PX81" s="1" t="e">
        <v>#N/A</v>
      </c>
      <c r="PY81" s="1" t="e">
        <v>#N/A</v>
      </c>
      <c r="PZ81" s="1" t="e">
        <v>#N/A</v>
      </c>
      <c r="QA81" s="1" t="e">
        <v>#N/A</v>
      </c>
      <c r="QB81" s="1" t="e">
        <v>#N/A</v>
      </c>
      <c r="QC81" s="1" t="e">
        <v>#N/A</v>
      </c>
      <c r="QD81" s="1" t="e">
        <v>#N/A</v>
      </c>
      <c r="QE81" s="1" t="e">
        <v>#N/A</v>
      </c>
      <c r="QF81" s="1" t="e">
        <v>#N/A</v>
      </c>
      <c r="QG81" s="1" t="e">
        <v>#N/A</v>
      </c>
      <c r="QH81" s="1" t="e">
        <v>#N/A</v>
      </c>
      <c r="QI81" s="1" t="e">
        <v>#N/A</v>
      </c>
      <c r="QJ81" s="1" t="e">
        <v>#N/A</v>
      </c>
      <c r="QK81" s="1" t="e">
        <v>#N/A</v>
      </c>
      <c r="QL81" s="1" t="e">
        <v>#N/A</v>
      </c>
      <c r="QM81" s="1" t="e">
        <v>#N/A</v>
      </c>
      <c r="QN81" s="1" t="e">
        <v>#N/A</v>
      </c>
      <c r="QO81" s="1" t="e">
        <v>#N/A</v>
      </c>
      <c r="QP81" s="1" t="e">
        <v>#N/A</v>
      </c>
    </row>
    <row r="82" spans="1:458" ht="26.25" x14ac:dyDescent="0.4">
      <c r="A82" s="347"/>
      <c r="B82" s="348"/>
      <c r="C82" s="288"/>
      <c r="D82" s="349"/>
      <c r="E82" s="350"/>
      <c r="F82" s="351"/>
      <c r="G82" s="352"/>
      <c r="H82" s="348"/>
      <c r="I82" s="353"/>
      <c r="J82" s="345"/>
      <c r="L82" s="76"/>
      <c r="PJ82" s="1" t="e">
        <v>#N/A</v>
      </c>
      <c r="PK82" s="1" t="e">
        <v>#N/A</v>
      </c>
      <c r="PL82" s="1" t="e">
        <v>#N/A</v>
      </c>
      <c r="PM82" s="1" t="e">
        <v>#N/A</v>
      </c>
      <c r="PN82" s="1" t="e">
        <v>#N/A</v>
      </c>
      <c r="PO82" s="1" t="e">
        <v>#N/A</v>
      </c>
      <c r="PP82" s="1" t="e">
        <v>#N/A</v>
      </c>
      <c r="PQ82" s="1" t="e">
        <v>#N/A</v>
      </c>
      <c r="PR82" s="1" t="e">
        <v>#N/A</v>
      </c>
      <c r="PS82" s="1" t="e">
        <v>#N/A</v>
      </c>
      <c r="PT82" s="1" t="e">
        <v>#N/A</v>
      </c>
      <c r="PU82" s="1" t="e">
        <v>#N/A</v>
      </c>
      <c r="PV82" s="1" t="e">
        <v>#N/A</v>
      </c>
      <c r="PW82" s="1" t="e">
        <v>#N/A</v>
      </c>
      <c r="PX82" s="1" t="e">
        <v>#N/A</v>
      </c>
      <c r="PY82" s="1" t="e">
        <v>#N/A</v>
      </c>
      <c r="PZ82" s="1" t="e">
        <v>#N/A</v>
      </c>
      <c r="QA82" s="1" t="e">
        <v>#N/A</v>
      </c>
      <c r="QB82" s="1" t="e">
        <v>#N/A</v>
      </c>
      <c r="QC82" s="1" t="e">
        <v>#N/A</v>
      </c>
      <c r="QD82" s="1" t="e">
        <v>#N/A</v>
      </c>
      <c r="QE82" s="1" t="e">
        <v>#N/A</v>
      </c>
      <c r="QF82" s="1" t="e">
        <v>#N/A</v>
      </c>
      <c r="QG82" s="1" t="e">
        <v>#N/A</v>
      </c>
      <c r="QH82" s="1" t="e">
        <v>#N/A</v>
      </c>
      <c r="QI82" s="1" t="e">
        <v>#N/A</v>
      </c>
      <c r="QJ82" s="1" t="e">
        <v>#N/A</v>
      </c>
      <c r="QK82" s="1" t="e">
        <v>#N/A</v>
      </c>
      <c r="QL82" s="1" t="e">
        <v>#N/A</v>
      </c>
      <c r="QM82" s="1" t="e">
        <v>#N/A</v>
      </c>
      <c r="QN82" s="1" t="e">
        <v>#N/A</v>
      </c>
      <c r="QO82" s="1" t="e">
        <v>#N/A</v>
      </c>
      <c r="QP82" s="1" t="e">
        <v>#N/A</v>
      </c>
    </row>
    <row r="83" spans="1:458" ht="26.25" x14ac:dyDescent="0.4">
      <c r="A83" s="347"/>
      <c r="B83" s="348"/>
      <c r="C83" s="288"/>
      <c r="D83" s="349"/>
      <c r="E83" s="350"/>
      <c r="F83" s="351"/>
      <c r="G83" s="352"/>
      <c r="H83" s="348"/>
      <c r="I83" s="353"/>
      <c r="J83" s="353"/>
      <c r="L83" s="76"/>
      <c r="PJ83" s="1" t="e">
        <v>#N/A</v>
      </c>
      <c r="PK83" s="1" t="e">
        <v>#N/A</v>
      </c>
      <c r="PL83" s="1" t="e">
        <v>#N/A</v>
      </c>
      <c r="PM83" s="1" t="e">
        <v>#N/A</v>
      </c>
      <c r="PN83" s="1" t="e">
        <v>#N/A</v>
      </c>
      <c r="PO83" s="1" t="e">
        <v>#N/A</v>
      </c>
      <c r="PP83" s="1" t="e">
        <v>#N/A</v>
      </c>
      <c r="PQ83" s="1" t="e">
        <v>#N/A</v>
      </c>
      <c r="PR83" s="1" t="e">
        <v>#N/A</v>
      </c>
      <c r="PS83" s="1" t="e">
        <v>#N/A</v>
      </c>
      <c r="PT83" s="1" t="e">
        <v>#N/A</v>
      </c>
      <c r="PU83" s="1" t="e">
        <v>#N/A</v>
      </c>
      <c r="PV83" s="1" t="e">
        <v>#N/A</v>
      </c>
      <c r="PW83" s="1" t="e">
        <v>#N/A</v>
      </c>
      <c r="PX83" s="1" t="e">
        <v>#N/A</v>
      </c>
      <c r="PY83" s="1" t="e">
        <v>#N/A</v>
      </c>
      <c r="PZ83" s="1" t="e">
        <v>#N/A</v>
      </c>
      <c r="QA83" s="1" t="e">
        <v>#N/A</v>
      </c>
      <c r="QB83" s="1" t="e">
        <v>#N/A</v>
      </c>
      <c r="QC83" s="1" t="e">
        <v>#N/A</v>
      </c>
      <c r="QD83" s="1" t="e">
        <v>#N/A</v>
      </c>
      <c r="QE83" s="1" t="e">
        <v>#N/A</v>
      </c>
      <c r="QF83" s="1" t="e">
        <v>#N/A</v>
      </c>
      <c r="QG83" s="1" t="e">
        <v>#N/A</v>
      </c>
      <c r="QH83" s="1" t="e">
        <v>#N/A</v>
      </c>
      <c r="QI83" s="1" t="e">
        <v>#N/A</v>
      </c>
      <c r="QJ83" s="1" t="e">
        <v>#N/A</v>
      </c>
      <c r="QK83" s="1" t="e">
        <v>#N/A</v>
      </c>
      <c r="QL83" s="1" t="e">
        <v>#N/A</v>
      </c>
      <c r="QM83" s="1" t="e">
        <v>#N/A</v>
      </c>
      <c r="QN83" s="1" t="e">
        <v>#N/A</v>
      </c>
      <c r="QO83" s="1" t="e">
        <v>#N/A</v>
      </c>
      <c r="QP83" s="1" t="e">
        <v>#N/A</v>
      </c>
    </row>
    <row r="84" spans="1:458" ht="26.25" x14ac:dyDescent="0.4">
      <c r="A84" s="347"/>
      <c r="B84" s="348"/>
      <c r="C84" s="288"/>
      <c r="D84" s="349"/>
      <c r="E84" s="350"/>
      <c r="F84" s="351"/>
      <c r="G84" s="352"/>
      <c r="H84" s="348"/>
      <c r="I84" s="353"/>
      <c r="J84" s="353"/>
      <c r="L84" s="76"/>
      <c r="PJ84" s="1" t="e">
        <v>#N/A</v>
      </c>
      <c r="PK84" s="1" t="e">
        <v>#N/A</v>
      </c>
      <c r="PL84" s="1" t="e">
        <v>#N/A</v>
      </c>
      <c r="PM84" s="1" t="e">
        <v>#N/A</v>
      </c>
      <c r="PN84" s="1" t="e">
        <v>#N/A</v>
      </c>
      <c r="PO84" s="1" t="e">
        <v>#N/A</v>
      </c>
      <c r="PP84" s="1" t="e">
        <v>#N/A</v>
      </c>
      <c r="PQ84" s="1" t="e">
        <v>#N/A</v>
      </c>
      <c r="PR84" s="1" t="e">
        <v>#N/A</v>
      </c>
      <c r="PS84" s="1" t="e">
        <v>#N/A</v>
      </c>
      <c r="PT84" s="1" t="e">
        <v>#N/A</v>
      </c>
      <c r="PU84" s="1" t="e">
        <v>#N/A</v>
      </c>
      <c r="PV84" s="1" t="e">
        <v>#N/A</v>
      </c>
      <c r="PW84" s="1" t="e">
        <v>#N/A</v>
      </c>
      <c r="PX84" s="1" t="e">
        <v>#N/A</v>
      </c>
      <c r="PY84" s="1" t="e">
        <v>#N/A</v>
      </c>
      <c r="PZ84" s="1" t="e">
        <v>#N/A</v>
      </c>
      <c r="QA84" s="1" t="e">
        <v>#N/A</v>
      </c>
      <c r="QB84" s="1" t="e">
        <v>#N/A</v>
      </c>
      <c r="QC84" s="1" t="e">
        <v>#N/A</v>
      </c>
      <c r="QD84" s="1" t="e">
        <v>#N/A</v>
      </c>
      <c r="QE84" s="1" t="e">
        <v>#N/A</v>
      </c>
      <c r="QF84" s="1" t="e">
        <v>#N/A</v>
      </c>
      <c r="QG84" s="1" t="e">
        <v>#N/A</v>
      </c>
      <c r="QH84" s="1" t="e">
        <v>#N/A</v>
      </c>
      <c r="QI84" s="1" t="e">
        <v>#N/A</v>
      </c>
      <c r="QJ84" s="1" t="e">
        <v>#N/A</v>
      </c>
      <c r="QK84" s="1" t="e">
        <v>#N/A</v>
      </c>
      <c r="QL84" s="1" t="e">
        <v>#N/A</v>
      </c>
      <c r="QM84" s="1" t="e">
        <v>#N/A</v>
      </c>
      <c r="QN84" s="1" t="e">
        <v>#N/A</v>
      </c>
      <c r="QO84" s="1" t="e">
        <v>#N/A</v>
      </c>
      <c r="QP84" s="1" t="e">
        <v>#N/A</v>
      </c>
    </row>
    <row r="85" spans="1:458" ht="26.25" x14ac:dyDescent="0.4">
      <c r="A85" s="347"/>
      <c r="B85" s="348"/>
      <c r="C85" s="288"/>
      <c r="D85" s="349"/>
      <c r="E85" s="350"/>
      <c r="F85" s="351"/>
      <c r="G85" s="352"/>
      <c r="H85" s="348"/>
      <c r="I85" s="353"/>
      <c r="J85" s="353"/>
      <c r="L85" s="76"/>
      <c r="PJ85" s="1" t="e">
        <v>#N/A</v>
      </c>
      <c r="PK85" s="1" t="e">
        <v>#N/A</v>
      </c>
      <c r="PL85" s="1" t="e">
        <v>#N/A</v>
      </c>
      <c r="PM85" s="1" t="e">
        <v>#N/A</v>
      </c>
      <c r="PN85" s="1" t="e">
        <v>#N/A</v>
      </c>
      <c r="PO85" s="1" t="e">
        <v>#N/A</v>
      </c>
      <c r="PP85" s="1" t="e">
        <v>#N/A</v>
      </c>
      <c r="PQ85" s="1" t="e">
        <v>#N/A</v>
      </c>
      <c r="PR85" s="1" t="e">
        <v>#N/A</v>
      </c>
      <c r="PS85" s="1" t="e">
        <v>#N/A</v>
      </c>
      <c r="PT85" s="1" t="e">
        <v>#N/A</v>
      </c>
      <c r="PU85" s="1" t="e">
        <v>#N/A</v>
      </c>
      <c r="PV85" s="1" t="e">
        <v>#N/A</v>
      </c>
      <c r="PW85" s="1" t="e">
        <v>#N/A</v>
      </c>
      <c r="PX85" s="1" t="e">
        <v>#N/A</v>
      </c>
      <c r="PY85" s="1" t="e">
        <v>#N/A</v>
      </c>
      <c r="PZ85" s="1" t="e">
        <v>#N/A</v>
      </c>
      <c r="QA85" s="1" t="e">
        <v>#N/A</v>
      </c>
      <c r="QB85" s="1" t="e">
        <v>#N/A</v>
      </c>
      <c r="QC85" s="1" t="e">
        <v>#N/A</v>
      </c>
      <c r="QD85" s="1" t="e">
        <v>#N/A</v>
      </c>
      <c r="QE85" s="1" t="e">
        <v>#N/A</v>
      </c>
      <c r="QF85" s="1" t="e">
        <v>#N/A</v>
      </c>
      <c r="QG85" s="1" t="e">
        <v>#N/A</v>
      </c>
      <c r="QH85" s="1" t="e">
        <v>#N/A</v>
      </c>
      <c r="QI85" s="1" t="e">
        <v>#N/A</v>
      </c>
      <c r="QJ85" s="1" t="e">
        <v>#N/A</v>
      </c>
      <c r="QK85" s="1" t="e">
        <v>#N/A</v>
      </c>
      <c r="QL85" s="1" t="e">
        <v>#N/A</v>
      </c>
      <c r="QM85" s="1" t="e">
        <v>#N/A</v>
      </c>
      <c r="QN85" s="1" t="e">
        <v>#N/A</v>
      </c>
      <c r="QO85" s="1" t="e">
        <v>#N/A</v>
      </c>
      <c r="QP85" s="1" t="e">
        <v>#N/A</v>
      </c>
    </row>
    <row r="86" spans="1:458" ht="26.25" x14ac:dyDescent="0.4">
      <c r="A86" s="347"/>
      <c r="B86" s="348"/>
      <c r="C86" s="288"/>
      <c r="D86" s="349"/>
      <c r="E86" s="350"/>
      <c r="F86" s="351"/>
      <c r="G86" s="352"/>
      <c r="H86" s="348"/>
      <c r="I86" s="353"/>
      <c r="J86" s="353"/>
      <c r="L86" s="76"/>
      <c r="PJ86" s="1" t="e">
        <v>#N/A</v>
      </c>
      <c r="PK86" s="1" t="e">
        <v>#N/A</v>
      </c>
      <c r="PL86" s="1" t="e">
        <v>#N/A</v>
      </c>
      <c r="PM86" s="1" t="e">
        <v>#N/A</v>
      </c>
      <c r="PN86" s="1" t="e">
        <v>#N/A</v>
      </c>
      <c r="PO86" s="1" t="e">
        <v>#N/A</v>
      </c>
      <c r="PP86" s="1" t="e">
        <v>#N/A</v>
      </c>
      <c r="PQ86" s="1" t="e">
        <v>#N/A</v>
      </c>
      <c r="PR86" s="1" t="e">
        <v>#N/A</v>
      </c>
      <c r="PS86" s="1" t="e">
        <v>#N/A</v>
      </c>
      <c r="PT86" s="1" t="e">
        <v>#N/A</v>
      </c>
      <c r="PU86" s="1" t="e">
        <v>#N/A</v>
      </c>
      <c r="PV86" s="1" t="e">
        <v>#N/A</v>
      </c>
      <c r="PW86" s="1" t="e">
        <v>#N/A</v>
      </c>
      <c r="PX86" s="1" t="e">
        <v>#N/A</v>
      </c>
      <c r="PY86" s="1" t="e">
        <v>#N/A</v>
      </c>
      <c r="PZ86" s="1" t="e">
        <v>#N/A</v>
      </c>
      <c r="QA86" s="1" t="e">
        <v>#N/A</v>
      </c>
      <c r="QB86" s="1" t="e">
        <v>#N/A</v>
      </c>
      <c r="QC86" s="1" t="e">
        <v>#N/A</v>
      </c>
      <c r="QD86" s="1" t="e">
        <v>#N/A</v>
      </c>
      <c r="QE86" s="1" t="e">
        <v>#N/A</v>
      </c>
      <c r="QF86" s="1" t="e">
        <v>#N/A</v>
      </c>
      <c r="QG86" s="1" t="e">
        <v>#N/A</v>
      </c>
      <c r="QH86" s="1" t="e">
        <v>#N/A</v>
      </c>
      <c r="QI86" s="1" t="e">
        <v>#N/A</v>
      </c>
      <c r="QJ86" s="1" t="e">
        <v>#N/A</v>
      </c>
      <c r="QK86" s="1" t="e">
        <v>#N/A</v>
      </c>
      <c r="QL86" s="1" t="e">
        <v>#N/A</v>
      </c>
      <c r="QM86" s="1" t="e">
        <v>#N/A</v>
      </c>
      <c r="QN86" s="1" t="e">
        <v>#N/A</v>
      </c>
      <c r="QO86" s="1" t="e">
        <v>#N/A</v>
      </c>
      <c r="QP86" s="1" t="e">
        <v>#N/A</v>
      </c>
    </row>
    <row r="87" spans="1:458" ht="26.25" x14ac:dyDescent="0.4">
      <c r="A87" s="347"/>
      <c r="B87" s="348"/>
      <c r="C87" s="288"/>
      <c r="D87" s="349"/>
      <c r="E87" s="350"/>
      <c r="F87" s="351"/>
      <c r="G87" s="352"/>
      <c r="H87" s="348"/>
      <c r="I87" s="353"/>
      <c r="J87" s="353"/>
      <c r="L87" s="76"/>
      <c r="PJ87" s="1" t="e">
        <v>#N/A</v>
      </c>
      <c r="PK87" s="1" t="e">
        <v>#N/A</v>
      </c>
      <c r="PL87" s="1" t="e">
        <v>#N/A</v>
      </c>
      <c r="PM87" s="1" t="e">
        <v>#N/A</v>
      </c>
      <c r="PN87" s="1" t="e">
        <v>#N/A</v>
      </c>
      <c r="PO87" s="1" t="e">
        <v>#N/A</v>
      </c>
      <c r="PP87" s="1" t="e">
        <v>#N/A</v>
      </c>
      <c r="PQ87" s="1" t="e">
        <v>#N/A</v>
      </c>
      <c r="PR87" s="1" t="e">
        <v>#N/A</v>
      </c>
      <c r="PS87" s="1" t="e">
        <v>#N/A</v>
      </c>
      <c r="PT87" s="1" t="e">
        <v>#N/A</v>
      </c>
      <c r="PU87" s="1" t="e">
        <v>#N/A</v>
      </c>
      <c r="PV87" s="1" t="e">
        <v>#N/A</v>
      </c>
      <c r="PW87" s="1" t="e">
        <v>#N/A</v>
      </c>
      <c r="PX87" s="1" t="e">
        <v>#N/A</v>
      </c>
      <c r="PY87" s="1" t="e">
        <v>#N/A</v>
      </c>
      <c r="PZ87" s="1" t="e">
        <v>#N/A</v>
      </c>
      <c r="QA87" s="1" t="e">
        <v>#N/A</v>
      </c>
      <c r="QB87" s="1" t="e">
        <v>#N/A</v>
      </c>
      <c r="QC87" s="1" t="e">
        <v>#N/A</v>
      </c>
      <c r="QD87" s="1" t="e">
        <v>#N/A</v>
      </c>
      <c r="QE87" s="1" t="e">
        <v>#N/A</v>
      </c>
      <c r="QF87" s="1" t="e">
        <v>#N/A</v>
      </c>
      <c r="QG87" s="1" t="e">
        <v>#N/A</v>
      </c>
      <c r="QH87" s="1" t="e">
        <v>#N/A</v>
      </c>
      <c r="QI87" s="1" t="e">
        <v>#N/A</v>
      </c>
      <c r="QJ87" s="1" t="e">
        <v>#N/A</v>
      </c>
      <c r="QK87" s="1" t="e">
        <v>#N/A</v>
      </c>
      <c r="QL87" s="1" t="e">
        <v>#N/A</v>
      </c>
      <c r="QM87" s="1" t="e">
        <v>#N/A</v>
      </c>
      <c r="QN87" s="1" t="e">
        <v>#N/A</v>
      </c>
      <c r="QO87" s="1" t="e">
        <v>#N/A</v>
      </c>
      <c r="QP87" s="1" t="e">
        <v>#N/A</v>
      </c>
    </row>
    <row r="88" spans="1:458" ht="26.25" x14ac:dyDescent="0.4">
      <c r="A88" s="347"/>
      <c r="B88" s="348"/>
      <c r="C88" s="288"/>
      <c r="D88" s="349"/>
      <c r="E88" s="350"/>
      <c r="F88" s="351"/>
      <c r="G88" s="352"/>
      <c r="H88" s="348"/>
      <c r="I88" s="353"/>
      <c r="J88" s="353"/>
      <c r="L88" s="76"/>
      <c r="PJ88" s="1" t="e">
        <v>#N/A</v>
      </c>
      <c r="PK88" s="1" t="e">
        <v>#N/A</v>
      </c>
      <c r="PL88" s="1" t="e">
        <v>#N/A</v>
      </c>
      <c r="PM88" s="1" t="e">
        <v>#N/A</v>
      </c>
      <c r="PN88" s="1" t="e">
        <v>#N/A</v>
      </c>
      <c r="PO88" s="1" t="e">
        <v>#N/A</v>
      </c>
      <c r="PP88" s="1" t="e">
        <v>#N/A</v>
      </c>
      <c r="PQ88" s="1" t="e">
        <v>#N/A</v>
      </c>
      <c r="PR88" s="1" t="e">
        <v>#N/A</v>
      </c>
      <c r="PS88" s="1" t="e">
        <v>#N/A</v>
      </c>
      <c r="PT88" s="1" t="e">
        <v>#N/A</v>
      </c>
      <c r="PU88" s="1" t="e">
        <v>#N/A</v>
      </c>
      <c r="PV88" s="1" t="e">
        <v>#N/A</v>
      </c>
      <c r="PW88" s="1" t="e">
        <v>#N/A</v>
      </c>
      <c r="PX88" s="1" t="e">
        <v>#N/A</v>
      </c>
      <c r="PY88" s="1" t="e">
        <v>#N/A</v>
      </c>
      <c r="PZ88" s="1" t="e">
        <v>#N/A</v>
      </c>
      <c r="QA88" s="1" t="e">
        <v>#N/A</v>
      </c>
      <c r="QB88" s="1" t="e">
        <v>#N/A</v>
      </c>
      <c r="QC88" s="1" t="e">
        <v>#N/A</v>
      </c>
      <c r="QD88" s="1" t="e">
        <v>#N/A</v>
      </c>
      <c r="QE88" s="1" t="e">
        <v>#N/A</v>
      </c>
      <c r="QF88" s="1" t="e">
        <v>#N/A</v>
      </c>
      <c r="QG88" s="1" t="e">
        <v>#N/A</v>
      </c>
      <c r="QH88" s="1" t="e">
        <v>#N/A</v>
      </c>
      <c r="QI88" s="1" t="e">
        <v>#N/A</v>
      </c>
      <c r="QJ88" s="1" t="e">
        <v>#N/A</v>
      </c>
      <c r="QK88" s="1" t="e">
        <v>#N/A</v>
      </c>
      <c r="QL88" s="1" t="e">
        <v>#N/A</v>
      </c>
      <c r="QM88" s="1" t="e">
        <v>#N/A</v>
      </c>
      <c r="QN88" s="1" t="e">
        <v>#N/A</v>
      </c>
      <c r="QO88" s="1" t="e">
        <v>#N/A</v>
      </c>
      <c r="QP88" s="1" t="e">
        <v>#N/A</v>
      </c>
    </row>
    <row r="89" spans="1:458" ht="26.25" x14ac:dyDescent="0.4">
      <c r="A89" s="347"/>
      <c r="B89" s="348"/>
      <c r="C89" s="288"/>
      <c r="D89" s="349"/>
      <c r="E89" s="350"/>
      <c r="F89" s="351"/>
      <c r="G89" s="352"/>
      <c r="H89" s="348"/>
      <c r="I89" s="353"/>
      <c r="J89" s="353"/>
      <c r="L89" s="76"/>
      <c r="PJ89" s="1" t="e">
        <v>#N/A</v>
      </c>
      <c r="PK89" s="1" t="e">
        <v>#N/A</v>
      </c>
      <c r="PL89" s="1" t="e">
        <v>#N/A</v>
      </c>
      <c r="PM89" s="1" t="e">
        <v>#N/A</v>
      </c>
      <c r="PN89" s="1" t="e">
        <v>#N/A</v>
      </c>
      <c r="PO89" s="1" t="e">
        <v>#N/A</v>
      </c>
      <c r="PP89" s="1" t="e">
        <v>#N/A</v>
      </c>
      <c r="PQ89" s="1" t="e">
        <v>#N/A</v>
      </c>
      <c r="PR89" s="1" t="e">
        <v>#N/A</v>
      </c>
      <c r="PS89" s="1" t="e">
        <v>#N/A</v>
      </c>
      <c r="PT89" s="1" t="e">
        <v>#N/A</v>
      </c>
      <c r="PU89" s="1" t="e">
        <v>#N/A</v>
      </c>
      <c r="PV89" s="1" t="e">
        <v>#N/A</v>
      </c>
      <c r="PW89" s="1" t="e">
        <v>#N/A</v>
      </c>
      <c r="PX89" s="1" t="e">
        <v>#N/A</v>
      </c>
      <c r="PY89" s="1" t="e">
        <v>#N/A</v>
      </c>
      <c r="PZ89" s="1" t="e">
        <v>#N/A</v>
      </c>
      <c r="QA89" s="1" t="e">
        <v>#N/A</v>
      </c>
      <c r="QB89" s="1" t="e">
        <v>#N/A</v>
      </c>
      <c r="QC89" s="1" t="e">
        <v>#N/A</v>
      </c>
      <c r="QD89" s="1" t="e">
        <v>#N/A</v>
      </c>
      <c r="QE89" s="1" t="e">
        <v>#N/A</v>
      </c>
      <c r="QF89" s="1" t="e">
        <v>#N/A</v>
      </c>
      <c r="QG89" s="1" t="e">
        <v>#N/A</v>
      </c>
      <c r="QH89" s="1" t="e">
        <v>#N/A</v>
      </c>
      <c r="QI89" s="1" t="e">
        <v>#N/A</v>
      </c>
      <c r="QJ89" s="1" t="e">
        <v>#N/A</v>
      </c>
      <c r="QK89" s="1" t="e">
        <v>#N/A</v>
      </c>
      <c r="QL89" s="1" t="e">
        <v>#N/A</v>
      </c>
      <c r="QM89" s="1" t="e">
        <v>#N/A</v>
      </c>
      <c r="QN89" s="1" t="e">
        <v>#N/A</v>
      </c>
      <c r="QO89" s="1" t="e">
        <v>#N/A</v>
      </c>
      <c r="QP89" s="1" t="e">
        <v>#N/A</v>
      </c>
    </row>
    <row r="90" spans="1:458" ht="26.25" x14ac:dyDescent="0.4">
      <c r="A90" s="347"/>
      <c r="B90" s="348"/>
      <c r="C90" s="288"/>
      <c r="D90" s="349"/>
      <c r="E90" s="350"/>
      <c r="F90" s="351"/>
      <c r="G90" s="352"/>
      <c r="H90" s="348"/>
      <c r="I90" s="353"/>
      <c r="J90" s="353"/>
      <c r="L90" s="76"/>
      <c r="PJ90" s="1" t="e">
        <v>#N/A</v>
      </c>
      <c r="PK90" s="1" t="e">
        <v>#N/A</v>
      </c>
      <c r="PL90" s="1" t="e">
        <v>#N/A</v>
      </c>
      <c r="PM90" s="1" t="e">
        <v>#N/A</v>
      </c>
      <c r="PN90" s="1" t="e">
        <v>#N/A</v>
      </c>
      <c r="PO90" s="1" t="e">
        <v>#N/A</v>
      </c>
      <c r="PP90" s="1" t="e">
        <v>#N/A</v>
      </c>
      <c r="PQ90" s="1" t="e">
        <v>#N/A</v>
      </c>
      <c r="PR90" s="1" t="e">
        <v>#N/A</v>
      </c>
      <c r="PS90" s="1" t="e">
        <v>#N/A</v>
      </c>
      <c r="PT90" s="1" t="e">
        <v>#N/A</v>
      </c>
      <c r="PU90" s="1" t="e">
        <v>#N/A</v>
      </c>
      <c r="PV90" s="1" t="e">
        <v>#N/A</v>
      </c>
      <c r="PW90" s="1" t="e">
        <v>#N/A</v>
      </c>
      <c r="PX90" s="1" t="e">
        <v>#N/A</v>
      </c>
      <c r="PY90" s="1" t="e">
        <v>#N/A</v>
      </c>
      <c r="PZ90" s="1" t="e">
        <v>#N/A</v>
      </c>
      <c r="QA90" s="1" t="e">
        <v>#N/A</v>
      </c>
      <c r="QB90" s="1" t="e">
        <v>#N/A</v>
      </c>
      <c r="QC90" s="1" t="e">
        <v>#N/A</v>
      </c>
      <c r="QD90" s="1" t="e">
        <v>#N/A</v>
      </c>
      <c r="QE90" s="1" t="e">
        <v>#N/A</v>
      </c>
      <c r="QF90" s="1" t="e">
        <v>#N/A</v>
      </c>
      <c r="QG90" s="1" t="e">
        <v>#N/A</v>
      </c>
      <c r="QH90" s="1" t="e">
        <v>#N/A</v>
      </c>
      <c r="QI90" s="1" t="e">
        <v>#N/A</v>
      </c>
      <c r="QJ90" s="1" t="e">
        <v>#N/A</v>
      </c>
      <c r="QK90" s="1" t="e">
        <v>#N/A</v>
      </c>
      <c r="QL90" s="1" t="e">
        <v>#N/A</v>
      </c>
      <c r="QM90" s="1" t="e">
        <v>#N/A</v>
      </c>
      <c r="QN90" s="1" t="e">
        <v>#N/A</v>
      </c>
      <c r="QO90" s="1" t="e">
        <v>#N/A</v>
      </c>
      <c r="QP90" s="1" t="e">
        <v>#N/A</v>
      </c>
    </row>
    <row r="91" spans="1:458" ht="26.25" x14ac:dyDescent="0.4">
      <c r="A91" s="347"/>
      <c r="B91" s="348"/>
      <c r="C91" s="288"/>
      <c r="D91" s="349"/>
      <c r="E91" s="350"/>
      <c r="F91" s="351"/>
      <c r="G91" s="352"/>
      <c r="H91" s="348"/>
      <c r="I91" s="353"/>
      <c r="J91" s="353"/>
      <c r="L91" s="76"/>
      <c r="PJ91" s="1" t="e">
        <v>#N/A</v>
      </c>
      <c r="PK91" s="1" t="e">
        <v>#N/A</v>
      </c>
      <c r="PL91" s="1" t="e">
        <v>#N/A</v>
      </c>
      <c r="PM91" s="1" t="e">
        <v>#N/A</v>
      </c>
      <c r="PN91" s="1" t="e">
        <v>#N/A</v>
      </c>
      <c r="PO91" s="1" t="e">
        <v>#N/A</v>
      </c>
      <c r="PP91" s="1" t="e">
        <v>#N/A</v>
      </c>
      <c r="PQ91" s="1" t="e">
        <v>#N/A</v>
      </c>
      <c r="PR91" s="1" t="e">
        <v>#N/A</v>
      </c>
      <c r="PS91" s="1" t="e">
        <v>#N/A</v>
      </c>
      <c r="PT91" s="1" t="e">
        <v>#N/A</v>
      </c>
      <c r="PU91" s="1" t="e">
        <v>#N/A</v>
      </c>
      <c r="PV91" s="1" t="e">
        <v>#N/A</v>
      </c>
      <c r="PW91" s="1" t="e">
        <v>#N/A</v>
      </c>
      <c r="PX91" s="1" t="e">
        <v>#N/A</v>
      </c>
      <c r="PY91" s="1" t="e">
        <v>#N/A</v>
      </c>
      <c r="PZ91" s="1" t="e">
        <v>#N/A</v>
      </c>
      <c r="QA91" s="1" t="e">
        <v>#N/A</v>
      </c>
      <c r="QB91" s="1" t="e">
        <v>#N/A</v>
      </c>
      <c r="QC91" s="1" t="e">
        <v>#N/A</v>
      </c>
      <c r="QD91" s="1" t="e">
        <v>#N/A</v>
      </c>
      <c r="QE91" s="1" t="e">
        <v>#N/A</v>
      </c>
      <c r="QF91" s="1" t="e">
        <v>#N/A</v>
      </c>
      <c r="QG91" s="1" t="e">
        <v>#N/A</v>
      </c>
      <c r="QH91" s="1" t="e">
        <v>#N/A</v>
      </c>
      <c r="QI91" s="1" t="e">
        <v>#N/A</v>
      </c>
      <c r="QJ91" s="1" t="e">
        <v>#N/A</v>
      </c>
      <c r="QK91" s="1" t="e">
        <v>#N/A</v>
      </c>
      <c r="QL91" s="1" t="e">
        <v>#N/A</v>
      </c>
      <c r="QM91" s="1" t="e">
        <v>#N/A</v>
      </c>
      <c r="QN91" s="1" t="e">
        <v>#N/A</v>
      </c>
      <c r="QO91" s="1" t="e">
        <v>#N/A</v>
      </c>
      <c r="QP91" s="1" t="e">
        <v>#N/A</v>
      </c>
    </row>
    <row r="92" spans="1:458" ht="26.25" x14ac:dyDescent="0.4">
      <c r="A92" s="347"/>
      <c r="B92" s="348"/>
      <c r="C92" s="288"/>
      <c r="D92" s="349"/>
      <c r="E92" s="350"/>
      <c r="F92" s="351"/>
      <c r="G92" s="352"/>
      <c r="H92" s="348"/>
      <c r="I92" s="353"/>
      <c r="J92" s="353"/>
      <c r="PJ92" s="1" t="e">
        <v>#N/A</v>
      </c>
      <c r="PK92" s="1" t="e">
        <v>#N/A</v>
      </c>
      <c r="PL92" s="1" t="e">
        <v>#N/A</v>
      </c>
      <c r="PM92" s="1" t="e">
        <v>#N/A</v>
      </c>
      <c r="PN92" s="1" t="e">
        <v>#N/A</v>
      </c>
      <c r="PO92" s="1" t="e">
        <v>#N/A</v>
      </c>
      <c r="PP92" s="1" t="e">
        <v>#N/A</v>
      </c>
      <c r="PQ92" s="1" t="e">
        <v>#N/A</v>
      </c>
      <c r="PR92" s="1" t="e">
        <v>#N/A</v>
      </c>
      <c r="PS92" s="1" t="e">
        <v>#N/A</v>
      </c>
      <c r="PT92" s="1" t="e">
        <v>#N/A</v>
      </c>
      <c r="PU92" s="1" t="e">
        <v>#N/A</v>
      </c>
      <c r="PV92" s="1" t="e">
        <v>#N/A</v>
      </c>
      <c r="PW92" s="1" t="e">
        <v>#N/A</v>
      </c>
      <c r="PX92" s="1" t="e">
        <v>#N/A</v>
      </c>
      <c r="PY92" s="1" t="e">
        <v>#N/A</v>
      </c>
      <c r="PZ92" s="1" t="e">
        <v>#N/A</v>
      </c>
      <c r="QA92" s="1" t="e">
        <v>#N/A</v>
      </c>
      <c r="QB92" s="1" t="e">
        <v>#N/A</v>
      </c>
      <c r="QC92" s="1" t="e">
        <v>#N/A</v>
      </c>
      <c r="QD92" s="1" t="e">
        <v>#N/A</v>
      </c>
      <c r="QE92" s="1" t="e">
        <v>#N/A</v>
      </c>
      <c r="QF92" s="1" t="e">
        <v>#N/A</v>
      </c>
      <c r="QG92" s="1" t="e">
        <v>#N/A</v>
      </c>
      <c r="QH92" s="1" t="e">
        <v>#N/A</v>
      </c>
      <c r="QI92" s="1" t="e">
        <v>#N/A</v>
      </c>
      <c r="QJ92" s="1" t="e">
        <v>#N/A</v>
      </c>
      <c r="QK92" s="1" t="e">
        <v>#N/A</v>
      </c>
      <c r="QL92" s="1" t="e">
        <v>#N/A</v>
      </c>
      <c r="QM92" s="1" t="e">
        <v>#N/A</v>
      </c>
      <c r="QN92" s="1" t="e">
        <v>#N/A</v>
      </c>
      <c r="QO92" s="1" t="e">
        <v>#N/A</v>
      </c>
      <c r="QP92" s="1" t="e">
        <v>#N/A</v>
      </c>
    </row>
    <row r="93" spans="1:458" ht="26.25" x14ac:dyDescent="0.4">
      <c r="A93" s="347"/>
      <c r="B93" s="348"/>
      <c r="C93" s="288"/>
      <c r="D93" s="349"/>
      <c r="E93" s="350"/>
      <c r="F93" s="351"/>
      <c r="G93" s="352"/>
      <c r="H93" s="348"/>
      <c r="I93" s="353"/>
      <c r="J93" s="353"/>
      <c r="PJ93" s="1" t="e">
        <v>#N/A</v>
      </c>
      <c r="PK93" s="1" t="e">
        <v>#N/A</v>
      </c>
      <c r="PL93" s="1" t="e">
        <v>#N/A</v>
      </c>
      <c r="PM93" s="1" t="e">
        <v>#N/A</v>
      </c>
      <c r="PN93" s="1" t="e">
        <v>#N/A</v>
      </c>
      <c r="PO93" s="1" t="e">
        <v>#N/A</v>
      </c>
      <c r="PP93" s="1" t="e">
        <v>#N/A</v>
      </c>
      <c r="PQ93" s="1" t="e">
        <v>#N/A</v>
      </c>
      <c r="PR93" s="1" t="e">
        <v>#N/A</v>
      </c>
      <c r="PS93" s="1" t="e">
        <v>#N/A</v>
      </c>
      <c r="PT93" s="1" t="e">
        <v>#N/A</v>
      </c>
      <c r="PU93" s="1" t="e">
        <v>#N/A</v>
      </c>
      <c r="PV93" s="1" t="e">
        <v>#N/A</v>
      </c>
      <c r="PW93" s="1" t="e">
        <v>#N/A</v>
      </c>
      <c r="PX93" s="1" t="e">
        <v>#N/A</v>
      </c>
      <c r="PY93" s="1" t="e">
        <v>#N/A</v>
      </c>
      <c r="PZ93" s="1" t="e">
        <v>#N/A</v>
      </c>
      <c r="QA93" s="1" t="e">
        <v>#N/A</v>
      </c>
      <c r="QB93" s="1" t="e">
        <v>#N/A</v>
      </c>
      <c r="QC93" s="1" t="e">
        <v>#N/A</v>
      </c>
      <c r="QD93" s="1" t="e">
        <v>#N/A</v>
      </c>
      <c r="QE93" s="1" t="e">
        <v>#N/A</v>
      </c>
      <c r="QF93" s="1" t="e">
        <v>#N/A</v>
      </c>
      <c r="QG93" s="1" t="e">
        <v>#N/A</v>
      </c>
      <c r="QH93" s="1" t="e">
        <v>#N/A</v>
      </c>
      <c r="QI93" s="1" t="e">
        <v>#N/A</v>
      </c>
      <c r="QJ93" s="1" t="e">
        <v>#N/A</v>
      </c>
      <c r="QK93" s="1" t="e">
        <v>#N/A</v>
      </c>
      <c r="QL93" s="1" t="e">
        <v>#N/A</v>
      </c>
      <c r="QM93" s="1" t="e">
        <v>#N/A</v>
      </c>
      <c r="QN93" s="1" t="e">
        <v>#N/A</v>
      </c>
      <c r="QO93" s="1" t="e">
        <v>#N/A</v>
      </c>
      <c r="QP93" s="1" t="e">
        <v>#N/A</v>
      </c>
    </row>
    <row r="94" spans="1:458" ht="26.25" x14ac:dyDescent="0.4">
      <c r="A94" s="347"/>
      <c r="B94" s="348"/>
      <c r="C94" s="288"/>
      <c r="D94" s="349"/>
      <c r="E94" s="350"/>
      <c r="F94" s="351"/>
      <c r="G94" s="352"/>
      <c r="H94" s="348"/>
      <c r="I94" s="353"/>
      <c r="J94" s="353"/>
      <c r="PJ94" s="1" t="e">
        <v>#N/A</v>
      </c>
      <c r="PK94" s="1" t="e">
        <v>#N/A</v>
      </c>
      <c r="PL94" s="1" t="e">
        <v>#N/A</v>
      </c>
      <c r="PM94" s="1" t="e">
        <v>#N/A</v>
      </c>
      <c r="PN94" s="1" t="e">
        <v>#N/A</v>
      </c>
      <c r="PO94" s="1" t="e">
        <v>#N/A</v>
      </c>
      <c r="PP94" s="1" t="e">
        <v>#N/A</v>
      </c>
      <c r="PQ94" s="1" t="e">
        <v>#N/A</v>
      </c>
      <c r="PR94" s="1" t="e">
        <v>#N/A</v>
      </c>
      <c r="PS94" s="1" t="e">
        <v>#N/A</v>
      </c>
      <c r="PT94" s="1" t="e">
        <v>#N/A</v>
      </c>
      <c r="PU94" s="1" t="e">
        <v>#N/A</v>
      </c>
      <c r="PV94" s="1" t="e">
        <v>#N/A</v>
      </c>
      <c r="PW94" s="1" t="e">
        <v>#N/A</v>
      </c>
      <c r="PX94" s="1" t="e">
        <v>#N/A</v>
      </c>
      <c r="PY94" s="1" t="e">
        <v>#N/A</v>
      </c>
      <c r="PZ94" s="1" t="e">
        <v>#N/A</v>
      </c>
      <c r="QA94" s="1" t="e">
        <v>#N/A</v>
      </c>
      <c r="QB94" s="1" t="e">
        <v>#N/A</v>
      </c>
      <c r="QC94" s="1" t="e">
        <v>#N/A</v>
      </c>
      <c r="QD94" s="1" t="e">
        <v>#N/A</v>
      </c>
      <c r="QE94" s="1" t="e">
        <v>#N/A</v>
      </c>
      <c r="QF94" s="1" t="e">
        <v>#N/A</v>
      </c>
      <c r="QG94" s="1" t="e">
        <v>#N/A</v>
      </c>
      <c r="QH94" s="1" t="e">
        <v>#N/A</v>
      </c>
      <c r="QI94" s="1" t="e">
        <v>#N/A</v>
      </c>
      <c r="QJ94" s="1" t="e">
        <v>#N/A</v>
      </c>
      <c r="QK94" s="1" t="e">
        <v>#N/A</v>
      </c>
      <c r="QL94" s="1" t="e">
        <v>#N/A</v>
      </c>
      <c r="QM94" s="1" t="e">
        <v>#N/A</v>
      </c>
      <c r="QN94" s="1" t="e">
        <v>#N/A</v>
      </c>
      <c r="QO94" s="1" t="e">
        <v>#N/A</v>
      </c>
      <c r="QP94" s="1" t="e">
        <v>#N/A</v>
      </c>
    </row>
    <row r="95" spans="1:458" ht="26.25" x14ac:dyDescent="0.4">
      <c r="A95" s="347"/>
      <c r="B95" s="348"/>
      <c r="C95" s="288"/>
      <c r="D95" s="349"/>
      <c r="E95" s="350"/>
      <c r="F95" s="351"/>
      <c r="G95" s="352"/>
      <c r="H95" s="348"/>
      <c r="I95" s="353"/>
      <c r="J95" s="353"/>
      <c r="PJ95" s="1" t="e">
        <v>#N/A</v>
      </c>
      <c r="PK95" s="1" t="e">
        <v>#N/A</v>
      </c>
      <c r="PL95" s="1" t="e">
        <v>#N/A</v>
      </c>
      <c r="PM95" s="1" t="e">
        <v>#N/A</v>
      </c>
      <c r="PN95" s="1" t="e">
        <v>#N/A</v>
      </c>
      <c r="PO95" s="1" t="e">
        <v>#N/A</v>
      </c>
      <c r="PP95" s="1" t="e">
        <v>#N/A</v>
      </c>
      <c r="PQ95" s="1" t="e">
        <v>#N/A</v>
      </c>
      <c r="PR95" s="1" t="e">
        <v>#N/A</v>
      </c>
      <c r="PS95" s="1" t="e">
        <v>#N/A</v>
      </c>
      <c r="PT95" s="1" t="e">
        <v>#N/A</v>
      </c>
      <c r="PU95" s="1" t="e">
        <v>#N/A</v>
      </c>
      <c r="PV95" s="1" t="e">
        <v>#N/A</v>
      </c>
      <c r="PW95" s="1" t="e">
        <v>#N/A</v>
      </c>
      <c r="PX95" s="1" t="e">
        <v>#N/A</v>
      </c>
      <c r="PY95" s="1" t="e">
        <v>#N/A</v>
      </c>
      <c r="PZ95" s="1" t="e">
        <v>#N/A</v>
      </c>
      <c r="QA95" s="1" t="e">
        <v>#N/A</v>
      </c>
      <c r="QB95" s="1" t="e">
        <v>#N/A</v>
      </c>
      <c r="QC95" s="1" t="e">
        <v>#N/A</v>
      </c>
      <c r="QD95" s="1" t="e">
        <v>#N/A</v>
      </c>
      <c r="QE95" s="1" t="e">
        <v>#N/A</v>
      </c>
      <c r="QF95" s="1" t="e">
        <v>#N/A</v>
      </c>
      <c r="QG95" s="1" t="e">
        <v>#N/A</v>
      </c>
      <c r="QH95" s="1" t="e">
        <v>#N/A</v>
      </c>
      <c r="QI95" s="1" t="e">
        <v>#N/A</v>
      </c>
      <c r="QJ95" s="1" t="e">
        <v>#N/A</v>
      </c>
      <c r="QK95" s="1" t="e">
        <v>#N/A</v>
      </c>
      <c r="QL95" s="1" t="e">
        <v>#N/A</v>
      </c>
      <c r="QM95" s="1" t="e">
        <v>#N/A</v>
      </c>
      <c r="QN95" s="1" t="e">
        <v>#N/A</v>
      </c>
      <c r="QO95" s="1" t="e">
        <v>#N/A</v>
      </c>
      <c r="QP95" s="1" t="e">
        <v>#N/A</v>
      </c>
    </row>
    <row r="96" spans="1:458" ht="26.25" x14ac:dyDescent="0.4">
      <c r="A96" s="347"/>
      <c r="B96" s="348"/>
      <c r="C96" s="288"/>
      <c r="D96" s="349"/>
      <c r="E96" s="350"/>
      <c r="F96" s="351"/>
      <c r="G96" s="352"/>
      <c r="H96" s="348"/>
      <c r="I96" s="353"/>
      <c r="J96" s="353"/>
      <c r="PJ96" s="1" t="e">
        <v>#N/A</v>
      </c>
      <c r="PK96" s="1" t="e">
        <v>#N/A</v>
      </c>
      <c r="PL96" s="1" t="e">
        <v>#N/A</v>
      </c>
      <c r="PM96" s="1" t="e">
        <v>#N/A</v>
      </c>
      <c r="PN96" s="1" t="e">
        <v>#N/A</v>
      </c>
      <c r="PO96" s="1" t="e">
        <v>#N/A</v>
      </c>
      <c r="PP96" s="1" t="e">
        <v>#N/A</v>
      </c>
      <c r="PQ96" s="1" t="e">
        <v>#N/A</v>
      </c>
      <c r="PR96" s="1" t="e">
        <v>#N/A</v>
      </c>
      <c r="PS96" s="1" t="e">
        <v>#N/A</v>
      </c>
      <c r="PT96" s="1" t="e">
        <v>#N/A</v>
      </c>
      <c r="PU96" s="1" t="e">
        <v>#N/A</v>
      </c>
      <c r="PV96" s="1" t="e">
        <v>#N/A</v>
      </c>
      <c r="PW96" s="1" t="e">
        <v>#N/A</v>
      </c>
      <c r="PX96" s="1" t="e">
        <v>#N/A</v>
      </c>
      <c r="PY96" s="1" t="e">
        <v>#N/A</v>
      </c>
      <c r="PZ96" s="1" t="e">
        <v>#N/A</v>
      </c>
      <c r="QA96" s="1" t="e">
        <v>#N/A</v>
      </c>
      <c r="QB96" s="1" t="e">
        <v>#N/A</v>
      </c>
      <c r="QC96" s="1" t="e">
        <v>#N/A</v>
      </c>
      <c r="QD96" s="1" t="e">
        <v>#N/A</v>
      </c>
      <c r="QE96" s="1" t="e">
        <v>#N/A</v>
      </c>
      <c r="QF96" s="1" t="e">
        <v>#N/A</v>
      </c>
      <c r="QG96" s="1" t="e">
        <v>#N/A</v>
      </c>
      <c r="QH96" s="1" t="e">
        <v>#N/A</v>
      </c>
      <c r="QI96" s="1" t="e">
        <v>#N/A</v>
      </c>
      <c r="QJ96" s="1" t="e">
        <v>#N/A</v>
      </c>
      <c r="QK96" s="1" t="e">
        <v>#N/A</v>
      </c>
      <c r="QL96" s="1" t="e">
        <v>#N/A</v>
      </c>
      <c r="QM96" s="1" t="e">
        <v>#N/A</v>
      </c>
      <c r="QN96" s="1" t="e">
        <v>#N/A</v>
      </c>
      <c r="QO96" s="1" t="e">
        <v>#N/A</v>
      </c>
      <c r="QP96" s="1" t="e">
        <v>#N/A</v>
      </c>
    </row>
    <row r="97" spans="1:458" ht="26.25" x14ac:dyDescent="0.4">
      <c r="A97" s="347"/>
      <c r="B97" s="348"/>
      <c r="C97" s="288"/>
      <c r="D97" s="349"/>
      <c r="E97" s="350"/>
      <c r="F97" s="351"/>
      <c r="G97" s="352"/>
      <c r="H97" s="348"/>
      <c r="I97" s="353"/>
      <c r="J97" s="353"/>
      <c r="PJ97" s="1" t="e">
        <v>#N/A</v>
      </c>
      <c r="PK97" s="1" t="e">
        <v>#N/A</v>
      </c>
      <c r="PL97" s="1" t="e">
        <v>#N/A</v>
      </c>
      <c r="PM97" s="1" t="e">
        <v>#N/A</v>
      </c>
      <c r="PN97" s="1" t="e">
        <v>#N/A</v>
      </c>
      <c r="PO97" s="1" t="e">
        <v>#N/A</v>
      </c>
      <c r="PP97" s="1" t="e">
        <v>#N/A</v>
      </c>
      <c r="PQ97" s="1" t="e">
        <v>#N/A</v>
      </c>
      <c r="PR97" s="1" t="e">
        <v>#N/A</v>
      </c>
      <c r="PS97" s="1" t="e">
        <v>#N/A</v>
      </c>
      <c r="PT97" s="1" t="e">
        <v>#N/A</v>
      </c>
      <c r="PU97" s="1" t="e">
        <v>#N/A</v>
      </c>
      <c r="PV97" s="1" t="e">
        <v>#N/A</v>
      </c>
      <c r="PW97" s="1" t="e">
        <v>#N/A</v>
      </c>
      <c r="PX97" s="1" t="e">
        <v>#N/A</v>
      </c>
      <c r="PY97" s="1" t="e">
        <v>#N/A</v>
      </c>
      <c r="PZ97" s="1" t="e">
        <v>#N/A</v>
      </c>
      <c r="QA97" s="1" t="e">
        <v>#N/A</v>
      </c>
      <c r="QB97" s="1" t="e">
        <v>#N/A</v>
      </c>
      <c r="QC97" s="1" t="e">
        <v>#N/A</v>
      </c>
      <c r="QD97" s="1" t="e">
        <v>#N/A</v>
      </c>
      <c r="QE97" s="1" t="e">
        <v>#N/A</v>
      </c>
      <c r="QF97" s="1" t="e">
        <v>#N/A</v>
      </c>
      <c r="QG97" s="1" t="e">
        <v>#N/A</v>
      </c>
      <c r="QH97" s="1" t="e">
        <v>#N/A</v>
      </c>
      <c r="QI97" s="1" t="e">
        <v>#N/A</v>
      </c>
      <c r="QJ97" s="1" t="e">
        <v>#N/A</v>
      </c>
      <c r="QK97" s="1" t="e">
        <v>#N/A</v>
      </c>
      <c r="QL97" s="1" t="e">
        <v>#N/A</v>
      </c>
      <c r="QM97" s="1" t="e">
        <v>#N/A</v>
      </c>
      <c r="QN97" s="1" t="e">
        <v>#N/A</v>
      </c>
      <c r="QO97" s="1" t="e">
        <v>#N/A</v>
      </c>
      <c r="QP97" s="1" t="e">
        <v>#N/A</v>
      </c>
    </row>
    <row r="98" spans="1:458" ht="26.25" x14ac:dyDescent="0.4">
      <c r="A98" s="347"/>
      <c r="B98" s="348"/>
      <c r="C98" s="288"/>
      <c r="D98" s="349"/>
      <c r="E98" s="350"/>
      <c r="F98" s="351"/>
      <c r="G98" s="352"/>
      <c r="H98" s="348"/>
      <c r="I98" s="353"/>
      <c r="J98" s="353"/>
      <c r="PJ98" s="1" t="e">
        <v>#N/A</v>
      </c>
      <c r="PK98" s="1" t="e">
        <v>#N/A</v>
      </c>
      <c r="PL98" s="1" t="e">
        <v>#N/A</v>
      </c>
      <c r="PM98" s="1" t="e">
        <v>#N/A</v>
      </c>
      <c r="PN98" s="1" t="e">
        <v>#N/A</v>
      </c>
      <c r="PO98" s="1" t="e">
        <v>#N/A</v>
      </c>
      <c r="PP98" s="1" t="e">
        <v>#N/A</v>
      </c>
      <c r="PQ98" s="1" t="e">
        <v>#N/A</v>
      </c>
      <c r="PR98" s="1" t="e">
        <v>#N/A</v>
      </c>
      <c r="PS98" s="1" t="e">
        <v>#N/A</v>
      </c>
      <c r="PT98" s="1" t="e">
        <v>#N/A</v>
      </c>
      <c r="PU98" s="1" t="e">
        <v>#N/A</v>
      </c>
      <c r="PV98" s="1" t="e">
        <v>#N/A</v>
      </c>
      <c r="PW98" s="1" t="e">
        <v>#N/A</v>
      </c>
      <c r="PX98" s="1" t="e">
        <v>#N/A</v>
      </c>
      <c r="PY98" s="1" t="e">
        <v>#N/A</v>
      </c>
      <c r="PZ98" s="1" t="e">
        <v>#N/A</v>
      </c>
      <c r="QA98" s="1" t="e">
        <v>#N/A</v>
      </c>
      <c r="QB98" s="1" t="e">
        <v>#N/A</v>
      </c>
      <c r="QC98" s="1" t="e">
        <v>#N/A</v>
      </c>
      <c r="QD98" s="1" t="e">
        <v>#N/A</v>
      </c>
      <c r="QE98" s="1" t="e">
        <v>#N/A</v>
      </c>
      <c r="QF98" s="1" t="e">
        <v>#N/A</v>
      </c>
      <c r="QG98" s="1" t="e">
        <v>#N/A</v>
      </c>
      <c r="QH98" s="1" t="e">
        <v>#N/A</v>
      </c>
      <c r="QI98" s="1" t="e">
        <v>#N/A</v>
      </c>
      <c r="QJ98" s="1" t="e">
        <v>#N/A</v>
      </c>
      <c r="QK98" s="1" t="e">
        <v>#N/A</v>
      </c>
      <c r="QL98" s="1" t="e">
        <v>#N/A</v>
      </c>
      <c r="QM98" s="1" t="e">
        <v>#N/A</v>
      </c>
      <c r="QN98" s="1" t="e">
        <v>#N/A</v>
      </c>
      <c r="QO98" s="1" t="e">
        <v>#N/A</v>
      </c>
      <c r="QP98" s="1" t="e">
        <v>#N/A</v>
      </c>
    </row>
    <row r="99" spans="1:458" ht="26.25" x14ac:dyDescent="0.4">
      <c r="A99" s="347"/>
      <c r="B99" s="348"/>
      <c r="C99" s="288"/>
      <c r="D99" s="349"/>
      <c r="E99" s="350"/>
      <c r="F99" s="351"/>
      <c r="G99" s="352"/>
      <c r="H99" s="348"/>
      <c r="I99" s="353"/>
      <c r="J99" s="353"/>
      <c r="PJ99" s="1" t="e">
        <v>#N/A</v>
      </c>
      <c r="PK99" s="1" t="e">
        <v>#N/A</v>
      </c>
      <c r="PL99" s="1" t="e">
        <v>#N/A</v>
      </c>
      <c r="PM99" s="1" t="e">
        <v>#N/A</v>
      </c>
      <c r="PN99" s="1" t="e">
        <v>#N/A</v>
      </c>
      <c r="PO99" s="1" t="e">
        <v>#N/A</v>
      </c>
      <c r="PP99" s="1" t="e">
        <v>#N/A</v>
      </c>
      <c r="PQ99" s="1" t="e">
        <v>#N/A</v>
      </c>
      <c r="PR99" s="1" t="e">
        <v>#N/A</v>
      </c>
      <c r="PS99" s="1" t="e">
        <v>#N/A</v>
      </c>
      <c r="PT99" s="1" t="e">
        <v>#N/A</v>
      </c>
      <c r="PU99" s="1" t="e">
        <v>#N/A</v>
      </c>
      <c r="PV99" s="1" t="e">
        <v>#N/A</v>
      </c>
      <c r="PW99" s="1" t="e">
        <v>#N/A</v>
      </c>
      <c r="PX99" s="1" t="e">
        <v>#N/A</v>
      </c>
      <c r="PY99" s="1" t="e">
        <v>#N/A</v>
      </c>
      <c r="PZ99" s="1" t="e">
        <v>#N/A</v>
      </c>
      <c r="QA99" s="1" t="e">
        <v>#N/A</v>
      </c>
      <c r="QB99" s="1" t="e">
        <v>#N/A</v>
      </c>
      <c r="QC99" s="1" t="e">
        <v>#N/A</v>
      </c>
      <c r="QD99" s="1" t="e">
        <v>#N/A</v>
      </c>
      <c r="QE99" s="1" t="e">
        <v>#N/A</v>
      </c>
      <c r="QF99" s="1" t="e">
        <v>#N/A</v>
      </c>
      <c r="QG99" s="1" t="e">
        <v>#N/A</v>
      </c>
      <c r="QH99" s="1" t="e">
        <v>#N/A</v>
      </c>
      <c r="QI99" s="1" t="e">
        <v>#N/A</v>
      </c>
      <c r="QJ99" s="1" t="e">
        <v>#N/A</v>
      </c>
      <c r="QK99" s="1" t="e">
        <v>#N/A</v>
      </c>
      <c r="QL99" s="1" t="e">
        <v>#N/A</v>
      </c>
      <c r="QM99" s="1" t="e">
        <v>#N/A</v>
      </c>
      <c r="QN99" s="1" t="e">
        <v>#N/A</v>
      </c>
      <c r="QO99" s="1" t="e">
        <v>#N/A</v>
      </c>
      <c r="QP99" s="1" t="e">
        <v>#N/A</v>
      </c>
    </row>
    <row r="100" spans="1:458" ht="26.25" x14ac:dyDescent="0.4">
      <c r="A100" s="347"/>
      <c r="B100" s="348"/>
      <c r="C100" s="288"/>
      <c r="D100" s="349"/>
      <c r="E100" s="350"/>
      <c r="F100" s="351"/>
      <c r="G100" s="352"/>
      <c r="H100" s="348"/>
      <c r="I100" s="353"/>
      <c r="J100" s="353"/>
      <c r="PJ100" s="1" t="e">
        <v>#N/A</v>
      </c>
      <c r="PK100" s="1" t="e">
        <v>#N/A</v>
      </c>
      <c r="PL100" s="1" t="e">
        <v>#N/A</v>
      </c>
      <c r="PM100" s="1" t="e">
        <v>#N/A</v>
      </c>
      <c r="PN100" s="1" t="e">
        <v>#N/A</v>
      </c>
      <c r="PO100" s="1" t="e">
        <v>#N/A</v>
      </c>
      <c r="PP100" s="1" t="e">
        <v>#N/A</v>
      </c>
      <c r="PQ100" s="1" t="e">
        <v>#N/A</v>
      </c>
      <c r="PR100" s="1" t="e">
        <v>#N/A</v>
      </c>
      <c r="PS100" s="1" t="e">
        <v>#N/A</v>
      </c>
      <c r="PT100" s="1" t="e">
        <v>#N/A</v>
      </c>
      <c r="PU100" s="1" t="e">
        <v>#N/A</v>
      </c>
      <c r="PV100" s="1" t="e">
        <v>#N/A</v>
      </c>
      <c r="PW100" s="1" t="e">
        <v>#N/A</v>
      </c>
      <c r="PX100" s="1" t="e">
        <v>#N/A</v>
      </c>
      <c r="PY100" s="1" t="e">
        <v>#N/A</v>
      </c>
      <c r="PZ100" s="1" t="e">
        <v>#N/A</v>
      </c>
      <c r="QA100" s="1" t="e">
        <v>#N/A</v>
      </c>
      <c r="QB100" s="1" t="e">
        <v>#N/A</v>
      </c>
      <c r="QC100" s="1" t="e">
        <v>#N/A</v>
      </c>
      <c r="QD100" s="1" t="e">
        <v>#N/A</v>
      </c>
      <c r="QE100" s="1" t="e">
        <v>#N/A</v>
      </c>
      <c r="QF100" s="1" t="e">
        <v>#N/A</v>
      </c>
      <c r="QG100" s="1" t="e">
        <v>#N/A</v>
      </c>
      <c r="QH100" s="1" t="e">
        <v>#N/A</v>
      </c>
      <c r="QI100" s="1" t="e">
        <v>#N/A</v>
      </c>
      <c r="QJ100" s="1" t="e">
        <v>#N/A</v>
      </c>
      <c r="QK100" s="1" t="e">
        <v>#N/A</v>
      </c>
      <c r="QL100" s="1" t="e">
        <v>#N/A</v>
      </c>
      <c r="QM100" s="1" t="e">
        <v>#N/A</v>
      </c>
      <c r="QN100" s="1" t="e">
        <v>#N/A</v>
      </c>
      <c r="QO100" s="1" t="e">
        <v>#N/A</v>
      </c>
      <c r="QP100" s="1" t="e">
        <v>#N/A</v>
      </c>
    </row>
    <row r="101" spans="1:458" ht="26.25" x14ac:dyDescent="0.4">
      <c r="A101" s="347"/>
      <c r="B101" s="348"/>
      <c r="C101" s="288"/>
      <c r="D101" s="349"/>
      <c r="E101" s="350"/>
      <c r="F101" s="351"/>
      <c r="G101" s="352"/>
      <c r="H101" s="348"/>
      <c r="I101" s="353"/>
      <c r="J101" s="353"/>
      <c r="PJ101" s="1" t="e">
        <v>#N/A</v>
      </c>
      <c r="PK101" s="1" t="e">
        <v>#N/A</v>
      </c>
      <c r="PL101" s="1" t="e">
        <v>#N/A</v>
      </c>
      <c r="PM101" s="1" t="e">
        <v>#N/A</v>
      </c>
      <c r="PN101" s="1" t="e">
        <v>#N/A</v>
      </c>
      <c r="PO101" s="1" t="e">
        <v>#N/A</v>
      </c>
      <c r="PP101" s="1" t="e">
        <v>#N/A</v>
      </c>
      <c r="PQ101" s="1" t="e">
        <v>#N/A</v>
      </c>
      <c r="PR101" s="1" t="e">
        <v>#N/A</v>
      </c>
      <c r="PS101" s="1" t="e">
        <v>#N/A</v>
      </c>
      <c r="PT101" s="1" t="e">
        <v>#N/A</v>
      </c>
      <c r="PU101" s="1" t="e">
        <v>#N/A</v>
      </c>
      <c r="PV101" s="1" t="e">
        <v>#N/A</v>
      </c>
      <c r="PW101" s="1" t="e">
        <v>#N/A</v>
      </c>
      <c r="PX101" s="1" t="e">
        <v>#N/A</v>
      </c>
      <c r="PY101" s="1" t="e">
        <v>#N/A</v>
      </c>
      <c r="PZ101" s="1" t="e">
        <v>#N/A</v>
      </c>
      <c r="QA101" s="1" t="e">
        <v>#N/A</v>
      </c>
      <c r="QB101" s="1" t="e">
        <v>#N/A</v>
      </c>
      <c r="QC101" s="1" t="e">
        <v>#N/A</v>
      </c>
      <c r="QD101" s="1" t="e">
        <v>#N/A</v>
      </c>
      <c r="QE101" s="1" t="e">
        <v>#N/A</v>
      </c>
      <c r="QF101" s="1" t="e">
        <v>#N/A</v>
      </c>
      <c r="QG101" s="1" t="e">
        <v>#N/A</v>
      </c>
      <c r="QH101" s="1" t="e">
        <v>#N/A</v>
      </c>
      <c r="QI101" s="1" t="e">
        <v>#N/A</v>
      </c>
      <c r="QJ101" s="1" t="e">
        <v>#N/A</v>
      </c>
      <c r="QK101" s="1" t="e">
        <v>#N/A</v>
      </c>
      <c r="QL101" s="1" t="e">
        <v>#N/A</v>
      </c>
      <c r="QM101" s="1" t="e">
        <v>#N/A</v>
      </c>
      <c r="QN101" s="1" t="e">
        <v>#N/A</v>
      </c>
      <c r="QO101" s="1" t="e">
        <v>#N/A</v>
      </c>
      <c r="QP101" s="1" t="e">
        <v>#N/A</v>
      </c>
    </row>
    <row r="102" spans="1:458" ht="26.25" x14ac:dyDescent="0.4">
      <c r="A102" s="347"/>
      <c r="B102" s="348"/>
      <c r="C102" s="288"/>
      <c r="D102" s="349"/>
      <c r="E102" s="350"/>
      <c r="F102" s="351"/>
      <c r="G102" s="352"/>
      <c r="H102" s="348"/>
      <c r="I102" s="353"/>
      <c r="J102" s="353"/>
      <c r="PJ102" s="1" t="e">
        <v>#N/A</v>
      </c>
      <c r="PK102" s="1" t="e">
        <v>#N/A</v>
      </c>
      <c r="PL102" s="1" t="e">
        <v>#N/A</v>
      </c>
      <c r="PM102" s="1" t="e">
        <v>#N/A</v>
      </c>
      <c r="PN102" s="1" t="e">
        <v>#N/A</v>
      </c>
      <c r="PO102" s="1" t="e">
        <v>#N/A</v>
      </c>
      <c r="PP102" s="1" t="e">
        <v>#N/A</v>
      </c>
      <c r="PQ102" s="1" t="e">
        <v>#N/A</v>
      </c>
      <c r="PR102" s="1" t="e">
        <v>#N/A</v>
      </c>
      <c r="PS102" s="1" t="e">
        <v>#N/A</v>
      </c>
      <c r="PT102" s="1" t="e">
        <v>#N/A</v>
      </c>
      <c r="PU102" s="1" t="e">
        <v>#N/A</v>
      </c>
      <c r="PV102" s="1" t="e">
        <v>#N/A</v>
      </c>
      <c r="PW102" s="1" t="e">
        <v>#N/A</v>
      </c>
      <c r="PX102" s="1" t="e">
        <v>#N/A</v>
      </c>
      <c r="PY102" s="1" t="e">
        <v>#N/A</v>
      </c>
      <c r="PZ102" s="1" t="e">
        <v>#N/A</v>
      </c>
      <c r="QA102" s="1" t="e">
        <v>#N/A</v>
      </c>
      <c r="QB102" s="1" t="e">
        <v>#N/A</v>
      </c>
      <c r="QC102" s="1" t="e">
        <v>#N/A</v>
      </c>
      <c r="QD102" s="1" t="e">
        <v>#N/A</v>
      </c>
      <c r="QE102" s="1" t="e">
        <v>#N/A</v>
      </c>
      <c r="QF102" s="1" t="e">
        <v>#N/A</v>
      </c>
      <c r="QG102" s="1" t="e">
        <v>#N/A</v>
      </c>
      <c r="QH102" s="1" t="e">
        <v>#N/A</v>
      </c>
      <c r="QI102" s="1" t="e">
        <v>#N/A</v>
      </c>
      <c r="QJ102" s="1" t="e">
        <v>#N/A</v>
      </c>
      <c r="QK102" s="1" t="e">
        <v>#N/A</v>
      </c>
      <c r="QL102" s="1" t="e">
        <v>#N/A</v>
      </c>
      <c r="QM102" s="1" t="e">
        <v>#N/A</v>
      </c>
      <c r="QN102" s="1" t="e">
        <v>#N/A</v>
      </c>
      <c r="QO102" s="1" t="e">
        <v>#N/A</v>
      </c>
      <c r="QP102" s="1" t="e">
        <v>#N/A</v>
      </c>
    </row>
    <row r="103" spans="1:458" ht="26.25" x14ac:dyDescent="0.4">
      <c r="A103" s="347"/>
      <c r="B103" s="348"/>
      <c r="C103" s="288"/>
      <c r="D103" s="349"/>
      <c r="E103" s="350"/>
      <c r="F103" s="351"/>
      <c r="G103" s="352"/>
      <c r="H103" s="348"/>
      <c r="I103" s="353"/>
      <c r="J103" s="353"/>
      <c r="PJ103" s="1" t="e">
        <v>#N/A</v>
      </c>
      <c r="PK103" s="1" t="e">
        <v>#N/A</v>
      </c>
      <c r="PL103" s="1" t="e">
        <v>#N/A</v>
      </c>
      <c r="PM103" s="1" t="e">
        <v>#N/A</v>
      </c>
      <c r="PN103" s="1" t="e">
        <v>#N/A</v>
      </c>
      <c r="PO103" s="1" t="e">
        <v>#N/A</v>
      </c>
      <c r="PP103" s="1" t="e">
        <v>#N/A</v>
      </c>
      <c r="PQ103" s="1" t="e">
        <v>#N/A</v>
      </c>
      <c r="PR103" s="1" t="e">
        <v>#N/A</v>
      </c>
      <c r="PS103" s="1" t="e">
        <v>#N/A</v>
      </c>
      <c r="PT103" s="1" t="e">
        <v>#N/A</v>
      </c>
      <c r="PU103" s="1" t="e">
        <v>#N/A</v>
      </c>
      <c r="PV103" s="1" t="e">
        <v>#N/A</v>
      </c>
      <c r="PW103" s="1" t="e">
        <v>#N/A</v>
      </c>
      <c r="PX103" s="1" t="e">
        <v>#N/A</v>
      </c>
      <c r="PY103" s="1" t="e">
        <v>#N/A</v>
      </c>
      <c r="PZ103" s="1" t="e">
        <v>#N/A</v>
      </c>
      <c r="QA103" s="1" t="e">
        <v>#N/A</v>
      </c>
      <c r="QB103" s="1" t="e">
        <v>#N/A</v>
      </c>
      <c r="QC103" s="1" t="e">
        <v>#N/A</v>
      </c>
      <c r="QD103" s="1" t="e">
        <v>#N/A</v>
      </c>
      <c r="QE103" s="1" t="e">
        <v>#N/A</v>
      </c>
      <c r="QF103" s="1" t="e">
        <v>#N/A</v>
      </c>
      <c r="QG103" s="1" t="e">
        <v>#N/A</v>
      </c>
      <c r="QH103" s="1" t="e">
        <v>#N/A</v>
      </c>
      <c r="QI103" s="1" t="e">
        <v>#N/A</v>
      </c>
      <c r="QJ103" s="1" t="e">
        <v>#N/A</v>
      </c>
      <c r="QK103" s="1" t="e">
        <v>#N/A</v>
      </c>
      <c r="QL103" s="1" t="e">
        <v>#N/A</v>
      </c>
      <c r="QM103" s="1" t="e">
        <v>#N/A</v>
      </c>
      <c r="QN103" s="1" t="e">
        <v>#N/A</v>
      </c>
      <c r="QO103" s="1" t="e">
        <v>#N/A</v>
      </c>
      <c r="QP103" s="1" t="e">
        <v>#N/A</v>
      </c>
    </row>
    <row r="104" spans="1:458" ht="26.25" x14ac:dyDescent="0.4">
      <c r="A104" s="347"/>
      <c r="B104" s="348"/>
      <c r="C104" s="288"/>
      <c r="D104" s="349"/>
      <c r="E104" s="350"/>
      <c r="F104" s="351"/>
      <c r="G104" s="352"/>
      <c r="H104" s="348"/>
      <c r="I104" s="353"/>
      <c r="J104" s="353"/>
      <c r="PJ104" s="1" t="e">
        <v>#N/A</v>
      </c>
      <c r="PK104" s="1" t="e">
        <v>#N/A</v>
      </c>
      <c r="PL104" s="1" t="e">
        <v>#N/A</v>
      </c>
      <c r="PM104" s="1" t="e">
        <v>#N/A</v>
      </c>
      <c r="PN104" s="1" t="e">
        <v>#N/A</v>
      </c>
      <c r="PO104" s="1" t="e">
        <v>#N/A</v>
      </c>
      <c r="PP104" s="1" t="e">
        <v>#N/A</v>
      </c>
      <c r="PQ104" s="1" t="e">
        <v>#N/A</v>
      </c>
      <c r="PR104" s="1" t="e">
        <v>#N/A</v>
      </c>
      <c r="PS104" s="1" t="e">
        <v>#N/A</v>
      </c>
      <c r="PT104" s="1" t="e">
        <v>#N/A</v>
      </c>
      <c r="PU104" s="1" t="e">
        <v>#N/A</v>
      </c>
      <c r="PV104" s="1" t="e">
        <v>#N/A</v>
      </c>
      <c r="PW104" s="1" t="e">
        <v>#N/A</v>
      </c>
      <c r="PX104" s="1" t="e">
        <v>#N/A</v>
      </c>
      <c r="PY104" s="1" t="e">
        <v>#N/A</v>
      </c>
      <c r="PZ104" s="1" t="e">
        <v>#N/A</v>
      </c>
      <c r="QA104" s="1" t="e">
        <v>#N/A</v>
      </c>
      <c r="QB104" s="1" t="e">
        <v>#N/A</v>
      </c>
      <c r="QC104" s="1" t="e">
        <v>#N/A</v>
      </c>
      <c r="QD104" s="1" t="e">
        <v>#N/A</v>
      </c>
      <c r="QE104" s="1" t="e">
        <v>#N/A</v>
      </c>
      <c r="QF104" s="1" t="e">
        <v>#N/A</v>
      </c>
      <c r="QG104" s="1" t="e">
        <v>#N/A</v>
      </c>
      <c r="QH104" s="1" t="e">
        <v>#N/A</v>
      </c>
      <c r="QI104" s="1" t="e">
        <v>#N/A</v>
      </c>
      <c r="QJ104" s="1" t="e">
        <v>#N/A</v>
      </c>
      <c r="QK104" s="1" t="e">
        <v>#N/A</v>
      </c>
      <c r="QL104" s="1" t="e">
        <v>#N/A</v>
      </c>
      <c r="QM104" s="1" t="e">
        <v>#N/A</v>
      </c>
      <c r="QN104" s="1" t="e">
        <v>#N/A</v>
      </c>
      <c r="QO104" s="1" t="e">
        <v>#N/A</v>
      </c>
      <c r="QP104" s="1" t="e">
        <v>#N/A</v>
      </c>
    </row>
    <row r="105" spans="1:458" ht="26.25" x14ac:dyDescent="0.4">
      <c r="A105" s="347"/>
      <c r="B105" s="348"/>
      <c r="C105" s="288"/>
      <c r="D105" s="349"/>
      <c r="E105" s="350"/>
      <c r="F105" s="351"/>
      <c r="G105" s="352"/>
      <c r="H105" s="348"/>
      <c r="I105" s="353"/>
      <c r="J105" s="353"/>
      <c r="PJ105" s="1" t="e">
        <v>#N/A</v>
      </c>
      <c r="PK105" s="1" t="e">
        <v>#N/A</v>
      </c>
      <c r="PL105" s="1" t="e">
        <v>#N/A</v>
      </c>
      <c r="PM105" s="1" t="e">
        <v>#N/A</v>
      </c>
      <c r="PN105" s="1" t="e">
        <v>#N/A</v>
      </c>
      <c r="PO105" s="1" t="e">
        <v>#N/A</v>
      </c>
      <c r="PP105" s="1" t="e">
        <v>#N/A</v>
      </c>
      <c r="PQ105" s="1" t="e">
        <v>#N/A</v>
      </c>
      <c r="PR105" s="1" t="e">
        <v>#N/A</v>
      </c>
      <c r="PS105" s="1" t="e">
        <v>#N/A</v>
      </c>
      <c r="PT105" s="1" t="e">
        <v>#N/A</v>
      </c>
      <c r="PU105" s="1" t="e">
        <v>#N/A</v>
      </c>
      <c r="PV105" s="1" t="e">
        <v>#N/A</v>
      </c>
      <c r="PW105" s="1" t="e">
        <v>#N/A</v>
      </c>
      <c r="PX105" s="1" t="e">
        <v>#N/A</v>
      </c>
      <c r="PY105" s="1" t="e">
        <v>#N/A</v>
      </c>
      <c r="PZ105" s="1" t="e">
        <v>#N/A</v>
      </c>
      <c r="QA105" s="1" t="e">
        <v>#N/A</v>
      </c>
      <c r="QB105" s="1" t="e">
        <v>#N/A</v>
      </c>
      <c r="QC105" s="1" t="e">
        <v>#N/A</v>
      </c>
      <c r="QD105" s="1" t="e">
        <v>#N/A</v>
      </c>
      <c r="QE105" s="1" t="e">
        <v>#N/A</v>
      </c>
      <c r="QF105" s="1" t="e">
        <v>#N/A</v>
      </c>
      <c r="QG105" s="1" t="e">
        <v>#N/A</v>
      </c>
      <c r="QH105" s="1" t="e">
        <v>#N/A</v>
      </c>
      <c r="QI105" s="1" t="e">
        <v>#N/A</v>
      </c>
      <c r="QJ105" s="1" t="e">
        <v>#N/A</v>
      </c>
      <c r="QK105" s="1" t="e">
        <v>#N/A</v>
      </c>
      <c r="QL105" s="1" t="e">
        <v>#N/A</v>
      </c>
      <c r="QM105" s="1" t="e">
        <v>#N/A</v>
      </c>
      <c r="QN105" s="1" t="e">
        <v>#N/A</v>
      </c>
      <c r="QO105" s="1" t="e">
        <v>#N/A</v>
      </c>
      <c r="QP105" s="1" t="e">
        <v>#N/A</v>
      </c>
    </row>
    <row r="106" spans="1:458" ht="26.25" x14ac:dyDescent="0.4">
      <c r="A106" s="347"/>
      <c r="B106" s="348"/>
      <c r="C106" s="288"/>
      <c r="D106" s="349"/>
      <c r="E106" s="350"/>
      <c r="F106" s="351"/>
      <c r="G106" s="352"/>
      <c r="H106" s="348"/>
      <c r="I106" s="353"/>
      <c r="J106" s="353"/>
      <c r="PJ106" s="1" t="e">
        <v>#N/A</v>
      </c>
      <c r="PK106" s="1" t="e">
        <v>#N/A</v>
      </c>
      <c r="PL106" s="1" t="e">
        <v>#N/A</v>
      </c>
      <c r="PM106" s="1" t="e">
        <v>#N/A</v>
      </c>
      <c r="PN106" s="1" t="e">
        <v>#N/A</v>
      </c>
      <c r="PO106" s="1" t="e">
        <v>#N/A</v>
      </c>
      <c r="PP106" s="1" t="e">
        <v>#N/A</v>
      </c>
      <c r="PQ106" s="1" t="e">
        <v>#N/A</v>
      </c>
      <c r="PR106" s="1" t="e">
        <v>#N/A</v>
      </c>
      <c r="PS106" s="1" t="e">
        <v>#N/A</v>
      </c>
      <c r="PT106" s="1" t="e">
        <v>#N/A</v>
      </c>
      <c r="PU106" s="1" t="e">
        <v>#N/A</v>
      </c>
      <c r="PV106" s="1" t="e">
        <v>#N/A</v>
      </c>
      <c r="PW106" s="1" t="e">
        <v>#N/A</v>
      </c>
      <c r="PX106" s="1" t="e">
        <v>#N/A</v>
      </c>
      <c r="PY106" s="1" t="e">
        <v>#N/A</v>
      </c>
      <c r="PZ106" s="1" t="e">
        <v>#N/A</v>
      </c>
      <c r="QA106" s="1" t="e">
        <v>#N/A</v>
      </c>
      <c r="QB106" s="1" t="e">
        <v>#N/A</v>
      </c>
      <c r="QC106" s="1" t="e">
        <v>#N/A</v>
      </c>
      <c r="QD106" s="1" t="e">
        <v>#N/A</v>
      </c>
      <c r="QE106" s="1" t="e">
        <v>#N/A</v>
      </c>
      <c r="QF106" s="1" t="e">
        <v>#N/A</v>
      </c>
      <c r="QG106" s="1" t="e">
        <v>#N/A</v>
      </c>
      <c r="QH106" s="1" t="e">
        <v>#N/A</v>
      </c>
      <c r="QI106" s="1" t="e">
        <v>#N/A</v>
      </c>
      <c r="QJ106" s="1" t="e">
        <v>#N/A</v>
      </c>
      <c r="QK106" s="1" t="e">
        <v>#N/A</v>
      </c>
      <c r="QL106" s="1" t="e">
        <v>#N/A</v>
      </c>
      <c r="QM106" s="1" t="e">
        <v>#N/A</v>
      </c>
      <c r="QN106" s="1" t="e">
        <v>#N/A</v>
      </c>
      <c r="QO106" s="1" t="e">
        <v>#N/A</v>
      </c>
      <c r="QP106" s="1" t="e">
        <v>#N/A</v>
      </c>
    </row>
    <row r="107" spans="1:458" ht="26.25" x14ac:dyDescent="0.4">
      <c r="A107" s="347"/>
      <c r="B107" s="348"/>
      <c r="C107" s="288"/>
      <c r="D107" s="349"/>
      <c r="E107" s="350"/>
      <c r="F107" s="351"/>
      <c r="G107" s="352"/>
      <c r="H107" s="348"/>
      <c r="I107" s="353"/>
      <c r="J107" s="353"/>
      <c r="PJ107" s="1" t="e">
        <v>#N/A</v>
      </c>
      <c r="PK107" s="1" t="e">
        <v>#N/A</v>
      </c>
      <c r="PL107" s="1" t="e">
        <v>#N/A</v>
      </c>
      <c r="PM107" s="1" t="e">
        <v>#N/A</v>
      </c>
      <c r="PN107" s="1" t="e">
        <v>#N/A</v>
      </c>
      <c r="PO107" s="1" t="e">
        <v>#N/A</v>
      </c>
      <c r="PP107" s="1" t="e">
        <v>#N/A</v>
      </c>
      <c r="PQ107" s="1" t="e">
        <v>#N/A</v>
      </c>
      <c r="PR107" s="1" t="e">
        <v>#N/A</v>
      </c>
      <c r="PS107" s="1" t="e">
        <v>#N/A</v>
      </c>
      <c r="PT107" s="1" t="e">
        <v>#N/A</v>
      </c>
      <c r="PU107" s="1" t="e">
        <v>#N/A</v>
      </c>
      <c r="PV107" s="1" t="e">
        <v>#N/A</v>
      </c>
      <c r="PW107" s="1" t="e">
        <v>#N/A</v>
      </c>
      <c r="PX107" s="1" t="e">
        <v>#N/A</v>
      </c>
      <c r="PY107" s="1" t="e">
        <v>#N/A</v>
      </c>
      <c r="PZ107" s="1" t="e">
        <v>#N/A</v>
      </c>
      <c r="QA107" s="1" t="e">
        <v>#N/A</v>
      </c>
      <c r="QB107" s="1" t="e">
        <v>#N/A</v>
      </c>
      <c r="QC107" s="1" t="e">
        <v>#N/A</v>
      </c>
      <c r="QD107" s="1" t="e">
        <v>#N/A</v>
      </c>
      <c r="QE107" s="1" t="e">
        <v>#N/A</v>
      </c>
      <c r="QF107" s="1" t="e">
        <v>#N/A</v>
      </c>
      <c r="QG107" s="1" t="e">
        <v>#N/A</v>
      </c>
      <c r="QH107" s="1" t="e">
        <v>#N/A</v>
      </c>
      <c r="QI107" s="1" t="e">
        <v>#N/A</v>
      </c>
      <c r="QJ107" s="1" t="e">
        <v>#N/A</v>
      </c>
      <c r="QK107" s="1" t="e">
        <v>#N/A</v>
      </c>
      <c r="QL107" s="1" t="e">
        <v>#N/A</v>
      </c>
      <c r="QM107" s="1" t="e">
        <v>#N/A</v>
      </c>
      <c r="QN107" s="1" t="e">
        <v>#N/A</v>
      </c>
      <c r="QO107" s="1" t="e">
        <v>#N/A</v>
      </c>
      <c r="QP107" s="1" t="e">
        <v>#N/A</v>
      </c>
    </row>
    <row r="108" spans="1:458" ht="26.25" x14ac:dyDescent="0.4">
      <c r="A108" s="347"/>
      <c r="B108" s="348"/>
      <c r="C108" s="288"/>
      <c r="D108" s="349"/>
      <c r="E108" s="350"/>
      <c r="F108" s="351"/>
      <c r="G108" s="352"/>
      <c r="H108" s="348"/>
      <c r="I108" s="353"/>
      <c r="J108" s="353"/>
      <c r="PJ108" s="1" t="e">
        <v>#N/A</v>
      </c>
      <c r="PK108" s="1" t="e">
        <v>#N/A</v>
      </c>
      <c r="PL108" s="1" t="e">
        <v>#N/A</v>
      </c>
      <c r="PM108" s="1" t="e">
        <v>#N/A</v>
      </c>
      <c r="PN108" s="1" t="e">
        <v>#N/A</v>
      </c>
      <c r="PO108" s="1" t="e">
        <v>#N/A</v>
      </c>
      <c r="PP108" s="1" t="e">
        <v>#N/A</v>
      </c>
      <c r="PQ108" s="1" t="e">
        <v>#N/A</v>
      </c>
      <c r="PR108" s="1" t="e">
        <v>#N/A</v>
      </c>
      <c r="PS108" s="1" t="e">
        <v>#N/A</v>
      </c>
      <c r="PT108" s="1" t="e">
        <v>#N/A</v>
      </c>
      <c r="PU108" s="1" t="e">
        <v>#N/A</v>
      </c>
      <c r="PV108" s="1" t="e">
        <v>#N/A</v>
      </c>
      <c r="PW108" s="1" t="e">
        <v>#N/A</v>
      </c>
      <c r="PX108" s="1" t="e">
        <v>#N/A</v>
      </c>
      <c r="PY108" s="1" t="e">
        <v>#N/A</v>
      </c>
      <c r="PZ108" s="1" t="e">
        <v>#N/A</v>
      </c>
      <c r="QA108" s="1" t="e">
        <v>#N/A</v>
      </c>
      <c r="QB108" s="1" t="e">
        <v>#N/A</v>
      </c>
      <c r="QC108" s="1" t="e">
        <v>#N/A</v>
      </c>
      <c r="QD108" s="1" t="e">
        <v>#N/A</v>
      </c>
      <c r="QE108" s="1" t="e">
        <v>#N/A</v>
      </c>
      <c r="QF108" s="1" t="e">
        <v>#N/A</v>
      </c>
      <c r="QG108" s="1" t="e">
        <v>#N/A</v>
      </c>
      <c r="QH108" s="1" t="e">
        <v>#N/A</v>
      </c>
      <c r="QI108" s="1" t="e">
        <v>#N/A</v>
      </c>
      <c r="QJ108" s="1" t="e">
        <v>#N/A</v>
      </c>
      <c r="QK108" s="1" t="e">
        <v>#N/A</v>
      </c>
      <c r="QL108" s="1" t="e">
        <v>#N/A</v>
      </c>
      <c r="QM108" s="1" t="e">
        <v>#N/A</v>
      </c>
      <c r="QN108" s="1" t="e">
        <v>#N/A</v>
      </c>
      <c r="QO108" s="1" t="e">
        <v>#N/A</v>
      </c>
      <c r="QP108" s="1" t="e">
        <v>#N/A</v>
      </c>
    </row>
    <row r="109" spans="1:458" ht="26.25" x14ac:dyDescent="0.4">
      <c r="A109" s="347"/>
      <c r="B109" s="348"/>
      <c r="C109" s="288"/>
      <c r="D109" s="349"/>
      <c r="E109" s="350"/>
      <c r="F109" s="351"/>
      <c r="G109" s="352"/>
      <c r="H109" s="348"/>
      <c r="I109" s="353"/>
      <c r="J109" s="353"/>
      <c r="PJ109" s="1" t="e">
        <v>#N/A</v>
      </c>
      <c r="PK109" s="1" t="e">
        <v>#N/A</v>
      </c>
      <c r="PL109" s="1" t="e">
        <v>#N/A</v>
      </c>
      <c r="PM109" s="1" t="e">
        <v>#N/A</v>
      </c>
      <c r="PN109" s="1" t="e">
        <v>#N/A</v>
      </c>
      <c r="PO109" s="1" t="e">
        <v>#N/A</v>
      </c>
      <c r="PP109" s="1" t="e">
        <v>#N/A</v>
      </c>
      <c r="PQ109" s="1" t="e">
        <v>#N/A</v>
      </c>
      <c r="PR109" s="1" t="e">
        <v>#N/A</v>
      </c>
      <c r="PS109" s="1" t="e">
        <v>#N/A</v>
      </c>
      <c r="PT109" s="1" t="e">
        <v>#N/A</v>
      </c>
      <c r="PU109" s="1" t="e">
        <v>#N/A</v>
      </c>
      <c r="PV109" s="1" t="e">
        <v>#N/A</v>
      </c>
      <c r="PW109" s="1" t="e">
        <v>#N/A</v>
      </c>
      <c r="PX109" s="1" t="e">
        <v>#N/A</v>
      </c>
      <c r="PY109" s="1" t="e">
        <v>#N/A</v>
      </c>
      <c r="PZ109" s="1" t="e">
        <v>#N/A</v>
      </c>
      <c r="QA109" s="1" t="e">
        <v>#N/A</v>
      </c>
      <c r="QB109" s="1" t="e">
        <v>#N/A</v>
      </c>
      <c r="QC109" s="1" t="e">
        <v>#N/A</v>
      </c>
      <c r="QD109" s="1" t="e">
        <v>#N/A</v>
      </c>
      <c r="QE109" s="1" t="e">
        <v>#N/A</v>
      </c>
      <c r="QF109" s="1" t="e">
        <v>#N/A</v>
      </c>
      <c r="QG109" s="1" t="e">
        <v>#N/A</v>
      </c>
      <c r="QH109" s="1" t="e">
        <v>#N/A</v>
      </c>
      <c r="QI109" s="1" t="e">
        <v>#N/A</v>
      </c>
      <c r="QJ109" s="1" t="e">
        <v>#N/A</v>
      </c>
      <c r="QK109" s="1" t="e">
        <v>#N/A</v>
      </c>
      <c r="QL109" s="1" t="e">
        <v>#N/A</v>
      </c>
      <c r="QM109" s="1" t="e">
        <v>#N/A</v>
      </c>
      <c r="QN109" s="1" t="e">
        <v>#N/A</v>
      </c>
      <c r="QO109" s="1" t="e">
        <v>#N/A</v>
      </c>
      <c r="QP109" s="1" t="e">
        <v>#N/A</v>
      </c>
    </row>
    <row r="110" spans="1:458" ht="26.25" x14ac:dyDescent="0.4">
      <c r="A110" s="347"/>
      <c r="B110" s="348"/>
      <c r="C110" s="288"/>
      <c r="D110" s="349"/>
      <c r="E110" s="350"/>
      <c r="F110" s="351"/>
      <c r="G110" s="352"/>
      <c r="H110" s="348"/>
      <c r="I110" s="353"/>
      <c r="J110" s="353"/>
      <c r="PJ110" s="1" t="e">
        <v>#N/A</v>
      </c>
      <c r="PK110" s="1" t="e">
        <v>#N/A</v>
      </c>
      <c r="PL110" s="1" t="e">
        <v>#N/A</v>
      </c>
      <c r="PM110" s="1" t="e">
        <v>#N/A</v>
      </c>
      <c r="PN110" s="1" t="e">
        <v>#N/A</v>
      </c>
      <c r="PO110" s="1" t="e">
        <v>#N/A</v>
      </c>
      <c r="PP110" s="1" t="e">
        <v>#N/A</v>
      </c>
      <c r="PQ110" s="1" t="e">
        <v>#N/A</v>
      </c>
      <c r="PR110" s="1" t="e">
        <v>#N/A</v>
      </c>
      <c r="PS110" s="1" t="e">
        <v>#N/A</v>
      </c>
      <c r="PT110" s="1" t="e">
        <v>#N/A</v>
      </c>
      <c r="PU110" s="1" t="e">
        <v>#N/A</v>
      </c>
      <c r="PV110" s="1" t="e">
        <v>#N/A</v>
      </c>
      <c r="PW110" s="1" t="e">
        <v>#N/A</v>
      </c>
      <c r="PX110" s="1" t="e">
        <v>#N/A</v>
      </c>
      <c r="PY110" s="1" t="e">
        <v>#N/A</v>
      </c>
      <c r="PZ110" s="1" t="e">
        <v>#N/A</v>
      </c>
      <c r="QA110" s="1" t="e">
        <v>#N/A</v>
      </c>
      <c r="QB110" s="1" t="e">
        <v>#N/A</v>
      </c>
      <c r="QC110" s="1" t="e">
        <v>#N/A</v>
      </c>
      <c r="QD110" s="1" t="e">
        <v>#N/A</v>
      </c>
      <c r="QE110" s="1" t="e">
        <v>#N/A</v>
      </c>
      <c r="QF110" s="1" t="e">
        <v>#N/A</v>
      </c>
      <c r="QG110" s="1" t="e">
        <v>#N/A</v>
      </c>
      <c r="QH110" s="1" t="e">
        <v>#N/A</v>
      </c>
      <c r="QI110" s="1" t="e">
        <v>#N/A</v>
      </c>
      <c r="QJ110" s="1" t="e">
        <v>#N/A</v>
      </c>
      <c r="QK110" s="1" t="e">
        <v>#N/A</v>
      </c>
      <c r="QL110" s="1" t="e">
        <v>#N/A</v>
      </c>
      <c r="QM110" s="1" t="e">
        <v>#N/A</v>
      </c>
      <c r="QN110" s="1" t="e">
        <v>#N/A</v>
      </c>
      <c r="QO110" s="1" t="e">
        <v>#N/A</v>
      </c>
      <c r="QP110" s="1" t="e">
        <v>#N/A</v>
      </c>
    </row>
    <row r="111" spans="1:458" ht="26.25" x14ac:dyDescent="0.4">
      <c r="A111" s="347"/>
      <c r="B111" s="348"/>
      <c r="C111" s="288"/>
      <c r="D111" s="349"/>
      <c r="E111" s="350"/>
      <c r="F111" s="351"/>
      <c r="G111" s="352"/>
      <c r="H111" s="348"/>
      <c r="I111" s="353"/>
      <c r="J111" s="353"/>
      <c r="PJ111" s="1" t="e">
        <v>#N/A</v>
      </c>
      <c r="PK111" s="1" t="e">
        <v>#N/A</v>
      </c>
      <c r="PL111" s="1" t="e">
        <v>#N/A</v>
      </c>
      <c r="PM111" s="1" t="e">
        <v>#N/A</v>
      </c>
      <c r="PN111" s="1" t="e">
        <v>#N/A</v>
      </c>
      <c r="PO111" s="1" t="e">
        <v>#N/A</v>
      </c>
      <c r="PP111" s="1" t="e">
        <v>#N/A</v>
      </c>
      <c r="PQ111" s="1" t="e">
        <v>#N/A</v>
      </c>
      <c r="PR111" s="1" t="e">
        <v>#N/A</v>
      </c>
      <c r="PS111" s="1" t="e">
        <v>#N/A</v>
      </c>
      <c r="PT111" s="1" t="e">
        <v>#N/A</v>
      </c>
      <c r="PU111" s="1" t="e">
        <v>#N/A</v>
      </c>
      <c r="PV111" s="1" t="e">
        <v>#N/A</v>
      </c>
      <c r="PW111" s="1" t="e">
        <v>#N/A</v>
      </c>
      <c r="PX111" s="1" t="e">
        <v>#N/A</v>
      </c>
      <c r="PY111" s="1" t="e">
        <v>#N/A</v>
      </c>
      <c r="PZ111" s="1" t="e">
        <v>#N/A</v>
      </c>
      <c r="QA111" s="1" t="e">
        <v>#N/A</v>
      </c>
      <c r="QB111" s="1" t="e">
        <v>#N/A</v>
      </c>
      <c r="QC111" s="1" t="e">
        <v>#N/A</v>
      </c>
      <c r="QD111" s="1" t="e">
        <v>#N/A</v>
      </c>
      <c r="QE111" s="1" t="e">
        <v>#N/A</v>
      </c>
      <c r="QF111" s="1" t="e">
        <v>#N/A</v>
      </c>
      <c r="QG111" s="1" t="e">
        <v>#N/A</v>
      </c>
      <c r="QH111" s="1" t="e">
        <v>#N/A</v>
      </c>
      <c r="QI111" s="1" t="e">
        <v>#N/A</v>
      </c>
      <c r="QJ111" s="1" t="e">
        <v>#N/A</v>
      </c>
      <c r="QK111" s="1" t="e">
        <v>#N/A</v>
      </c>
      <c r="QL111" s="1" t="e">
        <v>#N/A</v>
      </c>
      <c r="QM111" s="1" t="e">
        <v>#N/A</v>
      </c>
      <c r="QN111" s="1" t="e">
        <v>#N/A</v>
      </c>
      <c r="QO111" s="1" t="e">
        <v>#N/A</v>
      </c>
      <c r="QP111" s="1" t="e">
        <v>#N/A</v>
      </c>
    </row>
    <row r="112" spans="1:458" ht="26.25" x14ac:dyDescent="0.4">
      <c r="A112" s="347"/>
      <c r="B112" s="348"/>
      <c r="C112" s="288"/>
      <c r="D112" s="349"/>
      <c r="E112" s="350"/>
      <c r="F112" s="351"/>
      <c r="G112" s="352"/>
      <c r="H112" s="348"/>
      <c r="I112" s="353"/>
      <c r="J112" s="353"/>
      <c r="PJ112" s="1" t="e">
        <v>#N/A</v>
      </c>
      <c r="PK112" s="1" t="e">
        <v>#N/A</v>
      </c>
      <c r="PL112" s="1" t="e">
        <v>#N/A</v>
      </c>
      <c r="PM112" s="1" t="e">
        <v>#N/A</v>
      </c>
      <c r="PN112" s="1" t="e">
        <v>#N/A</v>
      </c>
      <c r="PO112" s="1" t="e">
        <v>#N/A</v>
      </c>
      <c r="PP112" s="1" t="e">
        <v>#N/A</v>
      </c>
      <c r="PQ112" s="1" t="e">
        <v>#N/A</v>
      </c>
      <c r="PR112" s="1" t="e">
        <v>#N/A</v>
      </c>
      <c r="PS112" s="1" t="e">
        <v>#N/A</v>
      </c>
      <c r="PT112" s="1" t="e">
        <v>#N/A</v>
      </c>
      <c r="PU112" s="1" t="e">
        <v>#N/A</v>
      </c>
      <c r="PV112" s="1" t="e">
        <v>#N/A</v>
      </c>
      <c r="PW112" s="1" t="e">
        <v>#N/A</v>
      </c>
      <c r="PX112" s="1" t="e">
        <v>#N/A</v>
      </c>
      <c r="PY112" s="1" t="e">
        <v>#N/A</v>
      </c>
      <c r="PZ112" s="1" t="e">
        <v>#N/A</v>
      </c>
      <c r="QA112" s="1" t="e">
        <v>#N/A</v>
      </c>
      <c r="QB112" s="1" t="e">
        <v>#N/A</v>
      </c>
      <c r="QC112" s="1" t="e">
        <v>#N/A</v>
      </c>
      <c r="QD112" s="1" t="e">
        <v>#N/A</v>
      </c>
      <c r="QE112" s="1" t="e">
        <v>#N/A</v>
      </c>
      <c r="QF112" s="1" t="e">
        <v>#N/A</v>
      </c>
      <c r="QG112" s="1" t="e">
        <v>#N/A</v>
      </c>
      <c r="QH112" s="1" t="e">
        <v>#N/A</v>
      </c>
      <c r="QI112" s="1" t="e">
        <v>#N/A</v>
      </c>
      <c r="QJ112" s="1" t="e">
        <v>#N/A</v>
      </c>
      <c r="QK112" s="1" t="e">
        <v>#N/A</v>
      </c>
      <c r="QL112" s="1" t="e">
        <v>#N/A</v>
      </c>
      <c r="QM112" s="1" t="e">
        <v>#N/A</v>
      </c>
      <c r="QN112" s="1" t="e">
        <v>#N/A</v>
      </c>
      <c r="QO112" s="1" t="e">
        <v>#N/A</v>
      </c>
      <c r="QP112" s="1" t="e">
        <v>#N/A</v>
      </c>
    </row>
    <row r="113" spans="1:458" ht="26.25" x14ac:dyDescent="0.4">
      <c r="A113" s="347"/>
      <c r="B113" s="348"/>
      <c r="C113" s="288"/>
      <c r="D113" s="349"/>
      <c r="E113" s="350"/>
      <c r="F113" s="351"/>
      <c r="G113" s="352"/>
      <c r="H113" s="348"/>
      <c r="I113" s="353"/>
      <c r="J113" s="353"/>
      <c r="PJ113" s="1" t="e">
        <v>#N/A</v>
      </c>
      <c r="PK113" s="1" t="e">
        <v>#N/A</v>
      </c>
      <c r="PL113" s="1" t="e">
        <v>#N/A</v>
      </c>
      <c r="PM113" s="1" t="e">
        <v>#N/A</v>
      </c>
      <c r="PN113" s="1" t="e">
        <v>#N/A</v>
      </c>
      <c r="PO113" s="1" t="e">
        <v>#N/A</v>
      </c>
      <c r="PP113" s="1" t="e">
        <v>#N/A</v>
      </c>
      <c r="PQ113" s="1" t="e">
        <v>#N/A</v>
      </c>
      <c r="PR113" s="1" t="e">
        <v>#N/A</v>
      </c>
      <c r="PS113" s="1" t="e">
        <v>#N/A</v>
      </c>
      <c r="PT113" s="1" t="e">
        <v>#N/A</v>
      </c>
      <c r="PU113" s="1" t="e">
        <v>#N/A</v>
      </c>
      <c r="PV113" s="1" t="e">
        <v>#N/A</v>
      </c>
      <c r="PW113" s="1" t="e">
        <v>#N/A</v>
      </c>
      <c r="PX113" s="1" t="e">
        <v>#N/A</v>
      </c>
      <c r="PY113" s="1" t="e">
        <v>#N/A</v>
      </c>
      <c r="PZ113" s="1" t="e">
        <v>#N/A</v>
      </c>
      <c r="QA113" s="1" t="e">
        <v>#N/A</v>
      </c>
      <c r="QB113" s="1" t="e">
        <v>#N/A</v>
      </c>
      <c r="QC113" s="1" t="e">
        <v>#N/A</v>
      </c>
      <c r="QD113" s="1" t="e">
        <v>#N/A</v>
      </c>
      <c r="QE113" s="1" t="e">
        <v>#N/A</v>
      </c>
      <c r="QF113" s="1" t="e">
        <v>#N/A</v>
      </c>
      <c r="QG113" s="1" t="e">
        <v>#N/A</v>
      </c>
      <c r="QH113" s="1" t="e">
        <v>#N/A</v>
      </c>
      <c r="QI113" s="1" t="e">
        <v>#N/A</v>
      </c>
      <c r="QJ113" s="1" t="e">
        <v>#N/A</v>
      </c>
      <c r="QK113" s="1" t="e">
        <v>#N/A</v>
      </c>
      <c r="QL113" s="1" t="e">
        <v>#N/A</v>
      </c>
      <c r="QM113" s="1" t="e">
        <v>#N/A</v>
      </c>
      <c r="QN113" s="1" t="e">
        <v>#N/A</v>
      </c>
      <c r="QO113" s="1" t="e">
        <v>#N/A</v>
      </c>
      <c r="QP113" s="1" t="e">
        <v>#N/A</v>
      </c>
    </row>
    <row r="114" spans="1:458" ht="26.25" x14ac:dyDescent="0.4">
      <c r="A114" s="347"/>
      <c r="B114" s="348"/>
      <c r="C114" s="288"/>
      <c r="D114" s="349"/>
      <c r="E114" s="350"/>
      <c r="F114" s="351"/>
      <c r="G114" s="352"/>
      <c r="H114" s="348"/>
      <c r="I114" s="353"/>
      <c r="J114" s="353"/>
      <c r="PJ114" s="1" t="e">
        <v>#N/A</v>
      </c>
      <c r="PK114" s="1" t="e">
        <v>#N/A</v>
      </c>
      <c r="PL114" s="1" t="e">
        <v>#N/A</v>
      </c>
      <c r="PM114" s="1" t="e">
        <v>#N/A</v>
      </c>
      <c r="PN114" s="1" t="e">
        <v>#N/A</v>
      </c>
      <c r="PO114" s="1" t="e">
        <v>#N/A</v>
      </c>
      <c r="PP114" s="1" t="e">
        <v>#N/A</v>
      </c>
      <c r="PQ114" s="1" t="e">
        <v>#N/A</v>
      </c>
      <c r="PR114" s="1" t="e">
        <v>#N/A</v>
      </c>
      <c r="PS114" s="1" t="e">
        <v>#N/A</v>
      </c>
      <c r="PT114" s="1" t="e">
        <v>#N/A</v>
      </c>
      <c r="PU114" s="1" t="e">
        <v>#N/A</v>
      </c>
      <c r="PV114" s="1" t="e">
        <v>#N/A</v>
      </c>
      <c r="PW114" s="1" t="e">
        <v>#N/A</v>
      </c>
      <c r="PX114" s="1" t="e">
        <v>#N/A</v>
      </c>
      <c r="PY114" s="1" t="e">
        <v>#N/A</v>
      </c>
      <c r="PZ114" s="1" t="e">
        <v>#N/A</v>
      </c>
      <c r="QA114" s="1" t="e">
        <v>#N/A</v>
      </c>
      <c r="QB114" s="1" t="e">
        <v>#N/A</v>
      </c>
      <c r="QC114" s="1" t="e">
        <v>#N/A</v>
      </c>
      <c r="QD114" s="1" t="e">
        <v>#N/A</v>
      </c>
      <c r="QE114" s="1" t="e">
        <v>#N/A</v>
      </c>
      <c r="QF114" s="1" t="e">
        <v>#N/A</v>
      </c>
      <c r="QG114" s="1" t="e">
        <v>#N/A</v>
      </c>
      <c r="QH114" s="1" t="e">
        <v>#N/A</v>
      </c>
      <c r="QI114" s="1" t="e">
        <v>#N/A</v>
      </c>
      <c r="QJ114" s="1" t="e">
        <v>#N/A</v>
      </c>
      <c r="QK114" s="1" t="e">
        <v>#N/A</v>
      </c>
      <c r="QL114" s="1" t="e">
        <v>#N/A</v>
      </c>
      <c r="QM114" s="1" t="e">
        <v>#N/A</v>
      </c>
      <c r="QN114" s="1" t="e">
        <v>#N/A</v>
      </c>
      <c r="QO114" s="1" t="e">
        <v>#N/A</v>
      </c>
      <c r="QP114" s="1" t="e">
        <v>#N/A</v>
      </c>
    </row>
    <row r="115" spans="1:458" ht="26.25" x14ac:dyDescent="0.4">
      <c r="A115" s="347"/>
      <c r="B115" s="348"/>
      <c r="C115" s="288"/>
      <c r="D115" s="349"/>
      <c r="E115" s="350"/>
      <c r="F115" s="351"/>
      <c r="G115" s="352"/>
      <c r="H115" s="348"/>
      <c r="I115" s="353"/>
      <c r="J115" s="353"/>
      <c r="PJ115" s="1" t="e">
        <v>#N/A</v>
      </c>
      <c r="PK115" s="1" t="e">
        <v>#N/A</v>
      </c>
      <c r="PL115" s="1" t="e">
        <v>#N/A</v>
      </c>
      <c r="PM115" s="1" t="e">
        <v>#N/A</v>
      </c>
      <c r="PN115" s="1" t="e">
        <v>#N/A</v>
      </c>
      <c r="PO115" s="1" t="e">
        <v>#N/A</v>
      </c>
      <c r="PP115" s="1" t="e">
        <v>#N/A</v>
      </c>
      <c r="PQ115" s="1" t="e">
        <v>#N/A</v>
      </c>
      <c r="PR115" s="1" t="e">
        <v>#N/A</v>
      </c>
      <c r="PS115" s="1" t="e">
        <v>#N/A</v>
      </c>
      <c r="PT115" s="1" t="e">
        <v>#N/A</v>
      </c>
      <c r="PU115" s="1" t="e">
        <v>#N/A</v>
      </c>
      <c r="PV115" s="1" t="e">
        <v>#N/A</v>
      </c>
      <c r="PW115" s="1" t="e">
        <v>#N/A</v>
      </c>
      <c r="PX115" s="1" t="e">
        <v>#N/A</v>
      </c>
      <c r="PY115" s="1" t="e">
        <v>#N/A</v>
      </c>
      <c r="PZ115" s="1" t="e">
        <v>#N/A</v>
      </c>
      <c r="QA115" s="1" t="e">
        <v>#N/A</v>
      </c>
      <c r="QB115" s="1" t="e">
        <v>#N/A</v>
      </c>
      <c r="QC115" s="1" t="e">
        <v>#N/A</v>
      </c>
      <c r="QD115" s="1" t="e">
        <v>#N/A</v>
      </c>
      <c r="QE115" s="1" t="e">
        <v>#N/A</v>
      </c>
      <c r="QF115" s="1" t="e">
        <v>#N/A</v>
      </c>
      <c r="QG115" s="1" t="e">
        <v>#N/A</v>
      </c>
      <c r="QH115" s="1" t="e">
        <v>#N/A</v>
      </c>
      <c r="QI115" s="1" t="e">
        <v>#N/A</v>
      </c>
      <c r="QJ115" s="1" t="e">
        <v>#N/A</v>
      </c>
      <c r="QK115" s="1" t="e">
        <v>#N/A</v>
      </c>
      <c r="QL115" s="1" t="e">
        <v>#N/A</v>
      </c>
      <c r="QM115" s="1" t="e">
        <v>#N/A</v>
      </c>
      <c r="QN115" s="1" t="e">
        <v>#N/A</v>
      </c>
      <c r="QO115" s="1" t="e">
        <v>#N/A</v>
      </c>
      <c r="QP115" s="1" t="e">
        <v>#N/A</v>
      </c>
    </row>
    <row r="116" spans="1:458" ht="26.25" x14ac:dyDescent="0.4">
      <c r="A116" s="347"/>
      <c r="B116" s="348"/>
      <c r="C116" s="288"/>
      <c r="D116" s="349"/>
      <c r="E116" s="350"/>
      <c r="F116" s="351"/>
      <c r="G116" s="352"/>
      <c r="H116" s="348"/>
      <c r="I116" s="353"/>
      <c r="J116" s="353"/>
      <c r="PJ116" s="1" t="e">
        <v>#N/A</v>
      </c>
      <c r="PK116" s="1" t="e">
        <v>#N/A</v>
      </c>
      <c r="PL116" s="1" t="e">
        <v>#N/A</v>
      </c>
      <c r="PM116" s="1" t="e">
        <v>#N/A</v>
      </c>
      <c r="PN116" s="1" t="e">
        <v>#N/A</v>
      </c>
      <c r="PO116" s="1" t="e">
        <v>#N/A</v>
      </c>
      <c r="PP116" s="1" t="e">
        <v>#N/A</v>
      </c>
      <c r="PQ116" s="1" t="e">
        <v>#N/A</v>
      </c>
      <c r="PR116" s="1" t="e">
        <v>#N/A</v>
      </c>
      <c r="PS116" s="1" t="e">
        <v>#N/A</v>
      </c>
      <c r="PT116" s="1" t="e">
        <v>#N/A</v>
      </c>
      <c r="PU116" s="1" t="e">
        <v>#N/A</v>
      </c>
      <c r="PV116" s="1" t="e">
        <v>#N/A</v>
      </c>
      <c r="PW116" s="1" t="e">
        <v>#N/A</v>
      </c>
      <c r="PX116" s="1" t="e">
        <v>#N/A</v>
      </c>
      <c r="PY116" s="1" t="e">
        <v>#N/A</v>
      </c>
      <c r="PZ116" s="1" t="e">
        <v>#N/A</v>
      </c>
      <c r="QA116" s="1" t="e">
        <v>#N/A</v>
      </c>
      <c r="QB116" s="1" t="e">
        <v>#N/A</v>
      </c>
      <c r="QC116" s="1" t="e">
        <v>#N/A</v>
      </c>
      <c r="QD116" s="1" t="e">
        <v>#N/A</v>
      </c>
      <c r="QE116" s="1" t="e">
        <v>#N/A</v>
      </c>
      <c r="QF116" s="1" t="e">
        <v>#N/A</v>
      </c>
      <c r="QG116" s="1" t="e">
        <v>#N/A</v>
      </c>
      <c r="QH116" s="1" t="e">
        <v>#N/A</v>
      </c>
      <c r="QI116" s="1" t="e">
        <v>#N/A</v>
      </c>
      <c r="QJ116" s="1" t="e">
        <v>#N/A</v>
      </c>
      <c r="QK116" s="1" t="e">
        <v>#N/A</v>
      </c>
      <c r="QL116" s="1" t="e">
        <v>#N/A</v>
      </c>
      <c r="QM116" s="1" t="e">
        <v>#N/A</v>
      </c>
      <c r="QN116" s="1" t="e">
        <v>#N/A</v>
      </c>
      <c r="QO116" s="1" t="e">
        <v>#N/A</v>
      </c>
      <c r="QP116" s="1" t="e">
        <v>#N/A</v>
      </c>
    </row>
    <row r="117" spans="1:458" ht="26.25" x14ac:dyDescent="0.4">
      <c r="A117" s="347"/>
      <c r="B117" s="348"/>
      <c r="C117" s="288"/>
      <c r="D117" s="349"/>
      <c r="E117" s="350"/>
      <c r="F117" s="351"/>
      <c r="G117" s="352"/>
      <c r="H117" s="348"/>
      <c r="I117" s="353"/>
      <c r="J117" s="353"/>
      <c r="PJ117" s="1" t="e">
        <v>#N/A</v>
      </c>
      <c r="PK117" s="1" t="e">
        <v>#N/A</v>
      </c>
      <c r="PL117" s="1" t="e">
        <v>#N/A</v>
      </c>
      <c r="PM117" s="1" t="e">
        <v>#N/A</v>
      </c>
      <c r="PN117" s="1" t="e">
        <v>#N/A</v>
      </c>
      <c r="PO117" s="1" t="e">
        <v>#N/A</v>
      </c>
      <c r="PP117" s="1" t="e">
        <v>#N/A</v>
      </c>
      <c r="PQ117" s="1" t="e">
        <v>#N/A</v>
      </c>
      <c r="PR117" s="1" t="e">
        <v>#N/A</v>
      </c>
      <c r="PS117" s="1" t="e">
        <v>#N/A</v>
      </c>
      <c r="PT117" s="1" t="e">
        <v>#N/A</v>
      </c>
      <c r="PU117" s="1" t="e">
        <v>#N/A</v>
      </c>
      <c r="PV117" s="1" t="e">
        <v>#N/A</v>
      </c>
      <c r="PW117" s="1" t="e">
        <v>#N/A</v>
      </c>
      <c r="PX117" s="1" t="e">
        <v>#N/A</v>
      </c>
      <c r="PY117" s="1" t="e">
        <v>#N/A</v>
      </c>
      <c r="PZ117" s="1" t="e">
        <v>#N/A</v>
      </c>
      <c r="QA117" s="1" t="e">
        <v>#N/A</v>
      </c>
      <c r="QB117" s="1" t="e">
        <v>#N/A</v>
      </c>
      <c r="QC117" s="1" t="e">
        <v>#N/A</v>
      </c>
      <c r="QD117" s="1" t="e">
        <v>#N/A</v>
      </c>
      <c r="QE117" s="1" t="e">
        <v>#N/A</v>
      </c>
      <c r="QF117" s="1" t="e">
        <v>#N/A</v>
      </c>
      <c r="QG117" s="1" t="e">
        <v>#N/A</v>
      </c>
      <c r="QH117" s="1" t="e">
        <v>#N/A</v>
      </c>
      <c r="QI117" s="1" t="e">
        <v>#N/A</v>
      </c>
      <c r="QJ117" s="1" t="e">
        <v>#N/A</v>
      </c>
      <c r="QK117" s="1" t="e">
        <v>#N/A</v>
      </c>
      <c r="QL117" s="1" t="e">
        <v>#N/A</v>
      </c>
      <c r="QM117" s="1" t="e">
        <v>#N/A</v>
      </c>
      <c r="QN117" s="1" t="e">
        <v>#N/A</v>
      </c>
      <c r="QO117" s="1" t="e">
        <v>#N/A</v>
      </c>
      <c r="QP117" s="1" t="e">
        <v>#N/A</v>
      </c>
    </row>
    <row r="118" spans="1:458" ht="26.25" x14ac:dyDescent="0.4">
      <c r="A118" s="347"/>
      <c r="B118" s="348"/>
      <c r="C118" s="288"/>
      <c r="D118" s="349"/>
      <c r="E118" s="350"/>
      <c r="F118" s="351"/>
      <c r="G118" s="352"/>
      <c r="H118" s="348"/>
      <c r="I118" s="353"/>
      <c r="J118" s="353"/>
      <c r="PJ118" s="1" t="e">
        <v>#N/A</v>
      </c>
      <c r="PK118" s="1" t="e">
        <v>#N/A</v>
      </c>
      <c r="PL118" s="1" t="e">
        <v>#N/A</v>
      </c>
      <c r="PM118" s="1" t="e">
        <v>#N/A</v>
      </c>
      <c r="PN118" s="1" t="e">
        <v>#N/A</v>
      </c>
      <c r="PO118" s="1" t="e">
        <v>#N/A</v>
      </c>
      <c r="PP118" s="1" t="e">
        <v>#N/A</v>
      </c>
      <c r="PQ118" s="1" t="e">
        <v>#N/A</v>
      </c>
      <c r="PR118" s="1" t="e">
        <v>#N/A</v>
      </c>
      <c r="PS118" s="1" t="e">
        <v>#N/A</v>
      </c>
      <c r="PT118" s="1" t="e">
        <v>#N/A</v>
      </c>
      <c r="PU118" s="1" t="e">
        <v>#N/A</v>
      </c>
      <c r="PV118" s="1" t="e">
        <v>#N/A</v>
      </c>
      <c r="PW118" s="1" t="e">
        <v>#N/A</v>
      </c>
      <c r="PX118" s="1" t="e">
        <v>#N/A</v>
      </c>
      <c r="PY118" s="1" t="e">
        <v>#N/A</v>
      </c>
      <c r="PZ118" s="1" t="e">
        <v>#N/A</v>
      </c>
      <c r="QA118" s="1" t="e">
        <v>#N/A</v>
      </c>
      <c r="QB118" s="1" t="e">
        <v>#N/A</v>
      </c>
      <c r="QC118" s="1" t="e">
        <v>#N/A</v>
      </c>
      <c r="QD118" s="1" t="e">
        <v>#N/A</v>
      </c>
      <c r="QE118" s="1" t="e">
        <v>#N/A</v>
      </c>
      <c r="QF118" s="1" t="e">
        <v>#N/A</v>
      </c>
      <c r="QG118" s="1" t="e">
        <v>#N/A</v>
      </c>
      <c r="QH118" s="1" t="e">
        <v>#N/A</v>
      </c>
      <c r="QI118" s="1" t="e">
        <v>#N/A</v>
      </c>
      <c r="QJ118" s="1" t="e">
        <v>#N/A</v>
      </c>
      <c r="QK118" s="1" t="e">
        <v>#N/A</v>
      </c>
      <c r="QL118" s="1" t="e">
        <v>#N/A</v>
      </c>
      <c r="QM118" s="1" t="e">
        <v>#N/A</v>
      </c>
      <c r="QN118" s="1" t="e">
        <v>#N/A</v>
      </c>
      <c r="QO118" s="1" t="e">
        <v>#N/A</v>
      </c>
      <c r="QP118" s="1" t="e">
        <v>#N/A</v>
      </c>
    </row>
    <row r="119" spans="1:458" ht="26.25" x14ac:dyDescent="0.4">
      <c r="A119" s="347"/>
      <c r="B119" s="348"/>
      <c r="C119" s="288"/>
      <c r="D119" s="349"/>
      <c r="E119" s="350"/>
      <c r="F119" s="351"/>
      <c r="G119" s="352"/>
      <c r="H119" s="348"/>
      <c r="I119" s="353"/>
      <c r="J119" s="353"/>
      <c r="PJ119" s="1" t="e">
        <v>#N/A</v>
      </c>
      <c r="PK119" s="1" t="e">
        <v>#N/A</v>
      </c>
      <c r="PL119" s="1" t="e">
        <v>#N/A</v>
      </c>
      <c r="PM119" s="1" t="e">
        <v>#N/A</v>
      </c>
      <c r="PN119" s="1" t="e">
        <v>#N/A</v>
      </c>
      <c r="PO119" s="1" t="e">
        <v>#N/A</v>
      </c>
      <c r="PP119" s="1" t="e">
        <v>#N/A</v>
      </c>
      <c r="PQ119" s="1" t="e">
        <v>#N/A</v>
      </c>
      <c r="PR119" s="1" t="e">
        <v>#N/A</v>
      </c>
      <c r="PS119" s="1" t="e">
        <v>#N/A</v>
      </c>
      <c r="PT119" s="1" t="e">
        <v>#N/A</v>
      </c>
      <c r="PU119" s="1" t="e">
        <v>#N/A</v>
      </c>
      <c r="PV119" s="1" t="e">
        <v>#N/A</v>
      </c>
      <c r="PW119" s="1" t="e">
        <v>#N/A</v>
      </c>
      <c r="PX119" s="1" t="e">
        <v>#N/A</v>
      </c>
      <c r="PY119" s="1" t="e">
        <v>#N/A</v>
      </c>
      <c r="PZ119" s="1" t="e">
        <v>#N/A</v>
      </c>
      <c r="QA119" s="1" t="e">
        <v>#N/A</v>
      </c>
      <c r="QB119" s="1" t="e">
        <v>#N/A</v>
      </c>
      <c r="QC119" s="1" t="e">
        <v>#N/A</v>
      </c>
      <c r="QD119" s="1" t="e">
        <v>#N/A</v>
      </c>
      <c r="QE119" s="1" t="e">
        <v>#N/A</v>
      </c>
      <c r="QF119" s="1" t="e">
        <v>#N/A</v>
      </c>
      <c r="QG119" s="1" t="e">
        <v>#N/A</v>
      </c>
      <c r="QH119" s="1" t="e">
        <v>#N/A</v>
      </c>
      <c r="QI119" s="1" t="e">
        <v>#N/A</v>
      </c>
      <c r="QJ119" s="1" t="e">
        <v>#N/A</v>
      </c>
      <c r="QK119" s="1" t="e">
        <v>#N/A</v>
      </c>
      <c r="QL119" s="1" t="e">
        <v>#N/A</v>
      </c>
      <c r="QM119" s="1" t="e">
        <v>#N/A</v>
      </c>
      <c r="QN119" s="1" t="e">
        <v>#N/A</v>
      </c>
      <c r="QO119" s="1" t="e">
        <v>#N/A</v>
      </c>
      <c r="QP119" s="1" t="e">
        <v>#N/A</v>
      </c>
    </row>
    <row r="120" spans="1:458" ht="26.25" x14ac:dyDescent="0.4">
      <c r="A120" s="347"/>
      <c r="B120" s="348"/>
      <c r="C120" s="288"/>
      <c r="D120" s="349"/>
      <c r="E120" s="350"/>
      <c r="F120" s="351"/>
      <c r="G120" s="352"/>
      <c r="H120" s="348"/>
      <c r="I120" s="353"/>
      <c r="J120" s="353"/>
      <c r="PJ120" s="1" t="e">
        <v>#N/A</v>
      </c>
      <c r="PK120" s="1" t="e">
        <v>#N/A</v>
      </c>
      <c r="PL120" s="1" t="e">
        <v>#N/A</v>
      </c>
      <c r="PM120" s="1" t="e">
        <v>#N/A</v>
      </c>
      <c r="PN120" s="1" t="e">
        <v>#N/A</v>
      </c>
      <c r="PO120" s="1" t="e">
        <v>#N/A</v>
      </c>
      <c r="PP120" s="1" t="e">
        <v>#N/A</v>
      </c>
      <c r="PQ120" s="1" t="e">
        <v>#N/A</v>
      </c>
      <c r="PR120" s="1" t="e">
        <v>#N/A</v>
      </c>
      <c r="PS120" s="1" t="e">
        <v>#N/A</v>
      </c>
      <c r="PT120" s="1" t="e">
        <v>#N/A</v>
      </c>
      <c r="PU120" s="1" t="e">
        <v>#N/A</v>
      </c>
      <c r="PV120" s="1" t="e">
        <v>#N/A</v>
      </c>
      <c r="PW120" s="1" t="e">
        <v>#N/A</v>
      </c>
      <c r="PX120" s="1" t="e">
        <v>#N/A</v>
      </c>
      <c r="PY120" s="1" t="e">
        <v>#N/A</v>
      </c>
      <c r="PZ120" s="1" t="e">
        <v>#N/A</v>
      </c>
      <c r="QA120" s="1" t="e">
        <v>#N/A</v>
      </c>
      <c r="QB120" s="1" t="e">
        <v>#N/A</v>
      </c>
      <c r="QC120" s="1" t="e">
        <v>#N/A</v>
      </c>
      <c r="QD120" s="1" t="e">
        <v>#N/A</v>
      </c>
      <c r="QE120" s="1" t="e">
        <v>#N/A</v>
      </c>
      <c r="QF120" s="1" t="e">
        <v>#N/A</v>
      </c>
      <c r="QG120" s="1" t="e">
        <v>#N/A</v>
      </c>
      <c r="QH120" s="1" t="e">
        <v>#N/A</v>
      </c>
      <c r="QI120" s="1" t="e">
        <v>#N/A</v>
      </c>
      <c r="QJ120" s="1" t="e">
        <v>#N/A</v>
      </c>
      <c r="QK120" s="1" t="e">
        <v>#N/A</v>
      </c>
      <c r="QL120" s="1" t="e">
        <v>#N/A</v>
      </c>
      <c r="QM120" s="1" t="e">
        <v>#N/A</v>
      </c>
      <c r="QN120" s="1" t="e">
        <v>#N/A</v>
      </c>
      <c r="QO120" s="1" t="e">
        <v>#N/A</v>
      </c>
      <c r="QP120" s="1" t="e">
        <v>#N/A</v>
      </c>
    </row>
    <row r="121" spans="1:458" ht="26.25" x14ac:dyDescent="0.4">
      <c r="A121" s="347"/>
      <c r="B121" s="348"/>
      <c r="C121" s="288"/>
      <c r="D121" s="349"/>
      <c r="E121" s="350"/>
      <c r="F121" s="351"/>
      <c r="G121" s="352"/>
      <c r="H121" s="348"/>
      <c r="I121" s="353"/>
      <c r="J121" s="353"/>
      <c r="PJ121" s="1" t="e">
        <v>#N/A</v>
      </c>
      <c r="PK121" s="1" t="e">
        <v>#N/A</v>
      </c>
      <c r="PL121" s="1" t="e">
        <v>#N/A</v>
      </c>
      <c r="PM121" s="1" t="e">
        <v>#N/A</v>
      </c>
      <c r="PN121" s="1" t="e">
        <v>#N/A</v>
      </c>
      <c r="PO121" s="1" t="e">
        <v>#N/A</v>
      </c>
      <c r="PP121" s="1" t="e">
        <v>#N/A</v>
      </c>
      <c r="PQ121" s="1" t="e">
        <v>#N/A</v>
      </c>
      <c r="PR121" s="1" t="e">
        <v>#N/A</v>
      </c>
      <c r="PS121" s="1" t="e">
        <v>#N/A</v>
      </c>
      <c r="PT121" s="1" t="e">
        <v>#N/A</v>
      </c>
      <c r="PU121" s="1" t="e">
        <v>#N/A</v>
      </c>
      <c r="PV121" s="1" t="e">
        <v>#N/A</v>
      </c>
      <c r="PW121" s="1" t="e">
        <v>#N/A</v>
      </c>
      <c r="PX121" s="1" t="e">
        <v>#N/A</v>
      </c>
      <c r="PY121" s="1" t="e">
        <v>#N/A</v>
      </c>
      <c r="PZ121" s="1" t="e">
        <v>#N/A</v>
      </c>
      <c r="QA121" s="1" t="e">
        <v>#N/A</v>
      </c>
      <c r="QB121" s="1" t="e">
        <v>#N/A</v>
      </c>
      <c r="QC121" s="1" t="e">
        <v>#N/A</v>
      </c>
      <c r="QD121" s="1" t="e">
        <v>#N/A</v>
      </c>
      <c r="QE121" s="1" t="e">
        <v>#N/A</v>
      </c>
      <c r="QF121" s="1" t="e">
        <v>#N/A</v>
      </c>
      <c r="QG121" s="1" t="e">
        <v>#N/A</v>
      </c>
      <c r="QH121" s="1" t="e">
        <v>#N/A</v>
      </c>
      <c r="QI121" s="1" t="e">
        <v>#N/A</v>
      </c>
      <c r="QJ121" s="1" t="e">
        <v>#N/A</v>
      </c>
      <c r="QK121" s="1" t="e">
        <v>#N/A</v>
      </c>
      <c r="QL121" s="1" t="e">
        <v>#N/A</v>
      </c>
      <c r="QM121" s="1" t="e">
        <v>#N/A</v>
      </c>
      <c r="QN121" s="1" t="e">
        <v>#N/A</v>
      </c>
      <c r="QO121" s="1" t="e">
        <v>#N/A</v>
      </c>
      <c r="QP121" s="1" t="e">
        <v>#N/A</v>
      </c>
    </row>
    <row r="122" spans="1:458" ht="26.25" x14ac:dyDescent="0.4">
      <c r="A122" s="347"/>
      <c r="B122" s="348"/>
      <c r="C122" s="288"/>
      <c r="D122" s="349"/>
      <c r="E122" s="350"/>
      <c r="F122" s="351"/>
      <c r="G122" s="352"/>
      <c r="H122" s="348"/>
      <c r="I122" s="353"/>
      <c r="J122" s="353"/>
      <c r="PJ122" s="1" t="e">
        <v>#N/A</v>
      </c>
      <c r="PK122" s="1" t="e">
        <v>#N/A</v>
      </c>
      <c r="PL122" s="1" t="e">
        <v>#N/A</v>
      </c>
      <c r="PM122" s="1" t="e">
        <v>#N/A</v>
      </c>
      <c r="PN122" s="1" t="e">
        <v>#N/A</v>
      </c>
      <c r="PO122" s="1" t="e">
        <v>#N/A</v>
      </c>
      <c r="PP122" s="1" t="e">
        <v>#N/A</v>
      </c>
      <c r="PQ122" s="1" t="e">
        <v>#N/A</v>
      </c>
      <c r="PR122" s="1" t="e">
        <v>#N/A</v>
      </c>
      <c r="PS122" s="1" t="e">
        <v>#N/A</v>
      </c>
      <c r="PT122" s="1" t="e">
        <v>#N/A</v>
      </c>
      <c r="PU122" s="1" t="e">
        <v>#N/A</v>
      </c>
      <c r="PV122" s="1" t="e">
        <v>#N/A</v>
      </c>
      <c r="PW122" s="1" t="e">
        <v>#N/A</v>
      </c>
      <c r="PX122" s="1" t="e">
        <v>#N/A</v>
      </c>
      <c r="PY122" s="1" t="e">
        <v>#N/A</v>
      </c>
      <c r="PZ122" s="1" t="e">
        <v>#N/A</v>
      </c>
      <c r="QA122" s="1" t="e">
        <v>#N/A</v>
      </c>
      <c r="QB122" s="1" t="e">
        <v>#N/A</v>
      </c>
      <c r="QC122" s="1" t="e">
        <v>#N/A</v>
      </c>
      <c r="QD122" s="1" t="e">
        <v>#N/A</v>
      </c>
      <c r="QE122" s="1" t="e">
        <v>#N/A</v>
      </c>
      <c r="QF122" s="1" t="e">
        <v>#N/A</v>
      </c>
      <c r="QG122" s="1" t="e">
        <v>#N/A</v>
      </c>
      <c r="QH122" s="1" t="e">
        <v>#N/A</v>
      </c>
      <c r="QI122" s="1" t="e">
        <v>#N/A</v>
      </c>
      <c r="QJ122" s="1" t="e">
        <v>#N/A</v>
      </c>
      <c r="QK122" s="1" t="e">
        <v>#N/A</v>
      </c>
      <c r="QL122" s="1" t="e">
        <v>#N/A</v>
      </c>
      <c r="QM122" s="1" t="e">
        <v>#N/A</v>
      </c>
      <c r="QN122" s="1" t="e">
        <v>#N/A</v>
      </c>
      <c r="QO122" s="1" t="e">
        <v>#N/A</v>
      </c>
      <c r="QP122" s="1" t="e">
        <v>#N/A</v>
      </c>
    </row>
    <row r="123" spans="1:458" ht="26.25" x14ac:dyDescent="0.4">
      <c r="A123" s="347"/>
      <c r="B123" s="348"/>
      <c r="C123" s="288"/>
      <c r="D123" s="349"/>
      <c r="E123" s="350"/>
      <c r="F123" s="351"/>
      <c r="G123" s="352"/>
      <c r="H123" s="348"/>
      <c r="I123" s="353"/>
      <c r="J123" s="353"/>
      <c r="PJ123" s="1" t="e">
        <v>#N/A</v>
      </c>
      <c r="PK123" s="1" t="e">
        <v>#N/A</v>
      </c>
      <c r="PL123" s="1" t="e">
        <v>#N/A</v>
      </c>
      <c r="PM123" s="1" t="e">
        <v>#N/A</v>
      </c>
      <c r="PN123" s="1" t="e">
        <v>#N/A</v>
      </c>
      <c r="PO123" s="1" t="e">
        <v>#N/A</v>
      </c>
      <c r="PP123" s="1" t="e">
        <v>#N/A</v>
      </c>
      <c r="PQ123" s="1" t="e">
        <v>#N/A</v>
      </c>
      <c r="PR123" s="1" t="e">
        <v>#N/A</v>
      </c>
      <c r="PS123" s="1" t="e">
        <v>#N/A</v>
      </c>
      <c r="PT123" s="1" t="e">
        <v>#N/A</v>
      </c>
      <c r="PU123" s="1" t="e">
        <v>#N/A</v>
      </c>
      <c r="PV123" s="1" t="e">
        <v>#N/A</v>
      </c>
      <c r="PW123" s="1" t="e">
        <v>#N/A</v>
      </c>
      <c r="PX123" s="1" t="e">
        <v>#N/A</v>
      </c>
      <c r="PY123" s="1" t="e">
        <v>#N/A</v>
      </c>
      <c r="PZ123" s="1" t="e">
        <v>#N/A</v>
      </c>
      <c r="QA123" s="1" t="e">
        <v>#N/A</v>
      </c>
      <c r="QB123" s="1" t="e">
        <v>#N/A</v>
      </c>
      <c r="QC123" s="1" t="e">
        <v>#N/A</v>
      </c>
      <c r="QD123" s="1" t="e">
        <v>#N/A</v>
      </c>
      <c r="QE123" s="1" t="e">
        <v>#N/A</v>
      </c>
      <c r="QF123" s="1" t="e">
        <v>#N/A</v>
      </c>
      <c r="QG123" s="1" t="e">
        <v>#N/A</v>
      </c>
      <c r="QH123" s="1" t="e">
        <v>#N/A</v>
      </c>
      <c r="QI123" s="1" t="e">
        <v>#N/A</v>
      </c>
      <c r="QJ123" s="1" t="e">
        <v>#N/A</v>
      </c>
      <c r="QK123" s="1" t="e">
        <v>#N/A</v>
      </c>
      <c r="QL123" s="1" t="e">
        <v>#N/A</v>
      </c>
      <c r="QM123" s="1" t="e">
        <v>#N/A</v>
      </c>
      <c r="QN123" s="1" t="e">
        <v>#N/A</v>
      </c>
      <c r="QO123" s="1" t="e">
        <v>#N/A</v>
      </c>
      <c r="QP123" s="1" t="e">
        <v>#N/A</v>
      </c>
    </row>
    <row r="124" spans="1:458" ht="26.25" x14ac:dyDescent="0.4">
      <c r="A124" s="347"/>
      <c r="B124" s="348"/>
      <c r="C124" s="288"/>
      <c r="D124" s="349"/>
      <c r="E124" s="350"/>
      <c r="F124" s="351"/>
      <c r="G124" s="352"/>
      <c r="H124" s="348"/>
      <c r="I124" s="353"/>
      <c r="J124" s="353"/>
      <c r="PJ124" s="1" t="e">
        <v>#N/A</v>
      </c>
      <c r="PK124" s="1" t="e">
        <v>#N/A</v>
      </c>
      <c r="PL124" s="1" t="e">
        <v>#N/A</v>
      </c>
      <c r="PM124" s="1" t="e">
        <v>#N/A</v>
      </c>
      <c r="PN124" s="1" t="e">
        <v>#N/A</v>
      </c>
      <c r="PO124" s="1" t="e">
        <v>#N/A</v>
      </c>
      <c r="PP124" s="1" t="e">
        <v>#N/A</v>
      </c>
      <c r="PQ124" s="1" t="e">
        <v>#N/A</v>
      </c>
      <c r="PR124" s="1" t="e">
        <v>#N/A</v>
      </c>
      <c r="PS124" s="1" t="e">
        <v>#N/A</v>
      </c>
      <c r="PT124" s="1" t="e">
        <v>#N/A</v>
      </c>
      <c r="PU124" s="1" t="e">
        <v>#N/A</v>
      </c>
      <c r="PV124" s="1" t="e">
        <v>#N/A</v>
      </c>
      <c r="PW124" s="1" t="e">
        <v>#N/A</v>
      </c>
      <c r="PX124" s="1" t="e">
        <v>#N/A</v>
      </c>
      <c r="PY124" s="1" t="e">
        <v>#N/A</v>
      </c>
      <c r="PZ124" s="1" t="e">
        <v>#N/A</v>
      </c>
      <c r="QA124" s="1" t="e">
        <v>#N/A</v>
      </c>
      <c r="QB124" s="1" t="e">
        <v>#N/A</v>
      </c>
      <c r="QC124" s="1" t="e">
        <v>#N/A</v>
      </c>
      <c r="QD124" s="1" t="e">
        <v>#N/A</v>
      </c>
      <c r="QE124" s="1" t="e">
        <v>#N/A</v>
      </c>
      <c r="QF124" s="1" t="e">
        <v>#N/A</v>
      </c>
      <c r="QG124" s="1" t="e">
        <v>#N/A</v>
      </c>
      <c r="QH124" s="1" t="e">
        <v>#N/A</v>
      </c>
      <c r="QI124" s="1" t="e">
        <v>#N/A</v>
      </c>
      <c r="QJ124" s="1" t="e">
        <v>#N/A</v>
      </c>
      <c r="QK124" s="1" t="e">
        <v>#N/A</v>
      </c>
      <c r="QL124" s="1" t="e">
        <v>#N/A</v>
      </c>
      <c r="QM124" s="1" t="e">
        <v>#N/A</v>
      </c>
      <c r="QN124" s="1" t="e">
        <v>#N/A</v>
      </c>
      <c r="QO124" s="1" t="e">
        <v>#N/A</v>
      </c>
      <c r="QP124" s="1" t="e">
        <v>#N/A</v>
      </c>
    </row>
    <row r="125" spans="1:458" ht="26.25" x14ac:dyDescent="0.4">
      <c r="A125" s="347"/>
      <c r="B125" s="348"/>
      <c r="C125" s="288"/>
      <c r="D125" s="349"/>
      <c r="E125" s="350"/>
      <c r="F125" s="351"/>
      <c r="G125" s="352"/>
      <c r="H125" s="348"/>
      <c r="I125" s="353"/>
      <c r="J125" s="353"/>
      <c r="PJ125" s="1" t="e">
        <v>#N/A</v>
      </c>
      <c r="PK125" s="1" t="e">
        <v>#N/A</v>
      </c>
      <c r="PL125" s="1" t="e">
        <v>#N/A</v>
      </c>
      <c r="PM125" s="1" t="e">
        <v>#N/A</v>
      </c>
      <c r="PN125" s="1" t="e">
        <v>#N/A</v>
      </c>
      <c r="PO125" s="1" t="e">
        <v>#N/A</v>
      </c>
      <c r="PP125" s="1" t="e">
        <v>#N/A</v>
      </c>
      <c r="PQ125" s="1" t="e">
        <v>#N/A</v>
      </c>
      <c r="PR125" s="1" t="e">
        <v>#N/A</v>
      </c>
      <c r="PS125" s="1" t="e">
        <v>#N/A</v>
      </c>
      <c r="PT125" s="1" t="e">
        <v>#N/A</v>
      </c>
      <c r="PU125" s="1" t="e">
        <v>#N/A</v>
      </c>
      <c r="PV125" s="1" t="e">
        <v>#N/A</v>
      </c>
      <c r="PW125" s="1" t="e">
        <v>#N/A</v>
      </c>
      <c r="PX125" s="1" t="e">
        <v>#N/A</v>
      </c>
      <c r="PY125" s="1" t="e">
        <v>#N/A</v>
      </c>
      <c r="PZ125" s="1" t="e">
        <v>#N/A</v>
      </c>
      <c r="QA125" s="1" t="e">
        <v>#N/A</v>
      </c>
      <c r="QB125" s="1" t="e">
        <v>#N/A</v>
      </c>
      <c r="QC125" s="1" t="e">
        <v>#N/A</v>
      </c>
      <c r="QD125" s="1" t="e">
        <v>#N/A</v>
      </c>
      <c r="QE125" s="1" t="e">
        <v>#N/A</v>
      </c>
      <c r="QF125" s="1" t="e">
        <v>#N/A</v>
      </c>
      <c r="QG125" s="1" t="e">
        <v>#N/A</v>
      </c>
      <c r="QH125" s="1" t="e">
        <v>#N/A</v>
      </c>
      <c r="QI125" s="1" t="e">
        <v>#N/A</v>
      </c>
      <c r="QJ125" s="1" t="e">
        <v>#N/A</v>
      </c>
      <c r="QK125" s="1" t="e">
        <v>#N/A</v>
      </c>
      <c r="QL125" s="1" t="e">
        <v>#N/A</v>
      </c>
      <c r="QM125" s="1" t="e">
        <v>#N/A</v>
      </c>
      <c r="QN125" s="1" t="e">
        <v>#N/A</v>
      </c>
      <c r="QO125" s="1" t="e">
        <v>#N/A</v>
      </c>
      <c r="QP125" s="1" t="e">
        <v>#N/A</v>
      </c>
    </row>
    <row r="126" spans="1:458" ht="26.25" x14ac:dyDescent="0.4">
      <c r="A126" s="347"/>
      <c r="B126" s="348"/>
      <c r="C126" s="288"/>
      <c r="D126" s="349"/>
      <c r="E126" s="350"/>
      <c r="F126" s="351"/>
      <c r="G126" s="352"/>
      <c r="H126" s="348"/>
      <c r="I126" s="353"/>
      <c r="J126" s="353"/>
      <c r="PJ126" s="1" t="e">
        <v>#N/A</v>
      </c>
      <c r="PK126" s="1" t="e">
        <v>#N/A</v>
      </c>
      <c r="PL126" s="1" t="e">
        <v>#N/A</v>
      </c>
      <c r="PM126" s="1" t="e">
        <v>#N/A</v>
      </c>
      <c r="PN126" s="1" t="e">
        <v>#N/A</v>
      </c>
      <c r="PO126" s="1" t="e">
        <v>#N/A</v>
      </c>
      <c r="PP126" s="1" t="e">
        <v>#N/A</v>
      </c>
      <c r="PQ126" s="1" t="e">
        <v>#N/A</v>
      </c>
      <c r="PR126" s="1" t="e">
        <v>#N/A</v>
      </c>
      <c r="PS126" s="1" t="e">
        <v>#N/A</v>
      </c>
      <c r="PT126" s="1" t="e">
        <v>#N/A</v>
      </c>
      <c r="PU126" s="1" t="e">
        <v>#N/A</v>
      </c>
      <c r="PV126" s="1" t="e">
        <v>#N/A</v>
      </c>
      <c r="PW126" s="1" t="e">
        <v>#N/A</v>
      </c>
      <c r="PX126" s="1" t="e">
        <v>#N/A</v>
      </c>
      <c r="PY126" s="1" t="e">
        <v>#N/A</v>
      </c>
      <c r="PZ126" s="1" t="e">
        <v>#N/A</v>
      </c>
      <c r="QA126" s="1" t="e">
        <v>#N/A</v>
      </c>
      <c r="QB126" s="1" t="e">
        <v>#N/A</v>
      </c>
      <c r="QC126" s="1" t="e">
        <v>#N/A</v>
      </c>
      <c r="QD126" s="1" t="e">
        <v>#N/A</v>
      </c>
      <c r="QE126" s="1" t="e">
        <v>#N/A</v>
      </c>
      <c r="QF126" s="1" t="e">
        <v>#N/A</v>
      </c>
      <c r="QG126" s="1" t="e">
        <v>#N/A</v>
      </c>
      <c r="QH126" s="1" t="e">
        <v>#N/A</v>
      </c>
      <c r="QI126" s="1" t="e">
        <v>#N/A</v>
      </c>
      <c r="QJ126" s="1" t="e">
        <v>#N/A</v>
      </c>
      <c r="QK126" s="1" t="e">
        <v>#N/A</v>
      </c>
      <c r="QL126" s="1" t="e">
        <v>#N/A</v>
      </c>
      <c r="QM126" s="1" t="e">
        <v>#N/A</v>
      </c>
      <c r="QN126" s="1" t="e">
        <v>#N/A</v>
      </c>
      <c r="QO126" s="1" t="e">
        <v>#N/A</v>
      </c>
      <c r="QP126" s="1" t="e">
        <v>#N/A</v>
      </c>
    </row>
    <row r="127" spans="1:458" ht="26.25" x14ac:dyDescent="0.4">
      <c r="A127" s="347"/>
      <c r="B127" s="348"/>
      <c r="C127" s="288"/>
      <c r="D127" s="349"/>
      <c r="E127" s="350"/>
      <c r="F127" s="351"/>
      <c r="G127" s="352"/>
      <c r="H127" s="348"/>
      <c r="I127" s="353"/>
      <c r="J127" s="353"/>
      <c r="PJ127" s="1" t="e">
        <v>#N/A</v>
      </c>
      <c r="PK127" s="1" t="e">
        <v>#N/A</v>
      </c>
      <c r="PL127" s="1" t="e">
        <v>#N/A</v>
      </c>
      <c r="PM127" s="1" t="e">
        <v>#N/A</v>
      </c>
      <c r="PN127" s="1" t="e">
        <v>#N/A</v>
      </c>
      <c r="PO127" s="1" t="e">
        <v>#N/A</v>
      </c>
      <c r="PP127" s="1" t="e">
        <v>#N/A</v>
      </c>
      <c r="PQ127" s="1" t="e">
        <v>#N/A</v>
      </c>
      <c r="PR127" s="1" t="e">
        <v>#N/A</v>
      </c>
      <c r="PS127" s="1" t="e">
        <v>#N/A</v>
      </c>
      <c r="PT127" s="1" t="e">
        <v>#N/A</v>
      </c>
      <c r="PU127" s="1" t="e">
        <v>#N/A</v>
      </c>
      <c r="PV127" s="1" t="e">
        <v>#N/A</v>
      </c>
      <c r="PW127" s="1" t="e">
        <v>#N/A</v>
      </c>
      <c r="PX127" s="1" t="e">
        <v>#N/A</v>
      </c>
      <c r="PY127" s="1" t="e">
        <v>#N/A</v>
      </c>
      <c r="PZ127" s="1" t="e">
        <v>#N/A</v>
      </c>
      <c r="QA127" s="1" t="e">
        <v>#N/A</v>
      </c>
      <c r="QB127" s="1" t="e">
        <v>#N/A</v>
      </c>
      <c r="QC127" s="1" t="e">
        <v>#N/A</v>
      </c>
      <c r="QD127" s="1" t="e">
        <v>#N/A</v>
      </c>
      <c r="QE127" s="1" t="e">
        <v>#N/A</v>
      </c>
      <c r="QF127" s="1" t="e">
        <v>#N/A</v>
      </c>
      <c r="QG127" s="1" t="e">
        <v>#N/A</v>
      </c>
      <c r="QH127" s="1" t="e">
        <v>#N/A</v>
      </c>
      <c r="QI127" s="1" t="e">
        <v>#N/A</v>
      </c>
      <c r="QJ127" s="1" t="e">
        <v>#N/A</v>
      </c>
      <c r="QK127" s="1" t="e">
        <v>#N/A</v>
      </c>
      <c r="QL127" s="1" t="e">
        <v>#N/A</v>
      </c>
      <c r="QM127" s="1" t="e">
        <v>#N/A</v>
      </c>
      <c r="QN127" s="1" t="e">
        <v>#N/A</v>
      </c>
      <c r="QO127" s="1" t="e">
        <v>#N/A</v>
      </c>
      <c r="QP127" s="1" t="e">
        <v>#N/A</v>
      </c>
    </row>
    <row r="128" spans="1:458" ht="26.25" x14ac:dyDescent="0.4">
      <c r="A128" s="347"/>
      <c r="B128" s="348"/>
      <c r="C128" s="288"/>
      <c r="D128" s="349"/>
      <c r="E128" s="350"/>
      <c r="F128" s="351"/>
      <c r="G128" s="352"/>
      <c r="H128" s="348"/>
      <c r="I128" s="353"/>
      <c r="J128" s="353"/>
      <c r="PJ128" s="1" t="e">
        <v>#N/A</v>
      </c>
      <c r="PK128" s="1" t="e">
        <v>#N/A</v>
      </c>
      <c r="PL128" s="1" t="e">
        <v>#N/A</v>
      </c>
      <c r="PM128" s="1" t="e">
        <v>#N/A</v>
      </c>
      <c r="PN128" s="1" t="e">
        <v>#N/A</v>
      </c>
      <c r="PO128" s="1" t="e">
        <v>#N/A</v>
      </c>
      <c r="PP128" s="1" t="e">
        <v>#N/A</v>
      </c>
      <c r="PQ128" s="1" t="e">
        <v>#N/A</v>
      </c>
      <c r="PR128" s="1" t="e">
        <v>#N/A</v>
      </c>
      <c r="PS128" s="1" t="e">
        <v>#N/A</v>
      </c>
      <c r="PT128" s="1" t="e">
        <v>#N/A</v>
      </c>
      <c r="PU128" s="1" t="e">
        <v>#N/A</v>
      </c>
      <c r="PV128" s="1" t="e">
        <v>#N/A</v>
      </c>
      <c r="PW128" s="1" t="e">
        <v>#N/A</v>
      </c>
      <c r="PX128" s="1" t="e">
        <v>#N/A</v>
      </c>
      <c r="PY128" s="1" t="e">
        <v>#N/A</v>
      </c>
      <c r="PZ128" s="1" t="e">
        <v>#N/A</v>
      </c>
      <c r="QA128" s="1" t="e">
        <v>#N/A</v>
      </c>
      <c r="QB128" s="1" t="e">
        <v>#N/A</v>
      </c>
      <c r="QC128" s="1" t="e">
        <v>#N/A</v>
      </c>
      <c r="QD128" s="1" t="e">
        <v>#N/A</v>
      </c>
      <c r="QE128" s="1" t="e">
        <v>#N/A</v>
      </c>
      <c r="QF128" s="1" t="e">
        <v>#N/A</v>
      </c>
      <c r="QG128" s="1" t="e">
        <v>#N/A</v>
      </c>
      <c r="QH128" s="1" t="e">
        <v>#N/A</v>
      </c>
      <c r="QI128" s="1" t="e">
        <v>#N/A</v>
      </c>
      <c r="QJ128" s="1" t="e">
        <v>#N/A</v>
      </c>
      <c r="QK128" s="1" t="e">
        <v>#N/A</v>
      </c>
      <c r="QL128" s="1" t="e">
        <v>#N/A</v>
      </c>
      <c r="QM128" s="1" t="e">
        <v>#N/A</v>
      </c>
      <c r="QN128" s="1" t="e">
        <v>#N/A</v>
      </c>
      <c r="QO128" s="1" t="e">
        <v>#N/A</v>
      </c>
      <c r="QP128" s="1" t="e">
        <v>#N/A</v>
      </c>
    </row>
    <row r="129" spans="1:458" ht="26.25" x14ac:dyDescent="0.4">
      <c r="A129" s="347"/>
      <c r="B129" s="348"/>
      <c r="C129" s="288"/>
      <c r="D129" s="349"/>
      <c r="E129" s="350"/>
      <c r="F129" s="351"/>
      <c r="G129" s="352"/>
      <c r="H129" s="348"/>
      <c r="I129" s="353"/>
      <c r="J129" s="353"/>
      <c r="PJ129" s="1" t="e">
        <v>#N/A</v>
      </c>
      <c r="PK129" s="1" t="e">
        <v>#N/A</v>
      </c>
      <c r="PL129" s="1" t="e">
        <v>#N/A</v>
      </c>
      <c r="PM129" s="1" t="e">
        <v>#N/A</v>
      </c>
      <c r="PN129" s="1" t="e">
        <v>#N/A</v>
      </c>
      <c r="PO129" s="1" t="e">
        <v>#N/A</v>
      </c>
      <c r="PP129" s="1" t="e">
        <v>#N/A</v>
      </c>
      <c r="PQ129" s="1" t="e">
        <v>#N/A</v>
      </c>
      <c r="PR129" s="1" t="e">
        <v>#N/A</v>
      </c>
      <c r="PS129" s="1" t="e">
        <v>#N/A</v>
      </c>
      <c r="PT129" s="1" t="e">
        <v>#N/A</v>
      </c>
      <c r="PU129" s="1" t="e">
        <v>#N/A</v>
      </c>
      <c r="PV129" s="1" t="e">
        <v>#N/A</v>
      </c>
      <c r="PW129" s="1" t="e">
        <v>#N/A</v>
      </c>
      <c r="PX129" s="1" t="e">
        <v>#N/A</v>
      </c>
      <c r="PY129" s="1" t="e">
        <v>#N/A</v>
      </c>
      <c r="PZ129" s="1" t="e">
        <v>#N/A</v>
      </c>
      <c r="QA129" s="1" t="e">
        <v>#N/A</v>
      </c>
      <c r="QB129" s="1" t="e">
        <v>#N/A</v>
      </c>
      <c r="QC129" s="1" t="e">
        <v>#N/A</v>
      </c>
      <c r="QD129" s="1" t="e">
        <v>#N/A</v>
      </c>
      <c r="QE129" s="1" t="e">
        <v>#N/A</v>
      </c>
      <c r="QF129" s="1" t="e">
        <v>#N/A</v>
      </c>
      <c r="QG129" s="1" t="e">
        <v>#N/A</v>
      </c>
      <c r="QH129" s="1" t="e">
        <v>#N/A</v>
      </c>
      <c r="QI129" s="1" t="e">
        <v>#N/A</v>
      </c>
      <c r="QJ129" s="1" t="e">
        <v>#N/A</v>
      </c>
      <c r="QK129" s="1" t="e">
        <v>#N/A</v>
      </c>
      <c r="QL129" s="1" t="e">
        <v>#N/A</v>
      </c>
      <c r="QM129" s="1" t="e">
        <v>#N/A</v>
      </c>
      <c r="QN129" s="1" t="e">
        <v>#N/A</v>
      </c>
      <c r="QO129" s="1" t="e">
        <v>#N/A</v>
      </c>
      <c r="QP129" s="1" t="e">
        <v>#N/A</v>
      </c>
    </row>
    <row r="130" spans="1:458" ht="26.25" x14ac:dyDescent="0.4">
      <c r="A130" s="347"/>
      <c r="B130" s="348"/>
      <c r="C130" s="288"/>
      <c r="D130" s="349"/>
      <c r="E130" s="350"/>
      <c r="F130" s="351"/>
      <c r="G130" s="352"/>
      <c r="H130" s="348"/>
      <c r="I130" s="353"/>
      <c r="J130" s="353"/>
      <c r="PJ130" s="1" t="e">
        <v>#N/A</v>
      </c>
      <c r="PK130" s="1" t="e">
        <v>#N/A</v>
      </c>
      <c r="PL130" s="1" t="e">
        <v>#N/A</v>
      </c>
      <c r="PM130" s="1" t="e">
        <v>#N/A</v>
      </c>
      <c r="PN130" s="1" t="e">
        <v>#N/A</v>
      </c>
      <c r="PO130" s="1" t="e">
        <v>#N/A</v>
      </c>
      <c r="PP130" s="1" t="e">
        <v>#N/A</v>
      </c>
      <c r="PQ130" s="1" t="e">
        <v>#N/A</v>
      </c>
      <c r="PR130" s="1" t="e">
        <v>#N/A</v>
      </c>
      <c r="PS130" s="1" t="e">
        <v>#N/A</v>
      </c>
      <c r="PT130" s="1" t="e">
        <v>#N/A</v>
      </c>
      <c r="PU130" s="1" t="e">
        <v>#N/A</v>
      </c>
      <c r="PV130" s="1" t="e">
        <v>#N/A</v>
      </c>
      <c r="PW130" s="1" t="e">
        <v>#N/A</v>
      </c>
      <c r="PX130" s="1" t="e">
        <v>#N/A</v>
      </c>
      <c r="PY130" s="1" t="e">
        <v>#N/A</v>
      </c>
      <c r="PZ130" s="1" t="e">
        <v>#N/A</v>
      </c>
      <c r="QA130" s="1" t="e">
        <v>#N/A</v>
      </c>
      <c r="QB130" s="1" t="e">
        <v>#N/A</v>
      </c>
      <c r="QC130" s="1" t="e">
        <v>#N/A</v>
      </c>
      <c r="QD130" s="1" t="e">
        <v>#N/A</v>
      </c>
      <c r="QE130" s="1" t="e">
        <v>#N/A</v>
      </c>
      <c r="QF130" s="1" t="e">
        <v>#N/A</v>
      </c>
      <c r="QG130" s="1" t="e">
        <v>#N/A</v>
      </c>
      <c r="QH130" s="1" t="e">
        <v>#N/A</v>
      </c>
      <c r="QI130" s="1" t="e">
        <v>#N/A</v>
      </c>
      <c r="QJ130" s="1" t="e">
        <v>#N/A</v>
      </c>
      <c r="QK130" s="1" t="e">
        <v>#N/A</v>
      </c>
      <c r="QL130" s="1" t="e">
        <v>#N/A</v>
      </c>
      <c r="QM130" s="1" t="e">
        <v>#N/A</v>
      </c>
      <c r="QN130" s="1" t="e">
        <v>#N/A</v>
      </c>
      <c r="QO130" s="1" t="e">
        <v>#N/A</v>
      </c>
      <c r="QP130" s="1" t="e">
        <v>#N/A</v>
      </c>
    </row>
    <row r="131" spans="1:458" ht="26.25" x14ac:dyDescent="0.4">
      <c r="A131" s="347"/>
      <c r="B131" s="348"/>
      <c r="C131" s="288"/>
      <c r="D131" s="349"/>
      <c r="E131" s="350"/>
      <c r="F131" s="351"/>
      <c r="G131" s="352"/>
      <c r="H131" s="348"/>
      <c r="I131" s="353"/>
      <c r="J131" s="353"/>
      <c r="PJ131" s="1" t="e">
        <v>#N/A</v>
      </c>
      <c r="PK131" s="1" t="e">
        <v>#N/A</v>
      </c>
      <c r="PL131" s="1" t="e">
        <v>#N/A</v>
      </c>
      <c r="PM131" s="1" t="e">
        <v>#N/A</v>
      </c>
      <c r="PN131" s="1" t="e">
        <v>#N/A</v>
      </c>
      <c r="PO131" s="1" t="e">
        <v>#N/A</v>
      </c>
      <c r="PP131" s="1" t="e">
        <v>#N/A</v>
      </c>
      <c r="PQ131" s="1" t="e">
        <v>#N/A</v>
      </c>
      <c r="PR131" s="1" t="e">
        <v>#N/A</v>
      </c>
      <c r="PS131" s="1" t="e">
        <v>#N/A</v>
      </c>
      <c r="PT131" s="1" t="e">
        <v>#N/A</v>
      </c>
      <c r="PU131" s="1" t="e">
        <v>#N/A</v>
      </c>
      <c r="PV131" s="1" t="e">
        <v>#N/A</v>
      </c>
      <c r="PW131" s="1" t="e">
        <v>#N/A</v>
      </c>
      <c r="PX131" s="1" t="e">
        <v>#N/A</v>
      </c>
      <c r="PY131" s="1" t="e">
        <v>#N/A</v>
      </c>
      <c r="PZ131" s="1" t="e">
        <v>#N/A</v>
      </c>
      <c r="QA131" s="1" t="e">
        <v>#N/A</v>
      </c>
      <c r="QB131" s="1" t="e">
        <v>#N/A</v>
      </c>
      <c r="QC131" s="1" t="e">
        <v>#N/A</v>
      </c>
      <c r="QD131" s="1" t="e">
        <v>#N/A</v>
      </c>
      <c r="QE131" s="1" t="e">
        <v>#N/A</v>
      </c>
      <c r="QF131" s="1" t="e">
        <v>#N/A</v>
      </c>
      <c r="QG131" s="1" t="e">
        <v>#N/A</v>
      </c>
      <c r="QH131" s="1" t="e">
        <v>#N/A</v>
      </c>
      <c r="QI131" s="1" t="e">
        <v>#N/A</v>
      </c>
      <c r="QJ131" s="1" t="e">
        <v>#N/A</v>
      </c>
      <c r="QK131" s="1" t="e">
        <v>#N/A</v>
      </c>
      <c r="QL131" s="1" t="e">
        <v>#N/A</v>
      </c>
      <c r="QM131" s="1" t="e">
        <v>#N/A</v>
      </c>
      <c r="QN131" s="1" t="e">
        <v>#N/A</v>
      </c>
      <c r="QO131" s="1" t="e">
        <v>#N/A</v>
      </c>
      <c r="QP131" s="1" t="e">
        <v>#N/A</v>
      </c>
    </row>
    <row r="132" spans="1:458" ht="26.25" x14ac:dyDescent="0.4">
      <c r="A132" s="347"/>
      <c r="B132" s="348"/>
      <c r="C132" s="288"/>
      <c r="D132" s="349"/>
      <c r="E132" s="350"/>
      <c r="F132" s="351"/>
      <c r="G132" s="352"/>
      <c r="H132" s="348"/>
      <c r="I132" s="353"/>
      <c r="J132" s="353"/>
      <c r="PJ132" s="1" t="e">
        <v>#N/A</v>
      </c>
      <c r="PK132" s="1" t="e">
        <v>#N/A</v>
      </c>
      <c r="PL132" s="1" t="e">
        <v>#N/A</v>
      </c>
      <c r="PM132" s="1" t="e">
        <v>#N/A</v>
      </c>
      <c r="PN132" s="1" t="e">
        <v>#N/A</v>
      </c>
      <c r="PO132" s="1" t="e">
        <v>#N/A</v>
      </c>
      <c r="PP132" s="1" t="e">
        <v>#N/A</v>
      </c>
      <c r="PQ132" s="1" t="e">
        <v>#N/A</v>
      </c>
      <c r="PR132" s="1" t="e">
        <v>#N/A</v>
      </c>
      <c r="PS132" s="1" t="e">
        <v>#N/A</v>
      </c>
      <c r="PT132" s="1" t="e">
        <v>#N/A</v>
      </c>
      <c r="PU132" s="1" t="e">
        <v>#N/A</v>
      </c>
      <c r="PV132" s="1" t="e">
        <v>#N/A</v>
      </c>
      <c r="PW132" s="1" t="e">
        <v>#N/A</v>
      </c>
      <c r="PX132" s="1" t="e">
        <v>#N/A</v>
      </c>
      <c r="PY132" s="1" t="e">
        <v>#N/A</v>
      </c>
      <c r="PZ132" s="1" t="e">
        <v>#N/A</v>
      </c>
      <c r="QA132" s="1" t="e">
        <v>#N/A</v>
      </c>
      <c r="QB132" s="1" t="e">
        <v>#N/A</v>
      </c>
      <c r="QC132" s="1" t="e">
        <v>#N/A</v>
      </c>
      <c r="QD132" s="1" t="e">
        <v>#N/A</v>
      </c>
      <c r="QE132" s="1" t="e">
        <v>#N/A</v>
      </c>
      <c r="QF132" s="1" t="e">
        <v>#N/A</v>
      </c>
      <c r="QG132" s="1" t="e">
        <v>#N/A</v>
      </c>
      <c r="QH132" s="1" t="e">
        <v>#N/A</v>
      </c>
      <c r="QI132" s="1" t="e">
        <v>#N/A</v>
      </c>
      <c r="QJ132" s="1" t="e">
        <v>#N/A</v>
      </c>
      <c r="QK132" s="1" t="e">
        <v>#N/A</v>
      </c>
      <c r="QL132" s="1" t="e">
        <v>#N/A</v>
      </c>
      <c r="QM132" s="1" t="e">
        <v>#N/A</v>
      </c>
      <c r="QN132" s="1" t="e">
        <v>#N/A</v>
      </c>
      <c r="QO132" s="1" t="e">
        <v>#N/A</v>
      </c>
      <c r="QP132" s="1" t="e">
        <v>#N/A</v>
      </c>
    </row>
    <row r="133" spans="1:458" ht="26.25" x14ac:dyDescent="0.4">
      <c r="A133" s="347"/>
      <c r="B133" s="348"/>
      <c r="C133" s="288"/>
      <c r="D133" s="349"/>
      <c r="E133" s="350"/>
      <c r="F133" s="351"/>
      <c r="G133" s="352"/>
      <c r="H133" s="348"/>
      <c r="I133" s="353"/>
      <c r="J133" s="353"/>
      <c r="PJ133" s="1" t="e">
        <v>#N/A</v>
      </c>
      <c r="PK133" s="1" t="e">
        <v>#N/A</v>
      </c>
      <c r="PL133" s="1" t="e">
        <v>#N/A</v>
      </c>
      <c r="PM133" s="1" t="e">
        <v>#N/A</v>
      </c>
      <c r="PN133" s="1" t="e">
        <v>#N/A</v>
      </c>
      <c r="PO133" s="1" t="e">
        <v>#N/A</v>
      </c>
      <c r="PP133" s="1" t="e">
        <v>#N/A</v>
      </c>
      <c r="PQ133" s="1" t="e">
        <v>#N/A</v>
      </c>
      <c r="PR133" s="1" t="e">
        <v>#N/A</v>
      </c>
      <c r="PS133" s="1" t="e">
        <v>#N/A</v>
      </c>
      <c r="PT133" s="1" t="e">
        <v>#N/A</v>
      </c>
      <c r="PU133" s="1" t="e">
        <v>#N/A</v>
      </c>
      <c r="PV133" s="1" t="e">
        <v>#N/A</v>
      </c>
      <c r="PW133" s="1" t="e">
        <v>#N/A</v>
      </c>
      <c r="PX133" s="1" t="e">
        <v>#N/A</v>
      </c>
      <c r="PY133" s="1" t="e">
        <v>#N/A</v>
      </c>
      <c r="PZ133" s="1" t="e">
        <v>#N/A</v>
      </c>
      <c r="QA133" s="1" t="e">
        <v>#N/A</v>
      </c>
      <c r="QB133" s="1" t="e">
        <v>#N/A</v>
      </c>
      <c r="QC133" s="1" t="e">
        <v>#N/A</v>
      </c>
      <c r="QD133" s="1" t="e">
        <v>#N/A</v>
      </c>
      <c r="QE133" s="1" t="e">
        <v>#N/A</v>
      </c>
      <c r="QF133" s="1" t="e">
        <v>#N/A</v>
      </c>
      <c r="QG133" s="1" t="e">
        <v>#N/A</v>
      </c>
      <c r="QH133" s="1" t="e">
        <v>#N/A</v>
      </c>
      <c r="QI133" s="1" t="e">
        <v>#N/A</v>
      </c>
      <c r="QJ133" s="1" t="e">
        <v>#N/A</v>
      </c>
      <c r="QK133" s="1" t="e">
        <v>#N/A</v>
      </c>
      <c r="QL133" s="1" t="e">
        <v>#N/A</v>
      </c>
      <c r="QM133" s="1" t="e">
        <v>#N/A</v>
      </c>
      <c r="QN133" s="1" t="e">
        <v>#N/A</v>
      </c>
      <c r="QO133" s="1" t="e">
        <v>#N/A</v>
      </c>
      <c r="QP133" s="1" t="e">
        <v>#N/A</v>
      </c>
    </row>
    <row r="134" spans="1:458" ht="26.25" x14ac:dyDescent="0.4">
      <c r="A134" s="347"/>
      <c r="B134" s="348"/>
      <c r="C134" s="288"/>
      <c r="D134" s="349"/>
      <c r="E134" s="350"/>
      <c r="F134" s="351"/>
      <c r="G134" s="352"/>
      <c r="H134" s="348"/>
      <c r="I134" s="353"/>
      <c r="J134" s="353"/>
      <c r="PJ134" s="1" t="e">
        <v>#N/A</v>
      </c>
      <c r="PK134" s="1" t="e">
        <v>#N/A</v>
      </c>
      <c r="PL134" s="1" t="e">
        <v>#N/A</v>
      </c>
      <c r="PM134" s="1" t="e">
        <v>#N/A</v>
      </c>
      <c r="PN134" s="1" t="e">
        <v>#N/A</v>
      </c>
      <c r="PO134" s="1" t="e">
        <v>#N/A</v>
      </c>
      <c r="PP134" s="1" t="e">
        <v>#N/A</v>
      </c>
      <c r="PQ134" s="1" t="e">
        <v>#N/A</v>
      </c>
      <c r="PR134" s="1" t="e">
        <v>#N/A</v>
      </c>
      <c r="PS134" s="1" t="e">
        <v>#N/A</v>
      </c>
      <c r="PT134" s="1" t="e">
        <v>#N/A</v>
      </c>
      <c r="PU134" s="1" t="e">
        <v>#N/A</v>
      </c>
      <c r="PV134" s="1" t="e">
        <v>#N/A</v>
      </c>
      <c r="PW134" s="1" t="e">
        <v>#N/A</v>
      </c>
      <c r="PX134" s="1" t="e">
        <v>#N/A</v>
      </c>
      <c r="PY134" s="1" t="e">
        <v>#N/A</v>
      </c>
      <c r="PZ134" s="1" t="e">
        <v>#N/A</v>
      </c>
      <c r="QA134" s="1" t="e">
        <v>#N/A</v>
      </c>
      <c r="QB134" s="1" t="e">
        <v>#N/A</v>
      </c>
      <c r="QC134" s="1" t="e">
        <v>#N/A</v>
      </c>
      <c r="QD134" s="1" t="e">
        <v>#N/A</v>
      </c>
      <c r="QE134" s="1" t="e">
        <v>#N/A</v>
      </c>
      <c r="QF134" s="1" t="e">
        <v>#N/A</v>
      </c>
      <c r="QG134" s="1" t="e">
        <v>#N/A</v>
      </c>
      <c r="QH134" s="1" t="e">
        <v>#N/A</v>
      </c>
      <c r="QI134" s="1" t="e">
        <v>#N/A</v>
      </c>
      <c r="QJ134" s="1" t="e">
        <v>#N/A</v>
      </c>
      <c r="QK134" s="1" t="e">
        <v>#N/A</v>
      </c>
      <c r="QL134" s="1" t="e">
        <v>#N/A</v>
      </c>
      <c r="QM134" s="1" t="e">
        <v>#N/A</v>
      </c>
      <c r="QN134" s="1" t="e">
        <v>#N/A</v>
      </c>
      <c r="QO134" s="1" t="e">
        <v>#N/A</v>
      </c>
      <c r="QP134" s="1" t="e">
        <v>#N/A</v>
      </c>
    </row>
    <row r="135" spans="1:458" ht="26.25" x14ac:dyDescent="0.4">
      <c r="A135" s="347"/>
      <c r="B135" s="348"/>
      <c r="C135" s="288"/>
      <c r="D135" s="349"/>
      <c r="E135" s="350"/>
      <c r="F135" s="351"/>
      <c r="G135" s="352"/>
      <c r="H135" s="348"/>
      <c r="I135" s="353"/>
      <c r="J135" s="353"/>
      <c r="PJ135" s="1" t="e">
        <v>#N/A</v>
      </c>
      <c r="PK135" s="1" t="e">
        <v>#N/A</v>
      </c>
      <c r="PL135" s="1" t="e">
        <v>#N/A</v>
      </c>
      <c r="PM135" s="1" t="e">
        <v>#N/A</v>
      </c>
      <c r="PN135" s="1" t="e">
        <v>#N/A</v>
      </c>
      <c r="PO135" s="1" t="e">
        <v>#N/A</v>
      </c>
      <c r="PP135" s="1" t="e">
        <v>#N/A</v>
      </c>
      <c r="PQ135" s="1" t="e">
        <v>#N/A</v>
      </c>
      <c r="PR135" s="1" t="e">
        <v>#N/A</v>
      </c>
      <c r="PS135" s="1" t="e">
        <v>#N/A</v>
      </c>
      <c r="PT135" s="1" t="e">
        <v>#N/A</v>
      </c>
      <c r="PU135" s="1" t="e">
        <v>#N/A</v>
      </c>
      <c r="PV135" s="1" t="e">
        <v>#N/A</v>
      </c>
      <c r="PW135" s="1" t="e">
        <v>#N/A</v>
      </c>
      <c r="PX135" s="1" t="e">
        <v>#N/A</v>
      </c>
      <c r="PY135" s="1" t="e">
        <v>#N/A</v>
      </c>
      <c r="PZ135" s="1" t="e">
        <v>#N/A</v>
      </c>
      <c r="QA135" s="1" t="e">
        <v>#N/A</v>
      </c>
      <c r="QB135" s="1" t="e">
        <v>#N/A</v>
      </c>
      <c r="QC135" s="1" t="e">
        <v>#N/A</v>
      </c>
      <c r="QD135" s="1" t="e">
        <v>#N/A</v>
      </c>
      <c r="QE135" s="1" t="e">
        <v>#N/A</v>
      </c>
      <c r="QF135" s="1" t="e">
        <v>#N/A</v>
      </c>
      <c r="QG135" s="1" t="e">
        <v>#N/A</v>
      </c>
      <c r="QH135" s="1" t="e">
        <v>#N/A</v>
      </c>
      <c r="QI135" s="1" t="e">
        <v>#N/A</v>
      </c>
      <c r="QJ135" s="1" t="e">
        <v>#N/A</v>
      </c>
      <c r="QK135" s="1" t="e">
        <v>#N/A</v>
      </c>
      <c r="QL135" s="1" t="e">
        <v>#N/A</v>
      </c>
      <c r="QM135" s="1" t="e">
        <v>#N/A</v>
      </c>
      <c r="QN135" s="1" t="e">
        <v>#N/A</v>
      </c>
      <c r="QO135" s="1" t="e">
        <v>#N/A</v>
      </c>
      <c r="QP135" s="1" t="e">
        <v>#N/A</v>
      </c>
    </row>
    <row r="136" spans="1:458" ht="26.25" x14ac:dyDescent="0.4">
      <c r="A136" s="347"/>
      <c r="B136" s="348"/>
      <c r="C136" s="288"/>
      <c r="D136" s="349"/>
      <c r="E136" s="350"/>
      <c r="F136" s="351"/>
      <c r="G136" s="352"/>
      <c r="H136" s="348"/>
      <c r="I136" s="353"/>
      <c r="J136" s="353"/>
      <c r="PJ136" s="1" t="e">
        <v>#N/A</v>
      </c>
      <c r="PK136" s="1" t="e">
        <v>#N/A</v>
      </c>
      <c r="PL136" s="1" t="e">
        <v>#N/A</v>
      </c>
      <c r="PM136" s="1" t="e">
        <v>#N/A</v>
      </c>
      <c r="PN136" s="1" t="e">
        <v>#N/A</v>
      </c>
      <c r="PO136" s="1" t="e">
        <v>#N/A</v>
      </c>
      <c r="PP136" s="1" t="e">
        <v>#N/A</v>
      </c>
      <c r="PQ136" s="1" t="e">
        <v>#N/A</v>
      </c>
      <c r="PR136" s="1" t="e">
        <v>#N/A</v>
      </c>
      <c r="PS136" s="1" t="e">
        <v>#N/A</v>
      </c>
      <c r="PT136" s="1" t="e">
        <v>#N/A</v>
      </c>
      <c r="PU136" s="1" t="e">
        <v>#N/A</v>
      </c>
      <c r="PV136" s="1" t="e">
        <v>#N/A</v>
      </c>
      <c r="PW136" s="1" t="e">
        <v>#N/A</v>
      </c>
      <c r="PX136" s="1" t="e">
        <v>#N/A</v>
      </c>
      <c r="PY136" s="1" t="e">
        <v>#N/A</v>
      </c>
      <c r="PZ136" s="1" t="e">
        <v>#N/A</v>
      </c>
      <c r="QA136" s="1" t="e">
        <v>#N/A</v>
      </c>
      <c r="QB136" s="1" t="e">
        <v>#N/A</v>
      </c>
      <c r="QC136" s="1" t="e">
        <v>#N/A</v>
      </c>
      <c r="QD136" s="1" t="e">
        <v>#N/A</v>
      </c>
      <c r="QE136" s="1" t="e">
        <v>#N/A</v>
      </c>
      <c r="QF136" s="1" t="e">
        <v>#N/A</v>
      </c>
      <c r="QG136" s="1" t="e">
        <v>#N/A</v>
      </c>
      <c r="QH136" s="1" t="e">
        <v>#N/A</v>
      </c>
      <c r="QI136" s="1" t="e">
        <v>#N/A</v>
      </c>
      <c r="QJ136" s="1" t="e">
        <v>#N/A</v>
      </c>
      <c r="QK136" s="1" t="e">
        <v>#N/A</v>
      </c>
      <c r="QL136" s="1" t="e">
        <v>#N/A</v>
      </c>
      <c r="QM136" s="1" t="e">
        <v>#N/A</v>
      </c>
      <c r="QN136" s="1" t="e">
        <v>#N/A</v>
      </c>
      <c r="QO136" s="1" t="e">
        <v>#N/A</v>
      </c>
      <c r="QP136" s="1" t="e">
        <v>#N/A</v>
      </c>
    </row>
    <row r="137" spans="1:458" ht="26.25" x14ac:dyDescent="0.4">
      <c r="A137" s="347"/>
      <c r="B137" s="348"/>
      <c r="C137" s="288"/>
      <c r="D137" s="349"/>
      <c r="E137" s="350"/>
      <c r="F137" s="351"/>
      <c r="G137" s="352"/>
      <c r="H137" s="348"/>
      <c r="I137" s="353"/>
      <c r="J137" s="353"/>
      <c r="PJ137" s="1" t="e">
        <v>#N/A</v>
      </c>
      <c r="PK137" s="1" t="e">
        <v>#N/A</v>
      </c>
      <c r="PL137" s="1" t="e">
        <v>#N/A</v>
      </c>
      <c r="PM137" s="1" t="e">
        <v>#N/A</v>
      </c>
      <c r="PN137" s="1" t="e">
        <v>#N/A</v>
      </c>
      <c r="PO137" s="1" t="e">
        <v>#N/A</v>
      </c>
      <c r="PP137" s="1" t="e">
        <v>#N/A</v>
      </c>
      <c r="PQ137" s="1" t="e">
        <v>#N/A</v>
      </c>
      <c r="PR137" s="1" t="e">
        <v>#N/A</v>
      </c>
      <c r="PS137" s="1" t="e">
        <v>#N/A</v>
      </c>
      <c r="PT137" s="1" t="e">
        <v>#N/A</v>
      </c>
      <c r="PU137" s="1" t="e">
        <v>#N/A</v>
      </c>
      <c r="PV137" s="1" t="e">
        <v>#N/A</v>
      </c>
      <c r="PW137" s="1" t="e">
        <v>#N/A</v>
      </c>
      <c r="PX137" s="1" t="e">
        <v>#N/A</v>
      </c>
      <c r="PY137" s="1" t="e">
        <v>#N/A</v>
      </c>
      <c r="PZ137" s="1" t="e">
        <v>#N/A</v>
      </c>
      <c r="QA137" s="1" t="e">
        <v>#N/A</v>
      </c>
      <c r="QB137" s="1" t="e">
        <v>#N/A</v>
      </c>
      <c r="QC137" s="1" t="e">
        <v>#N/A</v>
      </c>
      <c r="QD137" s="1" t="e">
        <v>#N/A</v>
      </c>
      <c r="QE137" s="1" t="e">
        <v>#N/A</v>
      </c>
      <c r="QF137" s="1" t="e">
        <v>#N/A</v>
      </c>
      <c r="QG137" s="1" t="e">
        <v>#N/A</v>
      </c>
      <c r="QH137" s="1" t="e">
        <v>#N/A</v>
      </c>
      <c r="QI137" s="1" t="e">
        <v>#N/A</v>
      </c>
      <c r="QJ137" s="1" t="e">
        <v>#N/A</v>
      </c>
      <c r="QK137" s="1" t="e">
        <v>#N/A</v>
      </c>
      <c r="QL137" s="1" t="e">
        <v>#N/A</v>
      </c>
      <c r="QM137" s="1" t="e">
        <v>#N/A</v>
      </c>
      <c r="QN137" s="1" t="e">
        <v>#N/A</v>
      </c>
      <c r="QO137" s="1" t="e">
        <v>#N/A</v>
      </c>
      <c r="QP137" s="1" t="e">
        <v>#N/A</v>
      </c>
    </row>
    <row r="138" spans="1:458" ht="26.25" x14ac:dyDescent="0.4">
      <c r="A138" s="347"/>
      <c r="B138" s="348"/>
      <c r="C138" s="288"/>
      <c r="D138" s="349"/>
      <c r="E138" s="350"/>
      <c r="F138" s="351"/>
      <c r="G138" s="352"/>
      <c r="H138" s="348"/>
      <c r="I138" s="353"/>
      <c r="J138" s="353"/>
      <c r="PJ138" s="1" t="e">
        <v>#N/A</v>
      </c>
      <c r="PK138" s="1" t="e">
        <v>#N/A</v>
      </c>
      <c r="PL138" s="1" t="e">
        <v>#N/A</v>
      </c>
      <c r="PM138" s="1" t="e">
        <v>#N/A</v>
      </c>
      <c r="PN138" s="1" t="e">
        <v>#N/A</v>
      </c>
      <c r="PO138" s="1" t="e">
        <v>#N/A</v>
      </c>
      <c r="PP138" s="1" t="e">
        <v>#N/A</v>
      </c>
      <c r="PQ138" s="1" t="e">
        <v>#N/A</v>
      </c>
      <c r="PR138" s="1" t="e">
        <v>#N/A</v>
      </c>
      <c r="PS138" s="1" t="e">
        <v>#N/A</v>
      </c>
      <c r="PT138" s="1" t="e">
        <v>#N/A</v>
      </c>
      <c r="PU138" s="1" t="e">
        <v>#N/A</v>
      </c>
      <c r="PV138" s="1" t="e">
        <v>#N/A</v>
      </c>
      <c r="PW138" s="1" t="e">
        <v>#N/A</v>
      </c>
      <c r="PX138" s="1" t="e">
        <v>#N/A</v>
      </c>
      <c r="PY138" s="1" t="e">
        <v>#N/A</v>
      </c>
      <c r="PZ138" s="1" t="e">
        <v>#N/A</v>
      </c>
      <c r="QA138" s="1" t="e">
        <v>#N/A</v>
      </c>
      <c r="QB138" s="1" t="e">
        <v>#N/A</v>
      </c>
      <c r="QC138" s="1" t="e">
        <v>#N/A</v>
      </c>
      <c r="QD138" s="1" t="e">
        <v>#N/A</v>
      </c>
      <c r="QE138" s="1" t="e">
        <v>#N/A</v>
      </c>
      <c r="QF138" s="1" t="e">
        <v>#N/A</v>
      </c>
      <c r="QG138" s="1" t="e">
        <v>#N/A</v>
      </c>
      <c r="QH138" s="1" t="e">
        <v>#N/A</v>
      </c>
      <c r="QI138" s="1" t="e">
        <v>#N/A</v>
      </c>
      <c r="QJ138" s="1" t="e">
        <v>#N/A</v>
      </c>
      <c r="QK138" s="1" t="e">
        <v>#N/A</v>
      </c>
      <c r="QL138" s="1" t="e">
        <v>#N/A</v>
      </c>
      <c r="QM138" s="1" t="e">
        <v>#N/A</v>
      </c>
      <c r="QN138" s="1" t="e">
        <v>#N/A</v>
      </c>
      <c r="QO138" s="1" t="e">
        <v>#N/A</v>
      </c>
      <c r="QP138" s="1" t="e">
        <v>#N/A</v>
      </c>
    </row>
    <row r="139" spans="1:458" ht="26.25" x14ac:dyDescent="0.4">
      <c r="A139" s="347"/>
      <c r="B139" s="348"/>
      <c r="C139" s="288"/>
      <c r="D139" s="349"/>
      <c r="E139" s="350"/>
      <c r="F139" s="351"/>
      <c r="G139" s="352"/>
      <c r="H139" s="348"/>
      <c r="I139" s="353"/>
      <c r="J139" s="353"/>
      <c r="PJ139" s="1" t="e">
        <v>#N/A</v>
      </c>
      <c r="PK139" s="1" t="e">
        <v>#N/A</v>
      </c>
      <c r="PL139" s="1" t="e">
        <v>#N/A</v>
      </c>
      <c r="PM139" s="1" t="e">
        <v>#N/A</v>
      </c>
      <c r="PN139" s="1" t="e">
        <v>#N/A</v>
      </c>
      <c r="PO139" s="1" t="e">
        <v>#N/A</v>
      </c>
      <c r="PP139" s="1" t="e">
        <v>#N/A</v>
      </c>
      <c r="PQ139" s="1" t="e">
        <v>#N/A</v>
      </c>
      <c r="PR139" s="1" t="e">
        <v>#N/A</v>
      </c>
      <c r="PS139" s="1" t="e">
        <v>#N/A</v>
      </c>
      <c r="PT139" s="1" t="e">
        <v>#N/A</v>
      </c>
      <c r="PU139" s="1" t="e">
        <v>#N/A</v>
      </c>
      <c r="PV139" s="1" t="e">
        <v>#N/A</v>
      </c>
      <c r="PW139" s="1" t="e">
        <v>#N/A</v>
      </c>
      <c r="PX139" s="1" t="e">
        <v>#N/A</v>
      </c>
      <c r="PY139" s="1" t="e">
        <v>#N/A</v>
      </c>
      <c r="PZ139" s="1" t="e">
        <v>#N/A</v>
      </c>
      <c r="QA139" s="1" t="e">
        <v>#N/A</v>
      </c>
      <c r="QB139" s="1" t="e">
        <v>#N/A</v>
      </c>
      <c r="QC139" s="1" t="e">
        <v>#N/A</v>
      </c>
      <c r="QD139" s="1" t="e">
        <v>#N/A</v>
      </c>
      <c r="QE139" s="1" t="e">
        <v>#N/A</v>
      </c>
      <c r="QF139" s="1" t="e">
        <v>#N/A</v>
      </c>
      <c r="QG139" s="1" t="e">
        <v>#N/A</v>
      </c>
      <c r="QH139" s="1" t="e">
        <v>#N/A</v>
      </c>
      <c r="QI139" s="1" t="e">
        <v>#N/A</v>
      </c>
      <c r="QJ139" s="1" t="e">
        <v>#N/A</v>
      </c>
      <c r="QK139" s="1" t="e">
        <v>#N/A</v>
      </c>
      <c r="QL139" s="1" t="e">
        <v>#N/A</v>
      </c>
      <c r="QM139" s="1" t="e">
        <v>#N/A</v>
      </c>
      <c r="QN139" s="1" t="e">
        <v>#N/A</v>
      </c>
      <c r="QO139" s="1" t="e">
        <v>#N/A</v>
      </c>
      <c r="QP139" s="1" t="e">
        <v>#N/A</v>
      </c>
    </row>
    <row r="140" spans="1:458" ht="26.25" x14ac:dyDescent="0.4">
      <c r="A140" s="347"/>
      <c r="B140" s="348"/>
      <c r="C140" s="288"/>
      <c r="D140" s="349"/>
      <c r="E140" s="350"/>
      <c r="F140" s="351"/>
      <c r="G140" s="352"/>
      <c r="H140" s="348"/>
      <c r="I140" s="353"/>
      <c r="J140" s="353"/>
      <c r="PJ140" s="1" t="e">
        <v>#N/A</v>
      </c>
      <c r="PK140" s="1" t="e">
        <v>#N/A</v>
      </c>
      <c r="PL140" s="1" t="e">
        <v>#N/A</v>
      </c>
      <c r="PM140" s="1" t="e">
        <v>#N/A</v>
      </c>
      <c r="PN140" s="1" t="e">
        <v>#N/A</v>
      </c>
      <c r="PO140" s="1" t="e">
        <v>#N/A</v>
      </c>
      <c r="PP140" s="1" t="e">
        <v>#N/A</v>
      </c>
      <c r="PQ140" s="1" t="e">
        <v>#N/A</v>
      </c>
      <c r="PR140" s="1" t="e">
        <v>#N/A</v>
      </c>
      <c r="PS140" s="1" t="e">
        <v>#N/A</v>
      </c>
      <c r="PT140" s="1" t="e">
        <v>#N/A</v>
      </c>
      <c r="PU140" s="1" t="e">
        <v>#N/A</v>
      </c>
      <c r="PV140" s="1" t="e">
        <v>#N/A</v>
      </c>
      <c r="PW140" s="1" t="e">
        <v>#N/A</v>
      </c>
      <c r="PX140" s="1" t="e">
        <v>#N/A</v>
      </c>
      <c r="PY140" s="1" t="e">
        <v>#N/A</v>
      </c>
      <c r="PZ140" s="1" t="e">
        <v>#N/A</v>
      </c>
      <c r="QA140" s="1" t="e">
        <v>#N/A</v>
      </c>
      <c r="QB140" s="1" t="e">
        <v>#N/A</v>
      </c>
      <c r="QC140" s="1" t="e">
        <v>#N/A</v>
      </c>
      <c r="QD140" s="1" t="e">
        <v>#N/A</v>
      </c>
      <c r="QE140" s="1" t="e">
        <v>#N/A</v>
      </c>
      <c r="QF140" s="1" t="e">
        <v>#N/A</v>
      </c>
      <c r="QG140" s="1" t="e">
        <v>#N/A</v>
      </c>
      <c r="QH140" s="1" t="e">
        <v>#N/A</v>
      </c>
      <c r="QI140" s="1" t="e">
        <v>#N/A</v>
      </c>
      <c r="QJ140" s="1" t="e">
        <v>#N/A</v>
      </c>
      <c r="QK140" s="1" t="e">
        <v>#N/A</v>
      </c>
      <c r="QL140" s="1" t="e">
        <v>#N/A</v>
      </c>
      <c r="QM140" s="1" t="e">
        <v>#N/A</v>
      </c>
      <c r="QN140" s="1" t="e">
        <v>#N/A</v>
      </c>
      <c r="QO140" s="1" t="e">
        <v>#N/A</v>
      </c>
      <c r="QP140" s="1" t="e">
        <v>#N/A</v>
      </c>
    </row>
    <row r="141" spans="1:458" ht="26.25" x14ac:dyDescent="0.4">
      <c r="A141" s="347"/>
      <c r="B141" s="348"/>
      <c r="C141" s="288"/>
      <c r="D141" s="349"/>
      <c r="E141" s="350"/>
      <c r="F141" s="351"/>
      <c r="G141" s="352"/>
      <c r="H141" s="348"/>
      <c r="I141" s="353"/>
      <c r="J141" s="353"/>
      <c r="PJ141" s="1" t="e">
        <v>#N/A</v>
      </c>
      <c r="PK141" s="1" t="e">
        <v>#N/A</v>
      </c>
      <c r="PL141" s="1" t="e">
        <v>#N/A</v>
      </c>
      <c r="PM141" s="1" t="e">
        <v>#N/A</v>
      </c>
      <c r="PN141" s="1" t="e">
        <v>#N/A</v>
      </c>
      <c r="PO141" s="1" t="e">
        <v>#N/A</v>
      </c>
      <c r="PP141" s="1" t="e">
        <v>#N/A</v>
      </c>
      <c r="PQ141" s="1" t="e">
        <v>#N/A</v>
      </c>
      <c r="PR141" s="1" t="e">
        <v>#N/A</v>
      </c>
      <c r="PS141" s="1" t="e">
        <v>#N/A</v>
      </c>
      <c r="PT141" s="1" t="e">
        <v>#N/A</v>
      </c>
      <c r="PU141" s="1" t="e">
        <v>#N/A</v>
      </c>
      <c r="PV141" s="1" t="e">
        <v>#N/A</v>
      </c>
      <c r="PW141" s="1" t="e">
        <v>#N/A</v>
      </c>
      <c r="PX141" s="1" t="e">
        <v>#N/A</v>
      </c>
      <c r="PY141" s="1" t="e">
        <v>#N/A</v>
      </c>
      <c r="PZ141" s="1" t="e">
        <v>#N/A</v>
      </c>
      <c r="QA141" s="1" t="e">
        <v>#N/A</v>
      </c>
      <c r="QB141" s="1" t="e">
        <v>#N/A</v>
      </c>
      <c r="QC141" s="1" t="e">
        <v>#N/A</v>
      </c>
      <c r="QD141" s="1" t="e">
        <v>#N/A</v>
      </c>
      <c r="QE141" s="1" t="e">
        <v>#N/A</v>
      </c>
      <c r="QF141" s="1" t="e">
        <v>#N/A</v>
      </c>
      <c r="QG141" s="1" t="e">
        <v>#N/A</v>
      </c>
      <c r="QH141" s="1" t="e">
        <v>#N/A</v>
      </c>
      <c r="QI141" s="1" t="e">
        <v>#N/A</v>
      </c>
      <c r="QJ141" s="1" t="e">
        <v>#N/A</v>
      </c>
      <c r="QK141" s="1" t="e">
        <v>#N/A</v>
      </c>
      <c r="QL141" s="1" t="e">
        <v>#N/A</v>
      </c>
      <c r="QM141" s="1" t="e">
        <v>#N/A</v>
      </c>
      <c r="QN141" s="1" t="e">
        <v>#N/A</v>
      </c>
      <c r="QO141" s="1" t="e">
        <v>#N/A</v>
      </c>
      <c r="QP141" s="1" t="e">
        <v>#N/A</v>
      </c>
    </row>
    <row r="142" spans="1:458" ht="26.25" x14ac:dyDescent="0.4">
      <c r="A142" s="347"/>
      <c r="B142" s="348"/>
      <c r="C142" s="288"/>
      <c r="D142" s="349"/>
      <c r="E142" s="350"/>
      <c r="F142" s="351"/>
      <c r="G142" s="352"/>
      <c r="H142" s="348"/>
      <c r="I142" s="353"/>
      <c r="J142" s="353"/>
      <c r="PJ142" s="1" t="e">
        <v>#N/A</v>
      </c>
      <c r="PK142" s="1" t="e">
        <v>#N/A</v>
      </c>
      <c r="PL142" s="1" t="e">
        <v>#N/A</v>
      </c>
      <c r="PM142" s="1" t="e">
        <v>#N/A</v>
      </c>
      <c r="PN142" s="1" t="e">
        <v>#N/A</v>
      </c>
      <c r="PO142" s="1" t="e">
        <v>#N/A</v>
      </c>
      <c r="PP142" s="1" t="e">
        <v>#N/A</v>
      </c>
      <c r="PQ142" s="1" t="e">
        <v>#N/A</v>
      </c>
      <c r="PR142" s="1" t="e">
        <v>#N/A</v>
      </c>
      <c r="PS142" s="1" t="e">
        <v>#N/A</v>
      </c>
      <c r="PT142" s="1" t="e">
        <v>#N/A</v>
      </c>
      <c r="PU142" s="1" t="e">
        <v>#N/A</v>
      </c>
      <c r="PV142" s="1" t="e">
        <v>#N/A</v>
      </c>
      <c r="PW142" s="1" t="e">
        <v>#N/A</v>
      </c>
      <c r="PX142" s="1" t="e">
        <v>#N/A</v>
      </c>
      <c r="PY142" s="1" t="e">
        <v>#N/A</v>
      </c>
      <c r="PZ142" s="1" t="e">
        <v>#N/A</v>
      </c>
      <c r="QA142" s="1" t="e">
        <v>#N/A</v>
      </c>
      <c r="QB142" s="1" t="e">
        <v>#N/A</v>
      </c>
      <c r="QC142" s="1" t="e">
        <v>#N/A</v>
      </c>
      <c r="QD142" s="1" t="e">
        <v>#N/A</v>
      </c>
      <c r="QE142" s="1" t="e">
        <v>#N/A</v>
      </c>
      <c r="QF142" s="1" t="e">
        <v>#N/A</v>
      </c>
      <c r="QG142" s="1" t="e">
        <v>#N/A</v>
      </c>
      <c r="QH142" s="1" t="e">
        <v>#N/A</v>
      </c>
      <c r="QI142" s="1" t="e">
        <v>#N/A</v>
      </c>
      <c r="QJ142" s="1" t="e">
        <v>#N/A</v>
      </c>
      <c r="QK142" s="1" t="e">
        <v>#N/A</v>
      </c>
      <c r="QL142" s="1" t="e">
        <v>#N/A</v>
      </c>
      <c r="QM142" s="1" t="e">
        <v>#N/A</v>
      </c>
      <c r="QN142" s="1" t="e">
        <v>#N/A</v>
      </c>
      <c r="QO142" s="1" t="e">
        <v>#N/A</v>
      </c>
      <c r="QP142" s="1" t="e">
        <v>#N/A</v>
      </c>
    </row>
    <row r="143" spans="1:458" ht="26.25" x14ac:dyDescent="0.4">
      <c r="A143" s="347"/>
      <c r="B143" s="348"/>
      <c r="C143" s="288"/>
      <c r="D143" s="349"/>
      <c r="E143" s="350"/>
      <c r="F143" s="351"/>
      <c r="G143" s="352"/>
      <c r="H143" s="348"/>
      <c r="I143" s="353"/>
      <c r="J143" s="353"/>
      <c r="PJ143" s="1" t="e">
        <v>#N/A</v>
      </c>
      <c r="PK143" s="1" t="e">
        <v>#N/A</v>
      </c>
      <c r="PL143" s="1" t="e">
        <v>#N/A</v>
      </c>
      <c r="PM143" s="1" t="e">
        <v>#N/A</v>
      </c>
      <c r="PN143" s="1" t="e">
        <v>#N/A</v>
      </c>
      <c r="PO143" s="1" t="e">
        <v>#N/A</v>
      </c>
      <c r="PP143" s="1" t="e">
        <v>#N/A</v>
      </c>
      <c r="PQ143" s="1" t="e">
        <v>#N/A</v>
      </c>
      <c r="PR143" s="1" t="e">
        <v>#N/A</v>
      </c>
      <c r="PS143" s="1" t="e">
        <v>#N/A</v>
      </c>
      <c r="PT143" s="1" t="e">
        <v>#N/A</v>
      </c>
      <c r="PU143" s="1" t="e">
        <v>#N/A</v>
      </c>
      <c r="PV143" s="1" t="e">
        <v>#N/A</v>
      </c>
      <c r="PW143" s="1" t="e">
        <v>#N/A</v>
      </c>
      <c r="PX143" s="1" t="e">
        <v>#N/A</v>
      </c>
      <c r="PY143" s="1" t="e">
        <v>#N/A</v>
      </c>
      <c r="PZ143" s="1" t="e">
        <v>#N/A</v>
      </c>
      <c r="QA143" s="1" t="e">
        <v>#N/A</v>
      </c>
      <c r="QB143" s="1" t="e">
        <v>#N/A</v>
      </c>
      <c r="QC143" s="1" t="e">
        <v>#N/A</v>
      </c>
      <c r="QD143" s="1" t="e">
        <v>#N/A</v>
      </c>
      <c r="QE143" s="1" t="e">
        <v>#N/A</v>
      </c>
      <c r="QF143" s="1" t="e">
        <v>#N/A</v>
      </c>
      <c r="QG143" s="1" t="e">
        <v>#N/A</v>
      </c>
      <c r="QH143" s="1" t="e">
        <v>#N/A</v>
      </c>
      <c r="QI143" s="1" t="e">
        <v>#N/A</v>
      </c>
      <c r="QJ143" s="1" t="e">
        <v>#N/A</v>
      </c>
      <c r="QK143" s="1" t="e">
        <v>#N/A</v>
      </c>
      <c r="QL143" s="1" t="e">
        <v>#N/A</v>
      </c>
      <c r="QM143" s="1" t="e">
        <v>#N/A</v>
      </c>
      <c r="QN143" s="1" t="e">
        <v>#N/A</v>
      </c>
      <c r="QO143" s="1" t="e">
        <v>#N/A</v>
      </c>
      <c r="QP143" s="1" t="e">
        <v>#N/A</v>
      </c>
    </row>
    <row r="144" spans="1:458" ht="26.25" x14ac:dyDescent="0.4">
      <c r="A144" s="347"/>
      <c r="B144" s="348"/>
      <c r="C144" s="288"/>
      <c r="D144" s="349"/>
      <c r="E144" s="350"/>
      <c r="F144" s="351"/>
      <c r="G144" s="352"/>
      <c r="H144" s="348"/>
      <c r="I144" s="353"/>
      <c r="J144" s="353"/>
      <c r="PJ144" s="1" t="e">
        <v>#N/A</v>
      </c>
      <c r="PK144" s="1" t="e">
        <v>#N/A</v>
      </c>
      <c r="PL144" s="1" t="e">
        <v>#N/A</v>
      </c>
      <c r="PM144" s="1" t="e">
        <v>#N/A</v>
      </c>
      <c r="PN144" s="1" t="e">
        <v>#N/A</v>
      </c>
      <c r="PO144" s="1" t="e">
        <v>#N/A</v>
      </c>
      <c r="PP144" s="1" t="e">
        <v>#N/A</v>
      </c>
      <c r="PQ144" s="1" t="e">
        <v>#N/A</v>
      </c>
      <c r="PR144" s="1" t="e">
        <v>#N/A</v>
      </c>
      <c r="PS144" s="1" t="e">
        <v>#N/A</v>
      </c>
      <c r="PT144" s="1" t="e">
        <v>#N/A</v>
      </c>
      <c r="PU144" s="1" t="e">
        <v>#N/A</v>
      </c>
      <c r="PV144" s="1" t="e">
        <v>#N/A</v>
      </c>
      <c r="PW144" s="1" t="e">
        <v>#N/A</v>
      </c>
      <c r="PX144" s="1" t="e">
        <v>#N/A</v>
      </c>
      <c r="PY144" s="1" t="e">
        <v>#N/A</v>
      </c>
      <c r="PZ144" s="1" t="e">
        <v>#N/A</v>
      </c>
      <c r="QA144" s="1" t="e">
        <v>#N/A</v>
      </c>
      <c r="QB144" s="1" t="e">
        <v>#N/A</v>
      </c>
      <c r="QC144" s="1" t="e">
        <v>#N/A</v>
      </c>
      <c r="QD144" s="1" t="e">
        <v>#N/A</v>
      </c>
      <c r="QE144" s="1" t="e">
        <v>#N/A</v>
      </c>
      <c r="QF144" s="1" t="e">
        <v>#N/A</v>
      </c>
      <c r="QG144" s="1" t="e">
        <v>#N/A</v>
      </c>
      <c r="QH144" s="1" t="e">
        <v>#N/A</v>
      </c>
      <c r="QI144" s="1" t="e">
        <v>#N/A</v>
      </c>
      <c r="QJ144" s="1" t="e">
        <v>#N/A</v>
      </c>
      <c r="QK144" s="1" t="e">
        <v>#N/A</v>
      </c>
      <c r="QL144" s="1" t="e">
        <v>#N/A</v>
      </c>
      <c r="QM144" s="1" t="e">
        <v>#N/A</v>
      </c>
      <c r="QN144" s="1" t="e">
        <v>#N/A</v>
      </c>
      <c r="QO144" s="1" t="e">
        <v>#N/A</v>
      </c>
      <c r="QP144" s="1" t="e">
        <v>#N/A</v>
      </c>
    </row>
    <row r="145" spans="1:458" ht="26.25" x14ac:dyDescent="0.4">
      <c r="A145" s="347"/>
      <c r="B145" s="348"/>
      <c r="C145" s="288"/>
      <c r="D145" s="349"/>
      <c r="E145" s="350"/>
      <c r="F145" s="351"/>
      <c r="G145" s="352"/>
      <c r="H145" s="348"/>
      <c r="I145" s="353"/>
      <c r="J145" s="353"/>
      <c r="PJ145" s="1" t="e">
        <v>#N/A</v>
      </c>
      <c r="PK145" s="1" t="e">
        <v>#N/A</v>
      </c>
      <c r="PL145" s="1" t="e">
        <v>#N/A</v>
      </c>
      <c r="PM145" s="1" t="e">
        <v>#N/A</v>
      </c>
      <c r="PN145" s="1" t="e">
        <v>#N/A</v>
      </c>
      <c r="PO145" s="1" t="e">
        <v>#N/A</v>
      </c>
      <c r="PP145" s="1" t="e">
        <v>#N/A</v>
      </c>
      <c r="PQ145" s="1" t="e">
        <v>#N/A</v>
      </c>
      <c r="PR145" s="1" t="e">
        <v>#N/A</v>
      </c>
      <c r="PS145" s="1" t="e">
        <v>#N/A</v>
      </c>
      <c r="PT145" s="1" t="e">
        <v>#N/A</v>
      </c>
      <c r="PU145" s="1" t="e">
        <v>#N/A</v>
      </c>
      <c r="PV145" s="1" t="e">
        <v>#N/A</v>
      </c>
      <c r="PW145" s="1" t="e">
        <v>#N/A</v>
      </c>
      <c r="PX145" s="1" t="e">
        <v>#N/A</v>
      </c>
      <c r="PY145" s="1" t="e">
        <v>#N/A</v>
      </c>
      <c r="PZ145" s="1" t="e">
        <v>#N/A</v>
      </c>
      <c r="QA145" s="1" t="e">
        <v>#N/A</v>
      </c>
      <c r="QB145" s="1" t="e">
        <v>#N/A</v>
      </c>
      <c r="QC145" s="1" t="e">
        <v>#N/A</v>
      </c>
      <c r="QD145" s="1" t="e">
        <v>#N/A</v>
      </c>
      <c r="QE145" s="1" t="e">
        <v>#N/A</v>
      </c>
      <c r="QF145" s="1" t="e">
        <v>#N/A</v>
      </c>
      <c r="QG145" s="1" t="e">
        <v>#N/A</v>
      </c>
      <c r="QH145" s="1" t="e">
        <v>#N/A</v>
      </c>
      <c r="QI145" s="1" t="e">
        <v>#N/A</v>
      </c>
      <c r="QJ145" s="1" t="e">
        <v>#N/A</v>
      </c>
      <c r="QK145" s="1" t="e">
        <v>#N/A</v>
      </c>
      <c r="QL145" s="1" t="e">
        <v>#N/A</v>
      </c>
      <c r="QM145" s="1" t="e">
        <v>#N/A</v>
      </c>
      <c r="QN145" s="1" t="e">
        <v>#N/A</v>
      </c>
      <c r="QO145" s="1" t="e">
        <v>#N/A</v>
      </c>
      <c r="QP145" s="1" t="e">
        <v>#N/A</v>
      </c>
    </row>
    <row r="146" spans="1:458" ht="26.25" x14ac:dyDescent="0.4">
      <c r="A146" s="347"/>
      <c r="B146" s="348"/>
      <c r="C146" s="288"/>
      <c r="D146" s="349"/>
      <c r="E146" s="350"/>
      <c r="F146" s="351"/>
      <c r="G146" s="352"/>
      <c r="H146" s="348"/>
      <c r="I146" s="353"/>
      <c r="J146" s="353"/>
      <c r="PJ146" s="1" t="e">
        <v>#N/A</v>
      </c>
      <c r="PK146" s="1" t="e">
        <v>#N/A</v>
      </c>
      <c r="PL146" s="1" t="e">
        <v>#N/A</v>
      </c>
      <c r="PM146" s="1" t="e">
        <v>#N/A</v>
      </c>
      <c r="PN146" s="1" t="e">
        <v>#N/A</v>
      </c>
      <c r="PO146" s="1" t="e">
        <v>#N/A</v>
      </c>
      <c r="PP146" s="1" t="e">
        <v>#N/A</v>
      </c>
      <c r="PQ146" s="1" t="e">
        <v>#N/A</v>
      </c>
      <c r="PR146" s="1" t="e">
        <v>#N/A</v>
      </c>
      <c r="PS146" s="1" t="e">
        <v>#N/A</v>
      </c>
      <c r="PT146" s="1" t="e">
        <v>#N/A</v>
      </c>
      <c r="PU146" s="1" t="e">
        <v>#N/A</v>
      </c>
      <c r="PV146" s="1" t="e">
        <v>#N/A</v>
      </c>
      <c r="PW146" s="1" t="e">
        <v>#N/A</v>
      </c>
      <c r="PX146" s="1" t="e">
        <v>#N/A</v>
      </c>
      <c r="PY146" s="1" t="e">
        <v>#N/A</v>
      </c>
      <c r="PZ146" s="1" t="e">
        <v>#N/A</v>
      </c>
      <c r="QA146" s="1" t="e">
        <v>#N/A</v>
      </c>
      <c r="QB146" s="1" t="e">
        <v>#N/A</v>
      </c>
      <c r="QC146" s="1" t="e">
        <v>#N/A</v>
      </c>
      <c r="QD146" s="1" t="e">
        <v>#N/A</v>
      </c>
      <c r="QE146" s="1" t="e">
        <v>#N/A</v>
      </c>
      <c r="QF146" s="1" t="e">
        <v>#N/A</v>
      </c>
      <c r="QG146" s="1" t="e">
        <v>#N/A</v>
      </c>
      <c r="QH146" s="1" t="e">
        <v>#N/A</v>
      </c>
      <c r="QI146" s="1" t="e">
        <v>#N/A</v>
      </c>
      <c r="QJ146" s="1" t="e">
        <v>#N/A</v>
      </c>
      <c r="QK146" s="1" t="e">
        <v>#N/A</v>
      </c>
      <c r="QL146" s="1" t="e">
        <v>#N/A</v>
      </c>
      <c r="QM146" s="1" t="e">
        <v>#N/A</v>
      </c>
      <c r="QN146" s="1" t="e">
        <v>#N/A</v>
      </c>
      <c r="QO146" s="1" t="e">
        <v>#N/A</v>
      </c>
      <c r="QP146" s="1" t="e">
        <v>#N/A</v>
      </c>
    </row>
    <row r="147" spans="1:458" ht="26.25" x14ac:dyDescent="0.4">
      <c r="A147" s="347"/>
      <c r="B147" s="348"/>
      <c r="C147" s="288"/>
      <c r="D147" s="349"/>
      <c r="E147" s="350"/>
      <c r="F147" s="351"/>
      <c r="G147" s="352"/>
      <c r="H147" s="348"/>
      <c r="I147" s="353"/>
      <c r="J147" s="353"/>
      <c r="PJ147" s="1" t="e">
        <v>#N/A</v>
      </c>
      <c r="PK147" s="1" t="e">
        <v>#N/A</v>
      </c>
      <c r="PL147" s="1" t="e">
        <v>#N/A</v>
      </c>
      <c r="PM147" s="1" t="e">
        <v>#N/A</v>
      </c>
      <c r="PN147" s="1" t="e">
        <v>#N/A</v>
      </c>
      <c r="PO147" s="1" t="e">
        <v>#N/A</v>
      </c>
      <c r="PP147" s="1" t="e">
        <v>#N/A</v>
      </c>
      <c r="PQ147" s="1" t="e">
        <v>#N/A</v>
      </c>
      <c r="PR147" s="1" t="e">
        <v>#N/A</v>
      </c>
      <c r="PS147" s="1" t="e">
        <v>#N/A</v>
      </c>
      <c r="PT147" s="1" t="e">
        <v>#N/A</v>
      </c>
      <c r="PU147" s="1" t="e">
        <v>#N/A</v>
      </c>
      <c r="PV147" s="1" t="e">
        <v>#N/A</v>
      </c>
      <c r="PW147" s="1" t="e">
        <v>#N/A</v>
      </c>
      <c r="PX147" s="1" t="e">
        <v>#N/A</v>
      </c>
      <c r="PY147" s="1" t="e">
        <v>#N/A</v>
      </c>
      <c r="PZ147" s="1" t="e">
        <v>#N/A</v>
      </c>
      <c r="QA147" s="1" t="e">
        <v>#N/A</v>
      </c>
      <c r="QB147" s="1" t="e">
        <v>#N/A</v>
      </c>
      <c r="QC147" s="1" t="e">
        <v>#N/A</v>
      </c>
      <c r="QD147" s="1" t="e">
        <v>#N/A</v>
      </c>
      <c r="QE147" s="1" t="e">
        <v>#N/A</v>
      </c>
      <c r="QF147" s="1" t="e">
        <v>#N/A</v>
      </c>
      <c r="QG147" s="1" t="e">
        <v>#N/A</v>
      </c>
      <c r="QH147" s="1" t="e">
        <v>#N/A</v>
      </c>
      <c r="QI147" s="1" t="e">
        <v>#N/A</v>
      </c>
      <c r="QJ147" s="1" t="e">
        <v>#N/A</v>
      </c>
      <c r="QK147" s="1" t="e">
        <v>#N/A</v>
      </c>
      <c r="QL147" s="1" t="e">
        <v>#N/A</v>
      </c>
      <c r="QM147" s="1" t="e">
        <v>#N/A</v>
      </c>
      <c r="QN147" s="1" t="e">
        <v>#N/A</v>
      </c>
      <c r="QO147" s="1" t="e">
        <v>#N/A</v>
      </c>
      <c r="QP147" s="1" t="e">
        <v>#N/A</v>
      </c>
    </row>
    <row r="148" spans="1:458" ht="26.25" x14ac:dyDescent="0.4">
      <c r="A148" s="347"/>
      <c r="B148" s="348"/>
      <c r="C148" s="288"/>
      <c r="D148" s="349"/>
      <c r="E148" s="350"/>
      <c r="F148" s="351"/>
      <c r="G148" s="352"/>
      <c r="H148" s="348"/>
      <c r="I148" s="353"/>
      <c r="J148" s="353"/>
      <c r="PJ148" s="1" t="e">
        <v>#N/A</v>
      </c>
      <c r="PK148" s="1" t="e">
        <v>#N/A</v>
      </c>
      <c r="PL148" s="1" t="e">
        <v>#N/A</v>
      </c>
      <c r="PM148" s="1" t="e">
        <v>#N/A</v>
      </c>
      <c r="PN148" s="1" t="e">
        <v>#N/A</v>
      </c>
      <c r="PO148" s="1" t="e">
        <v>#N/A</v>
      </c>
      <c r="PP148" s="1" t="e">
        <v>#N/A</v>
      </c>
      <c r="PQ148" s="1" t="e">
        <v>#N/A</v>
      </c>
      <c r="PR148" s="1" t="e">
        <v>#N/A</v>
      </c>
      <c r="PS148" s="1" t="e">
        <v>#N/A</v>
      </c>
      <c r="PT148" s="1" t="e">
        <v>#N/A</v>
      </c>
      <c r="PU148" s="1" t="e">
        <v>#N/A</v>
      </c>
      <c r="PV148" s="1" t="e">
        <v>#N/A</v>
      </c>
      <c r="PW148" s="1" t="e">
        <v>#N/A</v>
      </c>
      <c r="PX148" s="1" t="e">
        <v>#N/A</v>
      </c>
      <c r="PY148" s="1" t="e">
        <v>#N/A</v>
      </c>
      <c r="PZ148" s="1" t="e">
        <v>#N/A</v>
      </c>
      <c r="QA148" s="1" t="e">
        <v>#N/A</v>
      </c>
      <c r="QB148" s="1" t="e">
        <v>#N/A</v>
      </c>
      <c r="QC148" s="1" t="e">
        <v>#N/A</v>
      </c>
      <c r="QD148" s="1" t="e">
        <v>#N/A</v>
      </c>
      <c r="QE148" s="1" t="e">
        <v>#N/A</v>
      </c>
      <c r="QF148" s="1" t="e">
        <v>#N/A</v>
      </c>
      <c r="QG148" s="1" t="e">
        <v>#N/A</v>
      </c>
      <c r="QH148" s="1" t="e">
        <v>#N/A</v>
      </c>
      <c r="QI148" s="1" t="e">
        <v>#N/A</v>
      </c>
      <c r="QJ148" s="1" t="e">
        <v>#N/A</v>
      </c>
      <c r="QK148" s="1" t="e">
        <v>#N/A</v>
      </c>
      <c r="QL148" s="1" t="e">
        <v>#N/A</v>
      </c>
      <c r="QM148" s="1" t="e">
        <v>#N/A</v>
      </c>
      <c r="QN148" s="1" t="e">
        <v>#N/A</v>
      </c>
      <c r="QO148" s="1" t="e">
        <v>#N/A</v>
      </c>
      <c r="QP148" s="1" t="e">
        <v>#N/A</v>
      </c>
    </row>
    <row r="149" spans="1:458" ht="26.25" x14ac:dyDescent="0.4">
      <c r="A149" s="347"/>
      <c r="B149" s="348"/>
      <c r="C149" s="288"/>
      <c r="D149" s="349"/>
      <c r="E149" s="350"/>
      <c r="F149" s="351"/>
      <c r="G149" s="352"/>
      <c r="H149" s="348"/>
      <c r="I149" s="353"/>
      <c r="J149" s="353"/>
      <c r="PJ149" s="1" t="e">
        <v>#N/A</v>
      </c>
      <c r="PK149" s="1" t="e">
        <v>#N/A</v>
      </c>
      <c r="PL149" s="1" t="e">
        <v>#N/A</v>
      </c>
      <c r="PM149" s="1" t="e">
        <v>#N/A</v>
      </c>
      <c r="PN149" s="1" t="e">
        <v>#N/A</v>
      </c>
      <c r="PO149" s="1" t="e">
        <v>#N/A</v>
      </c>
      <c r="PP149" s="1" t="e">
        <v>#N/A</v>
      </c>
      <c r="PQ149" s="1" t="e">
        <v>#N/A</v>
      </c>
      <c r="PR149" s="1" t="e">
        <v>#N/A</v>
      </c>
      <c r="PS149" s="1" t="e">
        <v>#N/A</v>
      </c>
      <c r="PT149" s="1" t="e">
        <v>#N/A</v>
      </c>
      <c r="PU149" s="1" t="e">
        <v>#N/A</v>
      </c>
      <c r="PV149" s="1" t="e">
        <v>#N/A</v>
      </c>
      <c r="PW149" s="1" t="e">
        <v>#N/A</v>
      </c>
      <c r="PX149" s="1" t="e">
        <v>#N/A</v>
      </c>
      <c r="PY149" s="1" t="e">
        <v>#N/A</v>
      </c>
      <c r="PZ149" s="1" t="e">
        <v>#N/A</v>
      </c>
      <c r="QA149" s="1" t="e">
        <v>#N/A</v>
      </c>
      <c r="QB149" s="1" t="e">
        <v>#N/A</v>
      </c>
      <c r="QC149" s="1" t="e">
        <v>#N/A</v>
      </c>
      <c r="QD149" s="1" t="e">
        <v>#N/A</v>
      </c>
      <c r="QE149" s="1" t="e">
        <v>#N/A</v>
      </c>
      <c r="QF149" s="1" t="e">
        <v>#N/A</v>
      </c>
      <c r="QG149" s="1" t="e">
        <v>#N/A</v>
      </c>
      <c r="QH149" s="1" t="e">
        <v>#N/A</v>
      </c>
      <c r="QI149" s="1" t="e">
        <v>#N/A</v>
      </c>
      <c r="QJ149" s="1" t="e">
        <v>#N/A</v>
      </c>
      <c r="QK149" s="1" t="e">
        <v>#N/A</v>
      </c>
      <c r="QL149" s="1" t="e">
        <v>#N/A</v>
      </c>
      <c r="QM149" s="1" t="e">
        <v>#N/A</v>
      </c>
      <c r="QN149" s="1" t="e">
        <v>#N/A</v>
      </c>
      <c r="QO149" s="1" t="e">
        <v>#N/A</v>
      </c>
      <c r="QP149" s="1" t="e">
        <v>#N/A</v>
      </c>
    </row>
    <row r="150" spans="1:458" ht="26.25" x14ac:dyDescent="0.4">
      <c r="A150" s="347"/>
      <c r="B150" s="348"/>
      <c r="C150" s="288"/>
      <c r="D150" s="349"/>
      <c r="E150" s="350"/>
      <c r="F150" s="351"/>
      <c r="G150" s="352"/>
      <c r="H150" s="348"/>
      <c r="I150" s="353"/>
      <c r="J150" s="353"/>
      <c r="PJ150" s="1" t="e">
        <v>#N/A</v>
      </c>
      <c r="PK150" s="1" t="e">
        <v>#N/A</v>
      </c>
      <c r="PL150" s="1" t="e">
        <v>#N/A</v>
      </c>
      <c r="PM150" s="1" t="e">
        <v>#N/A</v>
      </c>
      <c r="PN150" s="1" t="e">
        <v>#N/A</v>
      </c>
      <c r="PO150" s="1" t="e">
        <v>#N/A</v>
      </c>
      <c r="PP150" s="1" t="e">
        <v>#N/A</v>
      </c>
      <c r="PQ150" s="1" t="e">
        <v>#N/A</v>
      </c>
      <c r="PR150" s="1" t="e">
        <v>#N/A</v>
      </c>
      <c r="PS150" s="1" t="e">
        <v>#N/A</v>
      </c>
      <c r="PT150" s="1" t="e">
        <v>#N/A</v>
      </c>
      <c r="PU150" s="1" t="e">
        <v>#N/A</v>
      </c>
      <c r="PV150" s="1" t="e">
        <v>#N/A</v>
      </c>
      <c r="PW150" s="1" t="e">
        <v>#N/A</v>
      </c>
      <c r="PX150" s="1" t="e">
        <v>#N/A</v>
      </c>
      <c r="PY150" s="1" t="e">
        <v>#N/A</v>
      </c>
      <c r="PZ150" s="1" t="e">
        <v>#N/A</v>
      </c>
      <c r="QA150" s="1" t="e">
        <v>#N/A</v>
      </c>
      <c r="QB150" s="1" t="e">
        <v>#N/A</v>
      </c>
      <c r="QC150" s="1" t="e">
        <v>#N/A</v>
      </c>
      <c r="QD150" s="1" t="e">
        <v>#N/A</v>
      </c>
      <c r="QE150" s="1" t="e">
        <v>#N/A</v>
      </c>
      <c r="QF150" s="1" t="e">
        <v>#N/A</v>
      </c>
      <c r="QG150" s="1" t="e">
        <v>#N/A</v>
      </c>
      <c r="QH150" s="1" t="e">
        <v>#N/A</v>
      </c>
      <c r="QI150" s="1" t="e">
        <v>#N/A</v>
      </c>
      <c r="QJ150" s="1" t="e">
        <v>#N/A</v>
      </c>
      <c r="QK150" s="1" t="e">
        <v>#N/A</v>
      </c>
      <c r="QL150" s="1" t="e">
        <v>#N/A</v>
      </c>
      <c r="QM150" s="1" t="e">
        <v>#N/A</v>
      </c>
      <c r="QN150" s="1" t="e">
        <v>#N/A</v>
      </c>
      <c r="QO150" s="1" t="e">
        <v>#N/A</v>
      </c>
      <c r="QP150" s="1" t="e">
        <v>#N/A</v>
      </c>
    </row>
    <row r="151" spans="1:458" ht="26.25" x14ac:dyDescent="0.4">
      <c r="A151" s="347"/>
      <c r="B151" s="348"/>
      <c r="C151" s="288"/>
      <c r="D151" s="349"/>
      <c r="E151" s="350"/>
      <c r="F151" s="351"/>
      <c r="G151" s="352"/>
      <c r="H151" s="348"/>
      <c r="I151" s="353"/>
      <c r="J151" s="353"/>
      <c r="PJ151" s="1" t="e">
        <v>#N/A</v>
      </c>
      <c r="PK151" s="1" t="e">
        <v>#N/A</v>
      </c>
      <c r="PL151" s="1" t="e">
        <v>#N/A</v>
      </c>
      <c r="PM151" s="1" t="e">
        <v>#N/A</v>
      </c>
      <c r="PN151" s="1" t="e">
        <v>#N/A</v>
      </c>
      <c r="PO151" s="1" t="e">
        <v>#N/A</v>
      </c>
      <c r="PP151" s="1" t="e">
        <v>#N/A</v>
      </c>
      <c r="PQ151" s="1" t="e">
        <v>#N/A</v>
      </c>
      <c r="PR151" s="1" t="e">
        <v>#N/A</v>
      </c>
      <c r="PS151" s="1" t="e">
        <v>#N/A</v>
      </c>
      <c r="PT151" s="1" t="e">
        <v>#N/A</v>
      </c>
      <c r="PU151" s="1" t="e">
        <v>#N/A</v>
      </c>
      <c r="PV151" s="1" t="e">
        <v>#N/A</v>
      </c>
      <c r="PW151" s="1" t="e">
        <v>#N/A</v>
      </c>
      <c r="PX151" s="1" t="e">
        <v>#N/A</v>
      </c>
      <c r="PY151" s="1" t="e">
        <v>#N/A</v>
      </c>
      <c r="PZ151" s="1" t="e">
        <v>#N/A</v>
      </c>
      <c r="QA151" s="1" t="e">
        <v>#N/A</v>
      </c>
      <c r="QB151" s="1" t="e">
        <v>#N/A</v>
      </c>
      <c r="QC151" s="1" t="e">
        <v>#N/A</v>
      </c>
      <c r="QD151" s="1" t="e">
        <v>#N/A</v>
      </c>
      <c r="QE151" s="1" t="e">
        <v>#N/A</v>
      </c>
      <c r="QF151" s="1" t="e">
        <v>#N/A</v>
      </c>
      <c r="QG151" s="1" t="e">
        <v>#N/A</v>
      </c>
      <c r="QH151" s="1" t="e">
        <v>#N/A</v>
      </c>
      <c r="QI151" s="1" t="e">
        <v>#N/A</v>
      </c>
      <c r="QJ151" s="1" t="e">
        <v>#N/A</v>
      </c>
      <c r="QK151" s="1" t="e">
        <v>#N/A</v>
      </c>
      <c r="QL151" s="1" t="e">
        <v>#N/A</v>
      </c>
      <c r="QM151" s="1" t="e">
        <v>#N/A</v>
      </c>
      <c r="QN151" s="1" t="e">
        <v>#N/A</v>
      </c>
      <c r="QO151" s="1" t="e">
        <v>#N/A</v>
      </c>
      <c r="QP151" s="1" t="e">
        <v>#N/A</v>
      </c>
    </row>
    <row r="152" spans="1:458" ht="26.25" x14ac:dyDescent="0.4">
      <c r="A152" s="347"/>
      <c r="B152" s="348"/>
      <c r="C152" s="288"/>
      <c r="D152" s="349"/>
      <c r="E152" s="350"/>
      <c r="F152" s="351"/>
      <c r="G152" s="352"/>
      <c r="H152" s="348"/>
      <c r="I152" s="353"/>
      <c r="J152" s="353"/>
      <c r="PJ152" s="1" t="e">
        <v>#N/A</v>
      </c>
      <c r="PK152" s="1" t="e">
        <v>#N/A</v>
      </c>
      <c r="PL152" s="1" t="e">
        <v>#N/A</v>
      </c>
      <c r="PM152" s="1" t="e">
        <v>#N/A</v>
      </c>
      <c r="PN152" s="1" t="e">
        <v>#N/A</v>
      </c>
      <c r="PO152" s="1" t="e">
        <v>#N/A</v>
      </c>
      <c r="PP152" s="1" t="e">
        <v>#N/A</v>
      </c>
      <c r="PQ152" s="1" t="e">
        <v>#N/A</v>
      </c>
      <c r="PR152" s="1" t="e">
        <v>#N/A</v>
      </c>
      <c r="PS152" s="1" t="e">
        <v>#N/A</v>
      </c>
      <c r="PT152" s="1" t="e">
        <v>#N/A</v>
      </c>
      <c r="PU152" s="1" t="e">
        <v>#N/A</v>
      </c>
      <c r="PV152" s="1" t="e">
        <v>#N/A</v>
      </c>
      <c r="PW152" s="1" t="e">
        <v>#N/A</v>
      </c>
      <c r="PX152" s="1" t="e">
        <v>#N/A</v>
      </c>
      <c r="PY152" s="1" t="e">
        <v>#N/A</v>
      </c>
      <c r="PZ152" s="1" t="e">
        <v>#N/A</v>
      </c>
      <c r="QA152" s="1" t="e">
        <v>#N/A</v>
      </c>
      <c r="QB152" s="1" t="e">
        <v>#N/A</v>
      </c>
      <c r="QC152" s="1" t="e">
        <v>#N/A</v>
      </c>
      <c r="QD152" s="1" t="e">
        <v>#N/A</v>
      </c>
      <c r="QE152" s="1" t="e">
        <v>#N/A</v>
      </c>
      <c r="QF152" s="1" t="e">
        <v>#N/A</v>
      </c>
      <c r="QG152" s="1" t="e">
        <v>#N/A</v>
      </c>
      <c r="QH152" s="1" t="e">
        <v>#N/A</v>
      </c>
      <c r="QI152" s="1" t="e">
        <v>#N/A</v>
      </c>
      <c r="QJ152" s="1" t="e">
        <v>#N/A</v>
      </c>
      <c r="QK152" s="1" t="e">
        <v>#N/A</v>
      </c>
      <c r="QL152" s="1" t="e">
        <v>#N/A</v>
      </c>
      <c r="QM152" s="1" t="e">
        <v>#N/A</v>
      </c>
      <c r="QN152" s="1" t="e">
        <v>#N/A</v>
      </c>
      <c r="QO152" s="1" t="e">
        <v>#N/A</v>
      </c>
      <c r="QP152" s="1" t="e">
        <v>#N/A</v>
      </c>
    </row>
    <row r="153" spans="1:458" ht="26.25" x14ac:dyDescent="0.4">
      <c r="A153" s="347"/>
      <c r="B153" s="348"/>
      <c r="C153" s="288"/>
      <c r="D153" s="349"/>
      <c r="E153" s="350"/>
      <c r="F153" s="351"/>
      <c r="G153" s="352"/>
      <c r="H153" s="348"/>
      <c r="I153" s="353"/>
      <c r="J153" s="353"/>
      <c r="PJ153" s="1" t="e">
        <v>#N/A</v>
      </c>
      <c r="PK153" s="1" t="e">
        <v>#N/A</v>
      </c>
      <c r="PL153" s="1" t="e">
        <v>#N/A</v>
      </c>
      <c r="PM153" s="1" t="e">
        <v>#N/A</v>
      </c>
      <c r="PN153" s="1" t="e">
        <v>#N/A</v>
      </c>
      <c r="PO153" s="1" t="e">
        <v>#N/A</v>
      </c>
      <c r="PP153" s="1" t="e">
        <v>#N/A</v>
      </c>
      <c r="PQ153" s="1" t="e">
        <v>#N/A</v>
      </c>
      <c r="PR153" s="1" t="e">
        <v>#N/A</v>
      </c>
      <c r="PS153" s="1" t="e">
        <v>#N/A</v>
      </c>
      <c r="PT153" s="1" t="e">
        <v>#N/A</v>
      </c>
      <c r="PU153" s="1" t="e">
        <v>#N/A</v>
      </c>
      <c r="PV153" s="1" t="e">
        <v>#N/A</v>
      </c>
      <c r="PW153" s="1" t="e">
        <v>#N/A</v>
      </c>
      <c r="PX153" s="1" t="e">
        <v>#N/A</v>
      </c>
      <c r="PY153" s="1" t="e">
        <v>#N/A</v>
      </c>
      <c r="PZ153" s="1" t="e">
        <v>#N/A</v>
      </c>
      <c r="QA153" s="1" t="e">
        <v>#N/A</v>
      </c>
      <c r="QB153" s="1" t="e">
        <v>#N/A</v>
      </c>
      <c r="QC153" s="1" t="e">
        <v>#N/A</v>
      </c>
      <c r="QD153" s="1" t="e">
        <v>#N/A</v>
      </c>
      <c r="QE153" s="1" t="e">
        <v>#N/A</v>
      </c>
      <c r="QF153" s="1" t="e">
        <v>#N/A</v>
      </c>
      <c r="QG153" s="1" t="e">
        <v>#N/A</v>
      </c>
      <c r="QH153" s="1" t="e">
        <v>#N/A</v>
      </c>
      <c r="QI153" s="1" t="e">
        <v>#N/A</v>
      </c>
      <c r="QJ153" s="1" t="e">
        <v>#N/A</v>
      </c>
      <c r="QK153" s="1" t="e">
        <v>#N/A</v>
      </c>
      <c r="QL153" s="1" t="e">
        <v>#N/A</v>
      </c>
      <c r="QM153" s="1" t="e">
        <v>#N/A</v>
      </c>
      <c r="QN153" s="1" t="e">
        <v>#N/A</v>
      </c>
      <c r="QO153" s="1" t="e">
        <v>#N/A</v>
      </c>
      <c r="QP153" s="1" t="e">
        <v>#N/A</v>
      </c>
    </row>
    <row r="154" spans="1:458" ht="26.25" x14ac:dyDescent="0.4">
      <c r="A154" s="347"/>
      <c r="B154" s="348"/>
      <c r="C154" s="288"/>
      <c r="D154" s="349"/>
      <c r="E154" s="350"/>
      <c r="F154" s="351"/>
      <c r="G154" s="352"/>
      <c r="H154" s="348"/>
      <c r="I154" s="353"/>
      <c r="J154" s="353"/>
      <c r="PJ154" s="1" t="e">
        <v>#N/A</v>
      </c>
      <c r="PK154" s="1" t="e">
        <v>#N/A</v>
      </c>
      <c r="PL154" s="1" t="e">
        <v>#N/A</v>
      </c>
      <c r="PM154" s="1" t="e">
        <v>#N/A</v>
      </c>
      <c r="PN154" s="1" t="e">
        <v>#N/A</v>
      </c>
      <c r="PO154" s="1" t="e">
        <v>#N/A</v>
      </c>
      <c r="PP154" s="1" t="e">
        <v>#N/A</v>
      </c>
      <c r="PQ154" s="1" t="e">
        <v>#N/A</v>
      </c>
      <c r="PR154" s="1" t="e">
        <v>#N/A</v>
      </c>
      <c r="PS154" s="1" t="e">
        <v>#N/A</v>
      </c>
      <c r="PT154" s="1" t="e">
        <v>#N/A</v>
      </c>
      <c r="PU154" s="1" t="e">
        <v>#N/A</v>
      </c>
      <c r="PV154" s="1" t="e">
        <v>#N/A</v>
      </c>
      <c r="PW154" s="1" t="e">
        <v>#N/A</v>
      </c>
      <c r="PX154" s="1" t="e">
        <v>#N/A</v>
      </c>
      <c r="PY154" s="1" t="e">
        <v>#N/A</v>
      </c>
      <c r="PZ154" s="1" t="e">
        <v>#N/A</v>
      </c>
      <c r="QA154" s="1" t="e">
        <v>#N/A</v>
      </c>
      <c r="QB154" s="1" t="e">
        <v>#N/A</v>
      </c>
      <c r="QC154" s="1" t="e">
        <v>#N/A</v>
      </c>
      <c r="QD154" s="1" t="e">
        <v>#N/A</v>
      </c>
      <c r="QE154" s="1" t="e">
        <v>#N/A</v>
      </c>
      <c r="QF154" s="1" t="e">
        <v>#N/A</v>
      </c>
      <c r="QG154" s="1" t="e">
        <v>#N/A</v>
      </c>
      <c r="QH154" s="1" t="e">
        <v>#N/A</v>
      </c>
      <c r="QI154" s="1" t="e">
        <v>#N/A</v>
      </c>
      <c r="QJ154" s="1" t="e">
        <v>#N/A</v>
      </c>
      <c r="QK154" s="1" t="e">
        <v>#N/A</v>
      </c>
      <c r="QL154" s="1" t="e">
        <v>#N/A</v>
      </c>
      <c r="QM154" s="1" t="e">
        <v>#N/A</v>
      </c>
      <c r="QN154" s="1" t="e">
        <v>#N/A</v>
      </c>
      <c r="QO154" s="1" t="e">
        <v>#N/A</v>
      </c>
      <c r="QP154" s="1" t="e">
        <v>#N/A</v>
      </c>
    </row>
    <row r="155" spans="1:458" ht="26.25" x14ac:dyDescent="0.4">
      <c r="A155" s="347"/>
      <c r="B155" s="348"/>
      <c r="C155" s="288"/>
      <c r="D155" s="349"/>
      <c r="E155" s="350"/>
      <c r="F155" s="351"/>
      <c r="G155" s="352"/>
      <c r="H155" s="348"/>
      <c r="I155" s="353"/>
      <c r="J155" s="353"/>
      <c r="PJ155" s="1" t="e">
        <v>#N/A</v>
      </c>
      <c r="PK155" s="1" t="e">
        <v>#N/A</v>
      </c>
      <c r="PL155" s="1" t="e">
        <v>#N/A</v>
      </c>
      <c r="PM155" s="1" t="e">
        <v>#N/A</v>
      </c>
      <c r="PN155" s="1" t="e">
        <v>#N/A</v>
      </c>
      <c r="PO155" s="1" t="e">
        <v>#N/A</v>
      </c>
      <c r="PP155" s="1" t="e">
        <v>#N/A</v>
      </c>
      <c r="PQ155" s="1" t="e">
        <v>#N/A</v>
      </c>
      <c r="PR155" s="1" t="e">
        <v>#N/A</v>
      </c>
      <c r="PS155" s="1" t="e">
        <v>#N/A</v>
      </c>
      <c r="PT155" s="1" t="e">
        <v>#N/A</v>
      </c>
      <c r="PU155" s="1" t="e">
        <v>#N/A</v>
      </c>
      <c r="PV155" s="1" t="e">
        <v>#N/A</v>
      </c>
      <c r="PW155" s="1" t="e">
        <v>#N/A</v>
      </c>
      <c r="PX155" s="1" t="e">
        <v>#N/A</v>
      </c>
      <c r="PY155" s="1" t="e">
        <v>#N/A</v>
      </c>
      <c r="PZ155" s="1" t="e">
        <v>#N/A</v>
      </c>
      <c r="QA155" s="1" t="e">
        <v>#N/A</v>
      </c>
      <c r="QB155" s="1" t="e">
        <v>#N/A</v>
      </c>
      <c r="QC155" s="1" t="e">
        <v>#N/A</v>
      </c>
      <c r="QD155" s="1" t="e">
        <v>#N/A</v>
      </c>
      <c r="QE155" s="1" t="e">
        <v>#N/A</v>
      </c>
      <c r="QF155" s="1" t="e">
        <v>#N/A</v>
      </c>
      <c r="QG155" s="1" t="e">
        <v>#N/A</v>
      </c>
      <c r="QH155" s="1" t="e">
        <v>#N/A</v>
      </c>
      <c r="QI155" s="1" t="e">
        <v>#N/A</v>
      </c>
      <c r="QJ155" s="1" t="e">
        <v>#N/A</v>
      </c>
      <c r="QK155" s="1" t="e">
        <v>#N/A</v>
      </c>
      <c r="QL155" s="1" t="e">
        <v>#N/A</v>
      </c>
      <c r="QM155" s="1" t="e">
        <v>#N/A</v>
      </c>
      <c r="QN155" s="1" t="e">
        <v>#N/A</v>
      </c>
      <c r="QO155" s="1" t="e">
        <v>#N/A</v>
      </c>
      <c r="QP155" s="1" t="e">
        <v>#N/A</v>
      </c>
    </row>
    <row r="156" spans="1:458" ht="26.25" x14ac:dyDescent="0.4">
      <c r="A156" s="347"/>
      <c r="B156" s="348"/>
      <c r="C156" s="288"/>
      <c r="D156" s="349"/>
      <c r="E156" s="350"/>
      <c r="F156" s="351"/>
      <c r="G156" s="352"/>
      <c r="H156" s="348"/>
      <c r="I156" s="353"/>
      <c r="J156" s="353"/>
      <c r="PJ156" s="1" t="e">
        <v>#N/A</v>
      </c>
      <c r="PK156" s="1" t="e">
        <v>#N/A</v>
      </c>
      <c r="PL156" s="1" t="e">
        <v>#N/A</v>
      </c>
      <c r="PM156" s="1" t="e">
        <v>#N/A</v>
      </c>
      <c r="PN156" s="1" t="e">
        <v>#N/A</v>
      </c>
      <c r="PO156" s="1" t="e">
        <v>#N/A</v>
      </c>
      <c r="PP156" s="1" t="e">
        <v>#N/A</v>
      </c>
      <c r="PQ156" s="1" t="e">
        <v>#N/A</v>
      </c>
      <c r="PR156" s="1" t="e">
        <v>#N/A</v>
      </c>
      <c r="PS156" s="1" t="e">
        <v>#N/A</v>
      </c>
      <c r="PT156" s="1" t="e">
        <v>#N/A</v>
      </c>
      <c r="PU156" s="1" t="e">
        <v>#N/A</v>
      </c>
      <c r="PV156" s="1" t="e">
        <v>#N/A</v>
      </c>
      <c r="PW156" s="1" t="e">
        <v>#N/A</v>
      </c>
      <c r="PX156" s="1" t="e">
        <v>#N/A</v>
      </c>
      <c r="PY156" s="1" t="e">
        <v>#N/A</v>
      </c>
      <c r="PZ156" s="1" t="e">
        <v>#N/A</v>
      </c>
      <c r="QA156" s="1" t="e">
        <v>#N/A</v>
      </c>
      <c r="QB156" s="1" t="e">
        <v>#N/A</v>
      </c>
      <c r="QC156" s="1" t="e">
        <v>#N/A</v>
      </c>
      <c r="QD156" s="1" t="e">
        <v>#N/A</v>
      </c>
      <c r="QE156" s="1" t="e">
        <v>#N/A</v>
      </c>
      <c r="QF156" s="1" t="e">
        <v>#N/A</v>
      </c>
      <c r="QG156" s="1" t="e">
        <v>#N/A</v>
      </c>
      <c r="QH156" s="1" t="e">
        <v>#N/A</v>
      </c>
      <c r="QI156" s="1" t="e">
        <v>#N/A</v>
      </c>
      <c r="QJ156" s="1" t="e">
        <v>#N/A</v>
      </c>
      <c r="QK156" s="1" t="e">
        <v>#N/A</v>
      </c>
      <c r="QL156" s="1" t="e">
        <v>#N/A</v>
      </c>
      <c r="QM156" s="1" t="e">
        <v>#N/A</v>
      </c>
      <c r="QN156" s="1" t="e">
        <v>#N/A</v>
      </c>
      <c r="QO156" s="1" t="e">
        <v>#N/A</v>
      </c>
      <c r="QP156" s="1" t="e">
        <v>#N/A</v>
      </c>
    </row>
    <row r="157" spans="1:458" ht="26.25" x14ac:dyDescent="0.4">
      <c r="A157" s="347"/>
      <c r="B157" s="348"/>
      <c r="C157" s="288"/>
      <c r="D157" s="349"/>
      <c r="E157" s="350"/>
      <c r="F157" s="351"/>
      <c r="G157" s="352"/>
      <c r="H157" s="348"/>
      <c r="I157" s="353"/>
      <c r="J157" s="353"/>
      <c r="PJ157" s="1" t="e">
        <v>#N/A</v>
      </c>
      <c r="PK157" s="1" t="e">
        <v>#N/A</v>
      </c>
      <c r="PL157" s="1" t="e">
        <v>#N/A</v>
      </c>
      <c r="PM157" s="1" t="e">
        <v>#N/A</v>
      </c>
      <c r="PN157" s="1" t="e">
        <v>#N/A</v>
      </c>
      <c r="PO157" s="1" t="e">
        <v>#N/A</v>
      </c>
      <c r="PP157" s="1" t="e">
        <v>#N/A</v>
      </c>
      <c r="PQ157" s="1" t="e">
        <v>#N/A</v>
      </c>
      <c r="PR157" s="1" t="e">
        <v>#N/A</v>
      </c>
      <c r="PS157" s="1" t="e">
        <v>#N/A</v>
      </c>
      <c r="PT157" s="1" t="e">
        <v>#N/A</v>
      </c>
      <c r="PU157" s="1" t="e">
        <v>#N/A</v>
      </c>
      <c r="PV157" s="1" t="e">
        <v>#N/A</v>
      </c>
      <c r="PW157" s="1" t="e">
        <v>#N/A</v>
      </c>
      <c r="PX157" s="1" t="e">
        <v>#N/A</v>
      </c>
      <c r="PY157" s="1" t="e">
        <v>#N/A</v>
      </c>
      <c r="PZ157" s="1" t="e">
        <v>#N/A</v>
      </c>
      <c r="QA157" s="1" t="e">
        <v>#N/A</v>
      </c>
      <c r="QB157" s="1" t="e">
        <v>#N/A</v>
      </c>
      <c r="QC157" s="1" t="e">
        <v>#N/A</v>
      </c>
      <c r="QD157" s="1" t="e">
        <v>#N/A</v>
      </c>
      <c r="QE157" s="1" t="e">
        <v>#N/A</v>
      </c>
      <c r="QF157" s="1" t="e">
        <v>#N/A</v>
      </c>
      <c r="QG157" s="1" t="e">
        <v>#N/A</v>
      </c>
      <c r="QH157" s="1" t="e">
        <v>#N/A</v>
      </c>
      <c r="QI157" s="1" t="e">
        <v>#N/A</v>
      </c>
      <c r="QJ157" s="1" t="e">
        <v>#N/A</v>
      </c>
      <c r="QK157" s="1" t="e">
        <v>#N/A</v>
      </c>
      <c r="QL157" s="1" t="e">
        <v>#N/A</v>
      </c>
      <c r="QM157" s="1" t="e">
        <v>#N/A</v>
      </c>
      <c r="QN157" s="1" t="e">
        <v>#N/A</v>
      </c>
      <c r="QO157" s="1" t="e">
        <v>#N/A</v>
      </c>
      <c r="QP157" s="1" t="e">
        <v>#N/A</v>
      </c>
    </row>
    <row r="158" spans="1:458" ht="26.25" x14ac:dyDescent="0.4">
      <c r="A158" s="347"/>
      <c r="B158" s="348"/>
      <c r="C158" s="288"/>
      <c r="D158" s="349"/>
      <c r="E158" s="350"/>
      <c r="F158" s="351"/>
      <c r="G158" s="352"/>
      <c r="H158" s="348"/>
      <c r="I158" s="353"/>
      <c r="J158" s="353"/>
      <c r="PJ158" s="1" t="e">
        <v>#N/A</v>
      </c>
      <c r="PK158" s="1" t="e">
        <v>#N/A</v>
      </c>
      <c r="PL158" s="1" t="e">
        <v>#N/A</v>
      </c>
      <c r="PM158" s="1" t="e">
        <v>#N/A</v>
      </c>
      <c r="PN158" s="1" t="e">
        <v>#N/A</v>
      </c>
      <c r="PO158" s="1" t="e">
        <v>#N/A</v>
      </c>
      <c r="PP158" s="1" t="e">
        <v>#N/A</v>
      </c>
      <c r="PQ158" s="1" t="e">
        <v>#N/A</v>
      </c>
      <c r="PR158" s="1" t="e">
        <v>#N/A</v>
      </c>
      <c r="PS158" s="1" t="e">
        <v>#N/A</v>
      </c>
      <c r="PT158" s="1" t="e">
        <v>#N/A</v>
      </c>
      <c r="PU158" s="1" t="e">
        <v>#N/A</v>
      </c>
      <c r="PV158" s="1" t="e">
        <v>#N/A</v>
      </c>
      <c r="PW158" s="1" t="e">
        <v>#N/A</v>
      </c>
      <c r="PX158" s="1" t="e">
        <v>#N/A</v>
      </c>
      <c r="PY158" s="1" t="e">
        <v>#N/A</v>
      </c>
      <c r="PZ158" s="1" t="e">
        <v>#N/A</v>
      </c>
      <c r="QA158" s="1" t="e">
        <v>#N/A</v>
      </c>
      <c r="QB158" s="1" t="e">
        <v>#N/A</v>
      </c>
      <c r="QC158" s="1" t="e">
        <v>#N/A</v>
      </c>
      <c r="QD158" s="1" t="e">
        <v>#N/A</v>
      </c>
      <c r="QE158" s="1" t="e">
        <v>#N/A</v>
      </c>
      <c r="QF158" s="1" t="e">
        <v>#N/A</v>
      </c>
      <c r="QG158" s="1" t="e">
        <v>#N/A</v>
      </c>
      <c r="QH158" s="1" t="e">
        <v>#N/A</v>
      </c>
      <c r="QI158" s="1" t="e">
        <v>#N/A</v>
      </c>
      <c r="QJ158" s="1" t="e">
        <v>#N/A</v>
      </c>
      <c r="QK158" s="1" t="e">
        <v>#N/A</v>
      </c>
      <c r="QL158" s="1" t="e">
        <v>#N/A</v>
      </c>
      <c r="QM158" s="1" t="e">
        <v>#N/A</v>
      </c>
      <c r="QN158" s="1" t="e">
        <v>#N/A</v>
      </c>
      <c r="QO158" s="1" t="e">
        <v>#N/A</v>
      </c>
      <c r="QP158" s="1" t="e">
        <v>#N/A</v>
      </c>
    </row>
    <row r="159" spans="1:458" ht="26.25" x14ac:dyDescent="0.4">
      <c r="A159" s="347"/>
      <c r="B159" s="348"/>
      <c r="C159" s="288"/>
      <c r="D159" s="349"/>
      <c r="E159" s="350"/>
      <c r="F159" s="351"/>
      <c r="G159" s="352"/>
      <c r="H159" s="348"/>
      <c r="I159" s="353"/>
      <c r="J159" s="353"/>
      <c r="PJ159" s="1" t="e">
        <v>#N/A</v>
      </c>
      <c r="PK159" s="1" t="e">
        <v>#N/A</v>
      </c>
      <c r="PL159" s="1" t="e">
        <v>#N/A</v>
      </c>
      <c r="PM159" s="1" t="e">
        <v>#N/A</v>
      </c>
      <c r="PN159" s="1" t="e">
        <v>#N/A</v>
      </c>
      <c r="PO159" s="1" t="e">
        <v>#N/A</v>
      </c>
      <c r="PP159" s="1" t="e">
        <v>#N/A</v>
      </c>
      <c r="PQ159" s="1" t="e">
        <v>#N/A</v>
      </c>
      <c r="PR159" s="1" t="e">
        <v>#N/A</v>
      </c>
      <c r="PS159" s="1" t="e">
        <v>#N/A</v>
      </c>
      <c r="PT159" s="1" t="e">
        <v>#N/A</v>
      </c>
      <c r="PU159" s="1" t="e">
        <v>#N/A</v>
      </c>
      <c r="PV159" s="1" t="e">
        <v>#N/A</v>
      </c>
      <c r="PW159" s="1" t="e">
        <v>#N/A</v>
      </c>
      <c r="PX159" s="1" t="e">
        <v>#N/A</v>
      </c>
      <c r="PY159" s="1" t="e">
        <v>#N/A</v>
      </c>
      <c r="PZ159" s="1" t="e">
        <v>#N/A</v>
      </c>
      <c r="QA159" s="1" t="e">
        <v>#N/A</v>
      </c>
      <c r="QB159" s="1" t="e">
        <v>#N/A</v>
      </c>
      <c r="QC159" s="1" t="e">
        <v>#N/A</v>
      </c>
      <c r="QD159" s="1" t="e">
        <v>#N/A</v>
      </c>
      <c r="QE159" s="1" t="e">
        <v>#N/A</v>
      </c>
      <c r="QF159" s="1" t="e">
        <v>#N/A</v>
      </c>
      <c r="QG159" s="1" t="e">
        <v>#N/A</v>
      </c>
      <c r="QH159" s="1" t="e">
        <v>#N/A</v>
      </c>
      <c r="QI159" s="1" t="e">
        <v>#N/A</v>
      </c>
      <c r="QJ159" s="1" t="e">
        <v>#N/A</v>
      </c>
      <c r="QK159" s="1" t="e">
        <v>#N/A</v>
      </c>
      <c r="QL159" s="1" t="e">
        <v>#N/A</v>
      </c>
      <c r="QM159" s="1" t="e">
        <v>#N/A</v>
      </c>
      <c r="QN159" s="1" t="e">
        <v>#N/A</v>
      </c>
      <c r="QO159" s="1" t="e">
        <v>#N/A</v>
      </c>
      <c r="QP159" s="1" t="e">
        <v>#N/A</v>
      </c>
    </row>
    <row r="160" spans="1:458" ht="26.25" x14ac:dyDescent="0.4">
      <c r="A160" s="347"/>
      <c r="B160" s="348"/>
      <c r="C160" s="288"/>
      <c r="D160" s="349"/>
      <c r="E160" s="350"/>
      <c r="F160" s="351"/>
      <c r="G160" s="352"/>
      <c r="H160" s="348"/>
      <c r="I160" s="353"/>
      <c r="J160" s="353"/>
      <c r="PJ160" s="1" t="e">
        <v>#N/A</v>
      </c>
      <c r="PK160" s="1" t="e">
        <v>#N/A</v>
      </c>
      <c r="PL160" s="1" t="e">
        <v>#N/A</v>
      </c>
      <c r="PM160" s="1" t="e">
        <v>#N/A</v>
      </c>
      <c r="PN160" s="1" t="e">
        <v>#N/A</v>
      </c>
      <c r="PO160" s="1" t="e">
        <v>#N/A</v>
      </c>
      <c r="PP160" s="1" t="e">
        <v>#N/A</v>
      </c>
      <c r="PQ160" s="1" t="e">
        <v>#N/A</v>
      </c>
      <c r="PR160" s="1" t="e">
        <v>#N/A</v>
      </c>
      <c r="PS160" s="1" t="e">
        <v>#N/A</v>
      </c>
      <c r="PT160" s="1" t="e">
        <v>#N/A</v>
      </c>
      <c r="PU160" s="1" t="e">
        <v>#N/A</v>
      </c>
      <c r="PV160" s="1" t="e">
        <v>#N/A</v>
      </c>
      <c r="PW160" s="1" t="e">
        <v>#N/A</v>
      </c>
      <c r="PX160" s="1" t="e">
        <v>#N/A</v>
      </c>
      <c r="PY160" s="1" t="e">
        <v>#N/A</v>
      </c>
      <c r="PZ160" s="1" t="e">
        <v>#N/A</v>
      </c>
      <c r="QA160" s="1" t="e">
        <v>#N/A</v>
      </c>
      <c r="QB160" s="1" t="e">
        <v>#N/A</v>
      </c>
      <c r="QC160" s="1" t="e">
        <v>#N/A</v>
      </c>
      <c r="QD160" s="1" t="e">
        <v>#N/A</v>
      </c>
      <c r="QE160" s="1" t="e">
        <v>#N/A</v>
      </c>
      <c r="QF160" s="1" t="e">
        <v>#N/A</v>
      </c>
      <c r="QG160" s="1" t="e">
        <v>#N/A</v>
      </c>
      <c r="QH160" s="1" t="e">
        <v>#N/A</v>
      </c>
      <c r="QI160" s="1" t="e">
        <v>#N/A</v>
      </c>
      <c r="QJ160" s="1" t="e">
        <v>#N/A</v>
      </c>
      <c r="QK160" s="1" t="e">
        <v>#N/A</v>
      </c>
      <c r="QL160" s="1" t="e">
        <v>#N/A</v>
      </c>
      <c r="QM160" s="1" t="e">
        <v>#N/A</v>
      </c>
      <c r="QN160" s="1" t="e">
        <v>#N/A</v>
      </c>
      <c r="QO160" s="1" t="e">
        <v>#N/A</v>
      </c>
      <c r="QP160" s="1" t="e">
        <v>#N/A</v>
      </c>
    </row>
    <row r="161" spans="1:458" ht="26.25" x14ac:dyDescent="0.4">
      <c r="A161" s="347"/>
      <c r="B161" s="348"/>
      <c r="C161" s="288"/>
      <c r="D161" s="349"/>
      <c r="E161" s="350"/>
      <c r="F161" s="351"/>
      <c r="G161" s="352"/>
      <c r="H161" s="348"/>
      <c r="I161" s="353"/>
      <c r="J161" s="353"/>
      <c r="PJ161" s="1" t="e">
        <v>#N/A</v>
      </c>
      <c r="PK161" s="1" t="e">
        <v>#N/A</v>
      </c>
      <c r="PL161" s="1" t="e">
        <v>#N/A</v>
      </c>
      <c r="PM161" s="1" t="e">
        <v>#N/A</v>
      </c>
      <c r="PN161" s="1" t="e">
        <v>#N/A</v>
      </c>
      <c r="PO161" s="1" t="e">
        <v>#N/A</v>
      </c>
      <c r="PP161" s="1" t="e">
        <v>#N/A</v>
      </c>
      <c r="PQ161" s="1" t="e">
        <v>#N/A</v>
      </c>
      <c r="PR161" s="1" t="e">
        <v>#N/A</v>
      </c>
      <c r="PS161" s="1" t="e">
        <v>#N/A</v>
      </c>
      <c r="PT161" s="1" t="e">
        <v>#N/A</v>
      </c>
      <c r="PU161" s="1" t="e">
        <v>#N/A</v>
      </c>
      <c r="PV161" s="1" t="e">
        <v>#N/A</v>
      </c>
      <c r="PW161" s="1" t="e">
        <v>#N/A</v>
      </c>
      <c r="PX161" s="1" t="e">
        <v>#N/A</v>
      </c>
      <c r="PY161" s="1" t="e">
        <v>#N/A</v>
      </c>
      <c r="PZ161" s="1" t="e">
        <v>#N/A</v>
      </c>
      <c r="QA161" s="1" t="e">
        <v>#N/A</v>
      </c>
      <c r="QB161" s="1" t="e">
        <v>#N/A</v>
      </c>
      <c r="QC161" s="1" t="e">
        <v>#N/A</v>
      </c>
      <c r="QD161" s="1" t="e">
        <v>#N/A</v>
      </c>
      <c r="QE161" s="1" t="e">
        <v>#N/A</v>
      </c>
      <c r="QF161" s="1" t="e">
        <v>#N/A</v>
      </c>
      <c r="QG161" s="1" t="e">
        <v>#N/A</v>
      </c>
      <c r="QH161" s="1" t="e">
        <v>#N/A</v>
      </c>
      <c r="QI161" s="1" t="e">
        <v>#N/A</v>
      </c>
      <c r="QJ161" s="1" t="e">
        <v>#N/A</v>
      </c>
      <c r="QK161" s="1" t="e">
        <v>#N/A</v>
      </c>
      <c r="QL161" s="1" t="e">
        <v>#N/A</v>
      </c>
      <c r="QM161" s="1" t="e">
        <v>#N/A</v>
      </c>
      <c r="QN161" s="1" t="e">
        <v>#N/A</v>
      </c>
      <c r="QO161" s="1" t="e">
        <v>#N/A</v>
      </c>
      <c r="QP161" s="1" t="e">
        <v>#N/A</v>
      </c>
    </row>
    <row r="162" spans="1:458" ht="26.25" x14ac:dyDescent="0.4">
      <c r="A162" s="347"/>
      <c r="B162" s="348"/>
      <c r="C162" s="288"/>
      <c r="D162" s="349"/>
      <c r="E162" s="350"/>
      <c r="F162" s="351"/>
      <c r="G162" s="352"/>
      <c r="H162" s="348"/>
      <c r="I162" s="353"/>
      <c r="J162" s="353"/>
      <c r="PJ162" s="1" t="e">
        <v>#N/A</v>
      </c>
      <c r="PK162" s="1" t="e">
        <v>#N/A</v>
      </c>
      <c r="PL162" s="1" t="e">
        <v>#N/A</v>
      </c>
      <c r="PM162" s="1" t="e">
        <v>#N/A</v>
      </c>
      <c r="PN162" s="1" t="e">
        <v>#N/A</v>
      </c>
      <c r="PO162" s="1" t="e">
        <v>#N/A</v>
      </c>
      <c r="PP162" s="1" t="e">
        <v>#N/A</v>
      </c>
      <c r="PQ162" s="1" t="e">
        <v>#N/A</v>
      </c>
      <c r="PR162" s="1" t="e">
        <v>#N/A</v>
      </c>
      <c r="PS162" s="1" t="e">
        <v>#N/A</v>
      </c>
      <c r="PT162" s="1" t="e">
        <v>#N/A</v>
      </c>
      <c r="PU162" s="1" t="e">
        <v>#N/A</v>
      </c>
      <c r="PV162" s="1" t="e">
        <v>#N/A</v>
      </c>
      <c r="PW162" s="1" t="e">
        <v>#N/A</v>
      </c>
      <c r="PX162" s="1" t="e">
        <v>#N/A</v>
      </c>
      <c r="PY162" s="1" t="e">
        <v>#N/A</v>
      </c>
      <c r="PZ162" s="1" t="e">
        <v>#N/A</v>
      </c>
      <c r="QA162" s="1" t="e">
        <v>#N/A</v>
      </c>
      <c r="QB162" s="1" t="e">
        <v>#N/A</v>
      </c>
      <c r="QC162" s="1" t="e">
        <v>#N/A</v>
      </c>
      <c r="QD162" s="1" t="e">
        <v>#N/A</v>
      </c>
      <c r="QE162" s="1" t="e">
        <v>#N/A</v>
      </c>
      <c r="QF162" s="1" t="e">
        <v>#N/A</v>
      </c>
      <c r="QG162" s="1" t="e">
        <v>#N/A</v>
      </c>
      <c r="QH162" s="1" t="e">
        <v>#N/A</v>
      </c>
      <c r="QI162" s="1" t="e">
        <v>#N/A</v>
      </c>
      <c r="QJ162" s="1" t="e">
        <v>#N/A</v>
      </c>
      <c r="QK162" s="1" t="e">
        <v>#N/A</v>
      </c>
      <c r="QL162" s="1" t="e">
        <v>#N/A</v>
      </c>
      <c r="QM162" s="1" t="e">
        <v>#N/A</v>
      </c>
      <c r="QN162" s="1" t="e">
        <v>#N/A</v>
      </c>
      <c r="QO162" s="1" t="e">
        <v>#N/A</v>
      </c>
      <c r="QP162" s="1" t="e">
        <v>#N/A</v>
      </c>
    </row>
    <row r="163" spans="1:458" ht="26.25" x14ac:dyDescent="0.4">
      <c r="A163" s="347"/>
      <c r="B163" s="348"/>
      <c r="C163" s="288"/>
      <c r="D163" s="349"/>
      <c r="E163" s="350"/>
      <c r="F163" s="351"/>
      <c r="G163" s="352"/>
      <c r="H163" s="348"/>
      <c r="I163" s="353"/>
      <c r="J163" s="353"/>
      <c r="PJ163" s="1" t="e">
        <v>#N/A</v>
      </c>
      <c r="PK163" s="1" t="e">
        <v>#N/A</v>
      </c>
      <c r="PL163" s="1" t="e">
        <v>#N/A</v>
      </c>
      <c r="PM163" s="1" t="e">
        <v>#N/A</v>
      </c>
      <c r="PN163" s="1" t="e">
        <v>#N/A</v>
      </c>
      <c r="PO163" s="1" t="e">
        <v>#N/A</v>
      </c>
      <c r="PP163" s="1" t="e">
        <v>#N/A</v>
      </c>
      <c r="PQ163" s="1" t="e">
        <v>#N/A</v>
      </c>
      <c r="PR163" s="1" t="e">
        <v>#N/A</v>
      </c>
      <c r="PS163" s="1" t="e">
        <v>#N/A</v>
      </c>
      <c r="PT163" s="1" t="e">
        <v>#N/A</v>
      </c>
      <c r="PU163" s="1" t="e">
        <v>#N/A</v>
      </c>
      <c r="PV163" s="1" t="e">
        <v>#N/A</v>
      </c>
      <c r="PW163" s="1" t="e">
        <v>#N/A</v>
      </c>
      <c r="PX163" s="1" t="e">
        <v>#N/A</v>
      </c>
      <c r="PY163" s="1" t="e">
        <v>#N/A</v>
      </c>
      <c r="PZ163" s="1" t="e">
        <v>#N/A</v>
      </c>
      <c r="QA163" s="1" t="e">
        <v>#N/A</v>
      </c>
      <c r="QB163" s="1" t="e">
        <v>#N/A</v>
      </c>
      <c r="QC163" s="1" t="e">
        <v>#N/A</v>
      </c>
      <c r="QD163" s="1" t="e">
        <v>#N/A</v>
      </c>
      <c r="QE163" s="1" t="e">
        <v>#N/A</v>
      </c>
      <c r="QF163" s="1" t="e">
        <v>#N/A</v>
      </c>
      <c r="QG163" s="1" t="e">
        <v>#N/A</v>
      </c>
      <c r="QH163" s="1" t="e">
        <v>#N/A</v>
      </c>
      <c r="QI163" s="1" t="e">
        <v>#N/A</v>
      </c>
      <c r="QJ163" s="1" t="e">
        <v>#N/A</v>
      </c>
      <c r="QK163" s="1" t="e">
        <v>#N/A</v>
      </c>
      <c r="QL163" s="1" t="e">
        <v>#N/A</v>
      </c>
      <c r="QM163" s="1" t="e">
        <v>#N/A</v>
      </c>
      <c r="QN163" s="1" t="e">
        <v>#N/A</v>
      </c>
      <c r="QO163" s="1" t="e">
        <v>#N/A</v>
      </c>
      <c r="QP163" s="1" t="e">
        <v>#N/A</v>
      </c>
    </row>
    <row r="164" spans="1:458" ht="26.25" x14ac:dyDescent="0.4">
      <c r="A164" s="347"/>
      <c r="B164" s="348"/>
      <c r="C164" s="288"/>
      <c r="D164" s="349"/>
      <c r="E164" s="350"/>
      <c r="F164" s="351"/>
      <c r="G164" s="352"/>
      <c r="H164" s="348"/>
      <c r="I164" s="353"/>
      <c r="J164" s="353"/>
      <c r="PJ164" s="1" t="e">
        <v>#N/A</v>
      </c>
      <c r="PK164" s="1" t="e">
        <v>#N/A</v>
      </c>
      <c r="PL164" s="1" t="e">
        <v>#N/A</v>
      </c>
      <c r="PM164" s="1" t="e">
        <v>#N/A</v>
      </c>
      <c r="PN164" s="1" t="e">
        <v>#N/A</v>
      </c>
      <c r="PO164" s="1" t="e">
        <v>#N/A</v>
      </c>
      <c r="PP164" s="1" t="e">
        <v>#N/A</v>
      </c>
      <c r="PQ164" s="1" t="e">
        <v>#N/A</v>
      </c>
      <c r="PR164" s="1" t="e">
        <v>#N/A</v>
      </c>
      <c r="PS164" s="1" t="e">
        <v>#N/A</v>
      </c>
      <c r="PT164" s="1" t="e">
        <v>#N/A</v>
      </c>
      <c r="PU164" s="1" t="e">
        <v>#N/A</v>
      </c>
      <c r="PV164" s="1" t="e">
        <v>#N/A</v>
      </c>
      <c r="PW164" s="1" t="e">
        <v>#N/A</v>
      </c>
      <c r="PX164" s="1" t="e">
        <v>#N/A</v>
      </c>
      <c r="PY164" s="1" t="e">
        <v>#N/A</v>
      </c>
      <c r="PZ164" s="1" t="e">
        <v>#N/A</v>
      </c>
      <c r="QA164" s="1" t="e">
        <v>#N/A</v>
      </c>
      <c r="QB164" s="1" t="e">
        <v>#N/A</v>
      </c>
      <c r="QC164" s="1" t="e">
        <v>#N/A</v>
      </c>
      <c r="QD164" s="1" t="e">
        <v>#N/A</v>
      </c>
      <c r="QE164" s="1" t="e">
        <v>#N/A</v>
      </c>
      <c r="QF164" s="1" t="e">
        <v>#N/A</v>
      </c>
      <c r="QG164" s="1" t="e">
        <v>#N/A</v>
      </c>
      <c r="QH164" s="1" t="e">
        <v>#N/A</v>
      </c>
      <c r="QI164" s="1" t="e">
        <v>#N/A</v>
      </c>
      <c r="QJ164" s="1" t="e">
        <v>#N/A</v>
      </c>
      <c r="QK164" s="1" t="e">
        <v>#N/A</v>
      </c>
      <c r="QL164" s="1" t="e">
        <v>#N/A</v>
      </c>
      <c r="QM164" s="1" t="e">
        <v>#N/A</v>
      </c>
      <c r="QN164" s="1" t="e">
        <v>#N/A</v>
      </c>
      <c r="QO164" s="1" t="e">
        <v>#N/A</v>
      </c>
      <c r="QP164" s="1" t="e">
        <v>#N/A</v>
      </c>
    </row>
    <row r="165" spans="1:458" ht="26.25" x14ac:dyDescent="0.4">
      <c r="A165" s="347"/>
      <c r="B165" s="348"/>
      <c r="C165" s="288"/>
      <c r="D165" s="349"/>
      <c r="E165" s="350"/>
      <c r="F165" s="351"/>
      <c r="G165" s="352"/>
      <c r="H165" s="348"/>
      <c r="I165" s="353"/>
      <c r="J165" s="353"/>
      <c r="PJ165" s="1" t="e">
        <v>#N/A</v>
      </c>
      <c r="PK165" s="1" t="e">
        <v>#N/A</v>
      </c>
      <c r="PL165" s="1" t="e">
        <v>#N/A</v>
      </c>
      <c r="PM165" s="1" t="e">
        <v>#N/A</v>
      </c>
      <c r="PN165" s="1" t="e">
        <v>#N/A</v>
      </c>
      <c r="PO165" s="1" t="e">
        <v>#N/A</v>
      </c>
      <c r="PP165" s="1" t="e">
        <v>#N/A</v>
      </c>
      <c r="PQ165" s="1" t="e">
        <v>#N/A</v>
      </c>
      <c r="PR165" s="1" t="e">
        <v>#N/A</v>
      </c>
      <c r="PS165" s="1" t="e">
        <v>#N/A</v>
      </c>
      <c r="PT165" s="1" t="e">
        <v>#N/A</v>
      </c>
      <c r="PU165" s="1" t="e">
        <v>#N/A</v>
      </c>
      <c r="PV165" s="1" t="e">
        <v>#N/A</v>
      </c>
      <c r="PW165" s="1" t="e">
        <v>#N/A</v>
      </c>
      <c r="PX165" s="1" t="e">
        <v>#N/A</v>
      </c>
      <c r="PY165" s="1" t="e">
        <v>#N/A</v>
      </c>
      <c r="PZ165" s="1" t="e">
        <v>#N/A</v>
      </c>
      <c r="QA165" s="1" t="e">
        <v>#N/A</v>
      </c>
      <c r="QB165" s="1" t="e">
        <v>#N/A</v>
      </c>
      <c r="QC165" s="1" t="e">
        <v>#N/A</v>
      </c>
      <c r="QD165" s="1" t="e">
        <v>#N/A</v>
      </c>
      <c r="QE165" s="1" t="e">
        <v>#N/A</v>
      </c>
      <c r="QF165" s="1" t="e">
        <v>#N/A</v>
      </c>
      <c r="QG165" s="1" t="e">
        <v>#N/A</v>
      </c>
      <c r="QH165" s="1" t="e">
        <v>#N/A</v>
      </c>
      <c r="QI165" s="1" t="e">
        <v>#N/A</v>
      </c>
      <c r="QJ165" s="1" t="e">
        <v>#N/A</v>
      </c>
      <c r="QK165" s="1" t="e">
        <v>#N/A</v>
      </c>
      <c r="QL165" s="1" t="e">
        <v>#N/A</v>
      </c>
      <c r="QM165" s="1" t="e">
        <v>#N/A</v>
      </c>
      <c r="QN165" s="1" t="e">
        <v>#N/A</v>
      </c>
      <c r="QO165" s="1" t="e">
        <v>#N/A</v>
      </c>
      <c r="QP165" s="1" t="e">
        <v>#N/A</v>
      </c>
    </row>
    <row r="166" spans="1:458" ht="26.25" x14ac:dyDescent="0.4">
      <c r="A166" s="347"/>
      <c r="B166" s="348"/>
      <c r="C166" s="288"/>
      <c r="D166" s="349"/>
      <c r="E166" s="350"/>
      <c r="F166" s="351"/>
      <c r="G166" s="352"/>
      <c r="H166" s="348"/>
      <c r="I166" s="353"/>
      <c r="J166" s="353"/>
      <c r="PJ166" s="1" t="e">
        <v>#N/A</v>
      </c>
      <c r="PK166" s="1" t="e">
        <v>#N/A</v>
      </c>
      <c r="PL166" s="1" t="e">
        <v>#N/A</v>
      </c>
      <c r="PM166" s="1" t="e">
        <v>#N/A</v>
      </c>
      <c r="PN166" s="1" t="e">
        <v>#N/A</v>
      </c>
      <c r="PO166" s="1" t="e">
        <v>#N/A</v>
      </c>
      <c r="PP166" s="1" t="e">
        <v>#N/A</v>
      </c>
      <c r="PQ166" s="1" t="e">
        <v>#N/A</v>
      </c>
      <c r="PR166" s="1" t="e">
        <v>#N/A</v>
      </c>
      <c r="PS166" s="1" t="e">
        <v>#N/A</v>
      </c>
      <c r="PT166" s="1" t="e">
        <v>#N/A</v>
      </c>
      <c r="PU166" s="1" t="e">
        <v>#N/A</v>
      </c>
      <c r="PV166" s="1" t="e">
        <v>#N/A</v>
      </c>
      <c r="PW166" s="1" t="e">
        <v>#N/A</v>
      </c>
      <c r="PX166" s="1" t="e">
        <v>#N/A</v>
      </c>
      <c r="PY166" s="1" t="e">
        <v>#N/A</v>
      </c>
      <c r="PZ166" s="1" t="e">
        <v>#N/A</v>
      </c>
      <c r="QA166" s="1" t="e">
        <v>#N/A</v>
      </c>
      <c r="QB166" s="1" t="e">
        <v>#N/A</v>
      </c>
      <c r="QC166" s="1" t="e">
        <v>#N/A</v>
      </c>
      <c r="QD166" s="1" t="e">
        <v>#N/A</v>
      </c>
      <c r="QE166" s="1" t="e">
        <v>#N/A</v>
      </c>
      <c r="QF166" s="1" t="e">
        <v>#N/A</v>
      </c>
      <c r="QG166" s="1" t="e">
        <v>#N/A</v>
      </c>
      <c r="QH166" s="1" t="e">
        <v>#N/A</v>
      </c>
      <c r="QI166" s="1" t="e">
        <v>#N/A</v>
      </c>
      <c r="QJ166" s="1" t="e">
        <v>#N/A</v>
      </c>
      <c r="QK166" s="1" t="e">
        <v>#N/A</v>
      </c>
      <c r="QL166" s="1" t="e">
        <v>#N/A</v>
      </c>
      <c r="QM166" s="1" t="e">
        <v>#N/A</v>
      </c>
      <c r="QN166" s="1" t="e">
        <v>#N/A</v>
      </c>
      <c r="QO166" s="1" t="e">
        <v>#N/A</v>
      </c>
      <c r="QP166" s="1" t="e">
        <v>#N/A</v>
      </c>
    </row>
    <row r="167" spans="1:458" ht="26.25" x14ac:dyDescent="0.4">
      <c r="A167" s="347"/>
      <c r="B167" s="348"/>
      <c r="C167" s="288"/>
      <c r="D167" s="349"/>
      <c r="E167" s="350"/>
      <c r="F167" s="351"/>
      <c r="G167" s="352"/>
      <c r="H167" s="348"/>
      <c r="I167" s="353"/>
      <c r="J167" s="353"/>
      <c r="PJ167" s="1" t="e">
        <v>#N/A</v>
      </c>
      <c r="PK167" s="1" t="e">
        <v>#N/A</v>
      </c>
      <c r="PL167" s="1" t="e">
        <v>#N/A</v>
      </c>
      <c r="PM167" s="1" t="e">
        <v>#N/A</v>
      </c>
      <c r="PN167" s="1" t="e">
        <v>#N/A</v>
      </c>
      <c r="PO167" s="1" t="e">
        <v>#N/A</v>
      </c>
      <c r="PP167" s="1" t="e">
        <v>#N/A</v>
      </c>
      <c r="PQ167" s="1" t="e">
        <v>#N/A</v>
      </c>
      <c r="PR167" s="1" t="e">
        <v>#N/A</v>
      </c>
      <c r="PS167" s="1" t="e">
        <v>#N/A</v>
      </c>
      <c r="PT167" s="1" t="e">
        <v>#N/A</v>
      </c>
      <c r="PU167" s="1" t="e">
        <v>#N/A</v>
      </c>
      <c r="PV167" s="1" t="e">
        <v>#N/A</v>
      </c>
      <c r="PW167" s="1" t="e">
        <v>#N/A</v>
      </c>
      <c r="PX167" s="1" t="e">
        <v>#N/A</v>
      </c>
      <c r="PY167" s="1" t="e">
        <v>#N/A</v>
      </c>
      <c r="PZ167" s="1" t="e">
        <v>#N/A</v>
      </c>
      <c r="QA167" s="1" t="e">
        <v>#N/A</v>
      </c>
      <c r="QB167" s="1" t="e">
        <v>#N/A</v>
      </c>
      <c r="QC167" s="1" t="e">
        <v>#N/A</v>
      </c>
      <c r="QD167" s="1" t="e">
        <v>#N/A</v>
      </c>
      <c r="QE167" s="1" t="e">
        <v>#N/A</v>
      </c>
      <c r="QF167" s="1" t="e">
        <v>#N/A</v>
      </c>
      <c r="QG167" s="1" t="e">
        <v>#N/A</v>
      </c>
      <c r="QH167" s="1" t="e">
        <v>#N/A</v>
      </c>
      <c r="QI167" s="1" t="e">
        <v>#N/A</v>
      </c>
      <c r="QJ167" s="1" t="e">
        <v>#N/A</v>
      </c>
      <c r="QK167" s="1" t="e">
        <v>#N/A</v>
      </c>
      <c r="QL167" s="1" t="e">
        <v>#N/A</v>
      </c>
      <c r="QM167" s="1" t="e">
        <v>#N/A</v>
      </c>
      <c r="QN167" s="1" t="e">
        <v>#N/A</v>
      </c>
      <c r="QO167" s="1" t="e">
        <v>#N/A</v>
      </c>
      <c r="QP167" s="1" t="e">
        <v>#N/A</v>
      </c>
    </row>
    <row r="168" spans="1:458" ht="26.25" x14ac:dyDescent="0.4">
      <c r="A168" s="347"/>
      <c r="B168" s="348"/>
      <c r="C168" s="288"/>
      <c r="D168" s="349"/>
      <c r="E168" s="350"/>
      <c r="F168" s="351"/>
      <c r="G168" s="352"/>
      <c r="H168" s="348"/>
      <c r="I168" s="353"/>
      <c r="J168" s="353"/>
      <c r="PJ168" s="1" t="e">
        <v>#N/A</v>
      </c>
      <c r="PK168" s="1" t="e">
        <v>#N/A</v>
      </c>
      <c r="PL168" s="1" t="e">
        <v>#N/A</v>
      </c>
      <c r="PM168" s="1" t="e">
        <v>#N/A</v>
      </c>
      <c r="PN168" s="1" t="e">
        <v>#N/A</v>
      </c>
      <c r="PO168" s="1" t="e">
        <v>#N/A</v>
      </c>
      <c r="PP168" s="1" t="e">
        <v>#N/A</v>
      </c>
      <c r="PQ168" s="1" t="e">
        <v>#N/A</v>
      </c>
      <c r="PR168" s="1" t="e">
        <v>#N/A</v>
      </c>
      <c r="PS168" s="1" t="e">
        <v>#N/A</v>
      </c>
      <c r="PT168" s="1" t="e">
        <v>#N/A</v>
      </c>
      <c r="PU168" s="1" t="e">
        <v>#N/A</v>
      </c>
      <c r="PV168" s="1" t="e">
        <v>#N/A</v>
      </c>
      <c r="PW168" s="1" t="e">
        <v>#N/A</v>
      </c>
      <c r="PX168" s="1" t="e">
        <v>#N/A</v>
      </c>
      <c r="PY168" s="1" t="e">
        <v>#N/A</v>
      </c>
      <c r="PZ168" s="1" t="e">
        <v>#N/A</v>
      </c>
      <c r="QA168" s="1" t="e">
        <v>#N/A</v>
      </c>
      <c r="QB168" s="1" t="e">
        <v>#N/A</v>
      </c>
      <c r="QC168" s="1" t="e">
        <v>#N/A</v>
      </c>
      <c r="QD168" s="1" t="e">
        <v>#N/A</v>
      </c>
      <c r="QE168" s="1" t="e">
        <v>#N/A</v>
      </c>
      <c r="QF168" s="1" t="e">
        <v>#N/A</v>
      </c>
      <c r="QG168" s="1" t="e">
        <v>#N/A</v>
      </c>
      <c r="QH168" s="1" t="e">
        <v>#N/A</v>
      </c>
      <c r="QI168" s="1" t="e">
        <v>#N/A</v>
      </c>
      <c r="QJ168" s="1" t="e">
        <v>#N/A</v>
      </c>
      <c r="QK168" s="1" t="e">
        <v>#N/A</v>
      </c>
      <c r="QL168" s="1" t="e">
        <v>#N/A</v>
      </c>
      <c r="QM168" s="1" t="e">
        <v>#N/A</v>
      </c>
      <c r="QN168" s="1" t="e">
        <v>#N/A</v>
      </c>
      <c r="QO168" s="1" t="e">
        <v>#N/A</v>
      </c>
      <c r="QP168" s="1" t="e">
        <v>#N/A</v>
      </c>
    </row>
    <row r="169" spans="1:458" ht="26.25" x14ac:dyDescent="0.4">
      <c r="A169" s="347"/>
      <c r="B169" s="348"/>
      <c r="C169" s="288"/>
      <c r="D169" s="349"/>
      <c r="E169" s="350"/>
      <c r="F169" s="351"/>
      <c r="G169" s="352"/>
      <c r="H169" s="348"/>
      <c r="I169" s="353"/>
      <c r="J169" s="353"/>
      <c r="PJ169" s="1" t="e">
        <v>#N/A</v>
      </c>
      <c r="PK169" s="1" t="e">
        <v>#N/A</v>
      </c>
      <c r="PL169" s="1" t="e">
        <v>#N/A</v>
      </c>
      <c r="PM169" s="1" t="e">
        <v>#N/A</v>
      </c>
      <c r="PN169" s="1" t="e">
        <v>#N/A</v>
      </c>
      <c r="PO169" s="1" t="e">
        <v>#N/A</v>
      </c>
      <c r="PP169" s="1" t="e">
        <v>#N/A</v>
      </c>
      <c r="PQ169" s="1" t="e">
        <v>#N/A</v>
      </c>
      <c r="PR169" s="1" t="e">
        <v>#N/A</v>
      </c>
      <c r="PS169" s="1" t="e">
        <v>#N/A</v>
      </c>
      <c r="PT169" s="1" t="e">
        <v>#N/A</v>
      </c>
      <c r="PU169" s="1" t="e">
        <v>#N/A</v>
      </c>
      <c r="PV169" s="1" t="e">
        <v>#N/A</v>
      </c>
      <c r="PW169" s="1" t="e">
        <v>#N/A</v>
      </c>
      <c r="PX169" s="1" t="e">
        <v>#N/A</v>
      </c>
      <c r="PY169" s="1" t="e">
        <v>#N/A</v>
      </c>
      <c r="PZ169" s="1" t="e">
        <v>#N/A</v>
      </c>
      <c r="QA169" s="1" t="e">
        <v>#N/A</v>
      </c>
      <c r="QB169" s="1" t="e">
        <v>#N/A</v>
      </c>
      <c r="QC169" s="1" t="e">
        <v>#N/A</v>
      </c>
      <c r="QD169" s="1" t="e">
        <v>#N/A</v>
      </c>
      <c r="QE169" s="1" t="e">
        <v>#N/A</v>
      </c>
      <c r="QF169" s="1" t="e">
        <v>#N/A</v>
      </c>
      <c r="QG169" s="1" t="e">
        <v>#N/A</v>
      </c>
      <c r="QH169" s="1" t="e">
        <v>#N/A</v>
      </c>
      <c r="QI169" s="1" t="e">
        <v>#N/A</v>
      </c>
      <c r="QJ169" s="1" t="e">
        <v>#N/A</v>
      </c>
      <c r="QK169" s="1" t="e">
        <v>#N/A</v>
      </c>
      <c r="QL169" s="1" t="e">
        <v>#N/A</v>
      </c>
      <c r="QM169" s="1" t="e">
        <v>#N/A</v>
      </c>
      <c r="QN169" s="1" t="e">
        <v>#N/A</v>
      </c>
      <c r="QO169" s="1" t="e">
        <v>#N/A</v>
      </c>
      <c r="QP169" s="1" t="e">
        <v>#N/A</v>
      </c>
    </row>
    <row r="170" spans="1:458" ht="26.25" x14ac:dyDescent="0.4">
      <c r="A170" s="347"/>
      <c r="B170" s="348"/>
      <c r="C170" s="288"/>
      <c r="D170" s="349"/>
      <c r="E170" s="350"/>
      <c r="F170" s="351"/>
      <c r="G170" s="352"/>
      <c r="H170" s="348"/>
      <c r="I170" s="353"/>
      <c r="J170" s="353"/>
      <c r="PJ170" s="1" t="e">
        <v>#N/A</v>
      </c>
      <c r="PK170" s="1" t="e">
        <v>#N/A</v>
      </c>
      <c r="PL170" s="1" t="e">
        <v>#N/A</v>
      </c>
      <c r="PM170" s="1" t="e">
        <v>#N/A</v>
      </c>
      <c r="PN170" s="1" t="e">
        <v>#N/A</v>
      </c>
      <c r="PO170" s="1" t="e">
        <v>#N/A</v>
      </c>
      <c r="PP170" s="1" t="e">
        <v>#N/A</v>
      </c>
      <c r="PQ170" s="1" t="e">
        <v>#N/A</v>
      </c>
      <c r="PR170" s="1" t="e">
        <v>#N/A</v>
      </c>
      <c r="PS170" s="1" t="e">
        <v>#N/A</v>
      </c>
      <c r="PT170" s="1" t="e">
        <v>#N/A</v>
      </c>
      <c r="PU170" s="1" t="e">
        <v>#N/A</v>
      </c>
      <c r="PV170" s="1" t="e">
        <v>#N/A</v>
      </c>
      <c r="PW170" s="1" t="e">
        <v>#N/A</v>
      </c>
      <c r="PX170" s="1" t="e">
        <v>#N/A</v>
      </c>
      <c r="PY170" s="1" t="e">
        <v>#N/A</v>
      </c>
      <c r="PZ170" s="1" t="e">
        <v>#N/A</v>
      </c>
      <c r="QA170" s="1" t="e">
        <v>#N/A</v>
      </c>
      <c r="QB170" s="1" t="e">
        <v>#N/A</v>
      </c>
      <c r="QC170" s="1" t="e">
        <v>#N/A</v>
      </c>
      <c r="QD170" s="1" t="e">
        <v>#N/A</v>
      </c>
      <c r="QE170" s="1" t="e">
        <v>#N/A</v>
      </c>
      <c r="QF170" s="1" t="e">
        <v>#N/A</v>
      </c>
      <c r="QG170" s="1" t="e">
        <v>#N/A</v>
      </c>
      <c r="QH170" s="1" t="e">
        <v>#N/A</v>
      </c>
      <c r="QI170" s="1" t="e">
        <v>#N/A</v>
      </c>
      <c r="QJ170" s="1" t="e">
        <v>#N/A</v>
      </c>
      <c r="QK170" s="1" t="e">
        <v>#N/A</v>
      </c>
      <c r="QL170" s="1" t="e">
        <v>#N/A</v>
      </c>
      <c r="QM170" s="1" t="e">
        <v>#N/A</v>
      </c>
      <c r="QN170" s="1" t="e">
        <v>#N/A</v>
      </c>
      <c r="QO170" s="1" t="e">
        <v>#N/A</v>
      </c>
      <c r="QP170" s="1" t="e">
        <v>#N/A</v>
      </c>
    </row>
    <row r="171" spans="1:458" ht="26.25" x14ac:dyDescent="0.4">
      <c r="A171" s="347"/>
      <c r="B171" s="348"/>
      <c r="C171" s="288"/>
      <c r="D171" s="349"/>
      <c r="E171" s="350"/>
      <c r="F171" s="351"/>
      <c r="G171" s="352"/>
      <c r="H171" s="348"/>
      <c r="I171" s="353"/>
      <c r="J171" s="353"/>
      <c r="PJ171" s="1" t="e">
        <v>#N/A</v>
      </c>
      <c r="PK171" s="1" t="e">
        <v>#N/A</v>
      </c>
      <c r="PL171" s="1" t="e">
        <v>#N/A</v>
      </c>
      <c r="PM171" s="1" t="e">
        <v>#N/A</v>
      </c>
      <c r="PN171" s="1" t="e">
        <v>#N/A</v>
      </c>
      <c r="PO171" s="1" t="e">
        <v>#N/A</v>
      </c>
      <c r="PP171" s="1" t="e">
        <v>#N/A</v>
      </c>
      <c r="PQ171" s="1" t="e">
        <v>#N/A</v>
      </c>
      <c r="PR171" s="1" t="e">
        <v>#N/A</v>
      </c>
      <c r="PS171" s="1" t="e">
        <v>#N/A</v>
      </c>
      <c r="PT171" s="1" t="e">
        <v>#N/A</v>
      </c>
      <c r="PU171" s="1" t="e">
        <v>#N/A</v>
      </c>
      <c r="PV171" s="1" t="e">
        <v>#N/A</v>
      </c>
      <c r="PW171" s="1" t="e">
        <v>#N/A</v>
      </c>
      <c r="PX171" s="1" t="e">
        <v>#N/A</v>
      </c>
      <c r="PY171" s="1" t="e">
        <v>#N/A</v>
      </c>
      <c r="PZ171" s="1" t="e">
        <v>#N/A</v>
      </c>
      <c r="QA171" s="1" t="e">
        <v>#N/A</v>
      </c>
      <c r="QB171" s="1" t="e">
        <v>#N/A</v>
      </c>
      <c r="QC171" s="1" t="e">
        <v>#N/A</v>
      </c>
      <c r="QD171" s="1" t="e">
        <v>#N/A</v>
      </c>
      <c r="QE171" s="1" t="e">
        <v>#N/A</v>
      </c>
      <c r="QF171" s="1" t="e">
        <v>#N/A</v>
      </c>
      <c r="QG171" s="1" t="e">
        <v>#N/A</v>
      </c>
      <c r="QH171" s="1" t="e">
        <v>#N/A</v>
      </c>
      <c r="QI171" s="1" t="e">
        <v>#N/A</v>
      </c>
      <c r="QJ171" s="1" t="e">
        <v>#N/A</v>
      </c>
      <c r="QK171" s="1" t="e">
        <v>#N/A</v>
      </c>
      <c r="QL171" s="1" t="e">
        <v>#N/A</v>
      </c>
      <c r="QM171" s="1" t="e">
        <v>#N/A</v>
      </c>
      <c r="QN171" s="1" t="e">
        <v>#N/A</v>
      </c>
      <c r="QO171" s="1" t="e">
        <v>#N/A</v>
      </c>
      <c r="QP171" s="1" t="e">
        <v>#N/A</v>
      </c>
    </row>
    <row r="172" spans="1:458" ht="26.25" x14ac:dyDescent="0.4">
      <c r="A172" s="347"/>
      <c r="B172" s="348"/>
      <c r="C172" s="288"/>
      <c r="D172" s="349"/>
      <c r="E172" s="350"/>
      <c r="F172" s="351"/>
      <c r="G172" s="352"/>
      <c r="H172" s="348"/>
      <c r="I172" s="353"/>
      <c r="J172" s="353"/>
      <c r="PJ172" s="1" t="e">
        <v>#N/A</v>
      </c>
      <c r="PK172" s="1" t="e">
        <v>#N/A</v>
      </c>
      <c r="PL172" s="1" t="e">
        <v>#N/A</v>
      </c>
      <c r="PM172" s="1" t="e">
        <v>#N/A</v>
      </c>
      <c r="PN172" s="1" t="e">
        <v>#N/A</v>
      </c>
      <c r="PO172" s="1" t="e">
        <v>#N/A</v>
      </c>
      <c r="PP172" s="1" t="e">
        <v>#N/A</v>
      </c>
      <c r="PQ172" s="1" t="e">
        <v>#N/A</v>
      </c>
      <c r="PR172" s="1" t="e">
        <v>#N/A</v>
      </c>
      <c r="PS172" s="1" t="e">
        <v>#N/A</v>
      </c>
      <c r="PT172" s="1" t="e">
        <v>#N/A</v>
      </c>
      <c r="PU172" s="1" t="e">
        <v>#N/A</v>
      </c>
      <c r="PV172" s="1" t="e">
        <v>#N/A</v>
      </c>
      <c r="PW172" s="1" t="e">
        <v>#N/A</v>
      </c>
      <c r="PX172" s="1" t="e">
        <v>#N/A</v>
      </c>
      <c r="PY172" s="1" t="e">
        <v>#N/A</v>
      </c>
      <c r="PZ172" s="1" t="e">
        <v>#N/A</v>
      </c>
      <c r="QA172" s="1" t="e">
        <v>#N/A</v>
      </c>
      <c r="QB172" s="1" t="e">
        <v>#N/A</v>
      </c>
      <c r="QC172" s="1" t="e">
        <v>#N/A</v>
      </c>
      <c r="QD172" s="1" t="e">
        <v>#N/A</v>
      </c>
      <c r="QE172" s="1" t="e">
        <v>#N/A</v>
      </c>
      <c r="QF172" s="1" t="e">
        <v>#N/A</v>
      </c>
      <c r="QG172" s="1" t="e">
        <v>#N/A</v>
      </c>
      <c r="QH172" s="1" t="e">
        <v>#N/A</v>
      </c>
      <c r="QI172" s="1" t="e">
        <v>#N/A</v>
      </c>
      <c r="QJ172" s="1" t="e">
        <v>#N/A</v>
      </c>
      <c r="QK172" s="1" t="e">
        <v>#N/A</v>
      </c>
      <c r="QL172" s="1" t="e">
        <v>#N/A</v>
      </c>
      <c r="QM172" s="1" t="e">
        <v>#N/A</v>
      </c>
      <c r="QN172" s="1" t="e">
        <v>#N/A</v>
      </c>
      <c r="QO172" s="1" t="e">
        <v>#N/A</v>
      </c>
      <c r="QP172" s="1" t="e">
        <v>#N/A</v>
      </c>
    </row>
    <row r="173" spans="1:458" ht="26.25" x14ac:dyDescent="0.4">
      <c r="A173" s="347"/>
      <c r="B173" s="348"/>
      <c r="C173" s="288"/>
      <c r="D173" s="349"/>
      <c r="E173" s="350"/>
      <c r="F173" s="351"/>
      <c r="G173" s="352"/>
      <c r="H173" s="348"/>
      <c r="I173" s="353"/>
      <c r="J173" s="353"/>
      <c r="PJ173" s="1" t="e">
        <v>#N/A</v>
      </c>
      <c r="PK173" s="1" t="e">
        <v>#N/A</v>
      </c>
      <c r="PL173" s="1" t="e">
        <v>#N/A</v>
      </c>
      <c r="PM173" s="1" t="e">
        <v>#N/A</v>
      </c>
      <c r="PN173" s="1" t="e">
        <v>#N/A</v>
      </c>
      <c r="PO173" s="1" t="e">
        <v>#N/A</v>
      </c>
      <c r="PP173" s="1" t="e">
        <v>#N/A</v>
      </c>
      <c r="PQ173" s="1" t="e">
        <v>#N/A</v>
      </c>
      <c r="PR173" s="1" t="e">
        <v>#N/A</v>
      </c>
      <c r="PS173" s="1" t="e">
        <v>#N/A</v>
      </c>
      <c r="PT173" s="1" t="e">
        <v>#N/A</v>
      </c>
      <c r="PU173" s="1" t="e">
        <v>#N/A</v>
      </c>
      <c r="PV173" s="1" t="e">
        <v>#N/A</v>
      </c>
      <c r="PW173" s="1" t="e">
        <v>#N/A</v>
      </c>
      <c r="PX173" s="1" t="e">
        <v>#N/A</v>
      </c>
      <c r="PY173" s="1" t="e">
        <v>#N/A</v>
      </c>
      <c r="PZ173" s="1" t="e">
        <v>#N/A</v>
      </c>
      <c r="QA173" s="1" t="e">
        <v>#N/A</v>
      </c>
      <c r="QB173" s="1" t="e">
        <v>#N/A</v>
      </c>
      <c r="QC173" s="1" t="e">
        <v>#N/A</v>
      </c>
      <c r="QD173" s="1" t="e">
        <v>#N/A</v>
      </c>
      <c r="QE173" s="1" t="e">
        <v>#N/A</v>
      </c>
      <c r="QF173" s="1" t="e">
        <v>#N/A</v>
      </c>
      <c r="QG173" s="1" t="e">
        <v>#N/A</v>
      </c>
      <c r="QH173" s="1" t="e">
        <v>#N/A</v>
      </c>
      <c r="QI173" s="1" t="e">
        <v>#N/A</v>
      </c>
      <c r="QJ173" s="1" t="e">
        <v>#N/A</v>
      </c>
      <c r="QK173" s="1" t="e">
        <v>#N/A</v>
      </c>
      <c r="QL173" s="1" t="e">
        <v>#N/A</v>
      </c>
      <c r="QM173" s="1" t="e">
        <v>#N/A</v>
      </c>
      <c r="QN173" s="1" t="e">
        <v>#N/A</v>
      </c>
      <c r="QO173" s="1" t="e">
        <v>#N/A</v>
      </c>
      <c r="QP173" s="1" t="e">
        <v>#N/A</v>
      </c>
    </row>
    <row r="174" spans="1:458" ht="26.25" x14ac:dyDescent="0.4">
      <c r="A174" s="347"/>
      <c r="B174" s="348"/>
      <c r="C174" s="288"/>
      <c r="D174" s="349"/>
      <c r="E174" s="350"/>
      <c r="F174" s="351"/>
      <c r="G174" s="352"/>
      <c r="H174" s="348"/>
      <c r="I174" s="353"/>
      <c r="J174" s="353"/>
      <c r="PJ174" s="1" t="e">
        <v>#N/A</v>
      </c>
      <c r="PK174" s="1" t="e">
        <v>#N/A</v>
      </c>
      <c r="PL174" s="1" t="e">
        <v>#N/A</v>
      </c>
      <c r="PM174" s="1" t="e">
        <v>#N/A</v>
      </c>
      <c r="PN174" s="1" t="e">
        <v>#N/A</v>
      </c>
      <c r="PO174" s="1" t="e">
        <v>#N/A</v>
      </c>
      <c r="PP174" s="1" t="e">
        <v>#N/A</v>
      </c>
      <c r="PQ174" s="1" t="e">
        <v>#N/A</v>
      </c>
      <c r="PR174" s="1" t="e">
        <v>#N/A</v>
      </c>
      <c r="PS174" s="1" t="e">
        <v>#N/A</v>
      </c>
      <c r="PT174" s="1" t="e">
        <v>#N/A</v>
      </c>
      <c r="PU174" s="1" t="e">
        <v>#N/A</v>
      </c>
      <c r="PV174" s="1" t="e">
        <v>#N/A</v>
      </c>
      <c r="PW174" s="1" t="e">
        <v>#N/A</v>
      </c>
      <c r="PX174" s="1" t="e">
        <v>#N/A</v>
      </c>
      <c r="PY174" s="1" t="e">
        <v>#N/A</v>
      </c>
      <c r="PZ174" s="1" t="e">
        <v>#N/A</v>
      </c>
      <c r="QA174" s="1" t="e">
        <v>#N/A</v>
      </c>
      <c r="QB174" s="1" t="e">
        <v>#N/A</v>
      </c>
      <c r="QC174" s="1" t="e">
        <v>#N/A</v>
      </c>
      <c r="QD174" s="1" t="e">
        <v>#N/A</v>
      </c>
      <c r="QE174" s="1" t="e">
        <v>#N/A</v>
      </c>
      <c r="QF174" s="1" t="e">
        <v>#N/A</v>
      </c>
      <c r="QG174" s="1" t="e">
        <v>#N/A</v>
      </c>
      <c r="QH174" s="1" t="e">
        <v>#N/A</v>
      </c>
      <c r="QI174" s="1" t="e">
        <v>#N/A</v>
      </c>
      <c r="QJ174" s="1" t="e">
        <v>#N/A</v>
      </c>
      <c r="QK174" s="1" t="e">
        <v>#N/A</v>
      </c>
      <c r="QL174" s="1" t="e">
        <v>#N/A</v>
      </c>
      <c r="QM174" s="1" t="e">
        <v>#N/A</v>
      </c>
      <c r="QN174" s="1" t="e">
        <v>#N/A</v>
      </c>
      <c r="QO174" s="1" t="e">
        <v>#N/A</v>
      </c>
      <c r="QP174" s="1" t="e">
        <v>#N/A</v>
      </c>
    </row>
    <row r="175" spans="1:458" ht="26.25" x14ac:dyDescent="0.4">
      <c r="A175" s="347"/>
      <c r="B175" s="348"/>
      <c r="C175" s="288"/>
      <c r="D175" s="349"/>
      <c r="E175" s="350"/>
      <c r="F175" s="351"/>
      <c r="G175" s="352"/>
      <c r="H175" s="348"/>
      <c r="I175" s="353"/>
      <c r="J175" s="353"/>
      <c r="PJ175" s="1" t="e">
        <v>#N/A</v>
      </c>
      <c r="PK175" s="1" t="e">
        <v>#N/A</v>
      </c>
      <c r="PL175" s="1" t="e">
        <v>#N/A</v>
      </c>
      <c r="PM175" s="1" t="e">
        <v>#N/A</v>
      </c>
      <c r="PN175" s="1" t="e">
        <v>#N/A</v>
      </c>
      <c r="PO175" s="1" t="e">
        <v>#N/A</v>
      </c>
      <c r="PP175" s="1" t="e">
        <v>#N/A</v>
      </c>
      <c r="PQ175" s="1" t="e">
        <v>#N/A</v>
      </c>
      <c r="PR175" s="1" t="e">
        <v>#N/A</v>
      </c>
      <c r="PS175" s="1" t="e">
        <v>#N/A</v>
      </c>
      <c r="PT175" s="1" t="e">
        <v>#N/A</v>
      </c>
      <c r="PU175" s="1" t="e">
        <v>#N/A</v>
      </c>
      <c r="PV175" s="1" t="e">
        <v>#N/A</v>
      </c>
      <c r="PW175" s="1" t="e">
        <v>#N/A</v>
      </c>
      <c r="PX175" s="1" t="e">
        <v>#N/A</v>
      </c>
      <c r="PY175" s="1" t="e">
        <v>#N/A</v>
      </c>
      <c r="PZ175" s="1" t="e">
        <v>#N/A</v>
      </c>
      <c r="QA175" s="1" t="e">
        <v>#N/A</v>
      </c>
      <c r="QB175" s="1" t="e">
        <v>#N/A</v>
      </c>
      <c r="QC175" s="1" t="e">
        <v>#N/A</v>
      </c>
      <c r="QD175" s="1" t="e">
        <v>#N/A</v>
      </c>
      <c r="QE175" s="1" t="e">
        <v>#N/A</v>
      </c>
      <c r="QF175" s="1" t="e">
        <v>#N/A</v>
      </c>
      <c r="QG175" s="1" t="e">
        <v>#N/A</v>
      </c>
      <c r="QH175" s="1" t="e">
        <v>#N/A</v>
      </c>
      <c r="QI175" s="1" t="e">
        <v>#N/A</v>
      </c>
      <c r="QJ175" s="1" t="e">
        <v>#N/A</v>
      </c>
      <c r="QK175" s="1" t="e">
        <v>#N/A</v>
      </c>
      <c r="QL175" s="1" t="e">
        <v>#N/A</v>
      </c>
      <c r="QM175" s="1" t="e">
        <v>#N/A</v>
      </c>
      <c r="QN175" s="1" t="e">
        <v>#N/A</v>
      </c>
      <c r="QO175" s="1" t="e">
        <v>#N/A</v>
      </c>
      <c r="QP175" s="1" t="e">
        <v>#N/A</v>
      </c>
    </row>
    <row r="176" spans="1:458" ht="26.25" x14ac:dyDescent="0.4">
      <c r="A176" s="347"/>
      <c r="B176" s="348"/>
      <c r="C176" s="288"/>
      <c r="D176" s="349"/>
      <c r="E176" s="350"/>
      <c r="F176" s="351"/>
      <c r="G176" s="352"/>
      <c r="H176" s="348"/>
      <c r="I176" s="353"/>
      <c r="J176" s="353"/>
      <c r="PJ176" s="1" t="e">
        <v>#N/A</v>
      </c>
      <c r="PK176" s="1" t="e">
        <v>#N/A</v>
      </c>
      <c r="PL176" s="1" t="e">
        <v>#N/A</v>
      </c>
      <c r="PM176" s="1" t="e">
        <v>#N/A</v>
      </c>
      <c r="PN176" s="1" t="e">
        <v>#N/A</v>
      </c>
      <c r="PO176" s="1" t="e">
        <v>#N/A</v>
      </c>
      <c r="PP176" s="1" t="e">
        <v>#N/A</v>
      </c>
      <c r="PQ176" s="1" t="e">
        <v>#N/A</v>
      </c>
      <c r="PR176" s="1" t="e">
        <v>#N/A</v>
      </c>
      <c r="PS176" s="1" t="e">
        <v>#N/A</v>
      </c>
      <c r="PT176" s="1" t="e">
        <v>#N/A</v>
      </c>
      <c r="PU176" s="1" t="e">
        <v>#N/A</v>
      </c>
      <c r="PV176" s="1" t="e">
        <v>#N/A</v>
      </c>
      <c r="PW176" s="1" t="e">
        <v>#N/A</v>
      </c>
      <c r="PX176" s="1" t="e">
        <v>#N/A</v>
      </c>
      <c r="PY176" s="1" t="e">
        <v>#N/A</v>
      </c>
      <c r="PZ176" s="1" t="e">
        <v>#N/A</v>
      </c>
      <c r="QA176" s="1" t="e">
        <v>#N/A</v>
      </c>
      <c r="QB176" s="1" t="e">
        <v>#N/A</v>
      </c>
      <c r="QC176" s="1" t="e">
        <v>#N/A</v>
      </c>
      <c r="QD176" s="1" t="e">
        <v>#N/A</v>
      </c>
      <c r="QE176" s="1" t="e">
        <v>#N/A</v>
      </c>
      <c r="QF176" s="1" t="e">
        <v>#N/A</v>
      </c>
      <c r="QG176" s="1" t="e">
        <v>#N/A</v>
      </c>
      <c r="QH176" s="1" t="e">
        <v>#N/A</v>
      </c>
      <c r="QI176" s="1" t="e">
        <v>#N/A</v>
      </c>
      <c r="QJ176" s="1" t="e">
        <v>#N/A</v>
      </c>
      <c r="QK176" s="1" t="e">
        <v>#N/A</v>
      </c>
      <c r="QL176" s="1" t="e">
        <v>#N/A</v>
      </c>
      <c r="QM176" s="1" t="e">
        <v>#N/A</v>
      </c>
      <c r="QN176" s="1" t="e">
        <v>#N/A</v>
      </c>
      <c r="QO176" s="1" t="e">
        <v>#N/A</v>
      </c>
      <c r="QP176" s="1" t="e">
        <v>#N/A</v>
      </c>
    </row>
    <row r="177" spans="1:458" ht="26.25" x14ac:dyDescent="0.4">
      <c r="A177" s="347"/>
      <c r="B177" s="348"/>
      <c r="C177" s="288"/>
      <c r="D177" s="349"/>
      <c r="E177" s="350"/>
      <c r="F177" s="351"/>
      <c r="G177" s="352"/>
      <c r="H177" s="348"/>
      <c r="I177" s="353"/>
      <c r="J177" s="353"/>
      <c r="PJ177" s="1" t="e">
        <v>#N/A</v>
      </c>
      <c r="PK177" s="1" t="e">
        <v>#N/A</v>
      </c>
      <c r="PL177" s="1" t="e">
        <v>#N/A</v>
      </c>
      <c r="PM177" s="1" t="e">
        <v>#N/A</v>
      </c>
      <c r="PN177" s="1" t="e">
        <v>#N/A</v>
      </c>
      <c r="PO177" s="1" t="e">
        <v>#N/A</v>
      </c>
      <c r="PP177" s="1" t="e">
        <v>#N/A</v>
      </c>
      <c r="PQ177" s="1" t="e">
        <v>#N/A</v>
      </c>
      <c r="PR177" s="1" t="e">
        <v>#N/A</v>
      </c>
      <c r="PS177" s="1" t="e">
        <v>#N/A</v>
      </c>
      <c r="PT177" s="1" t="e">
        <v>#N/A</v>
      </c>
      <c r="PU177" s="1" t="e">
        <v>#N/A</v>
      </c>
      <c r="PV177" s="1" t="e">
        <v>#N/A</v>
      </c>
      <c r="PW177" s="1" t="e">
        <v>#N/A</v>
      </c>
      <c r="PX177" s="1" t="e">
        <v>#N/A</v>
      </c>
      <c r="PY177" s="1" t="e">
        <v>#N/A</v>
      </c>
      <c r="PZ177" s="1" t="e">
        <v>#N/A</v>
      </c>
      <c r="QA177" s="1" t="e">
        <v>#N/A</v>
      </c>
      <c r="QB177" s="1" t="e">
        <v>#N/A</v>
      </c>
      <c r="QC177" s="1" t="e">
        <v>#N/A</v>
      </c>
      <c r="QD177" s="1" t="e">
        <v>#N/A</v>
      </c>
      <c r="QE177" s="1" t="e">
        <v>#N/A</v>
      </c>
      <c r="QF177" s="1" t="e">
        <v>#N/A</v>
      </c>
      <c r="QG177" s="1" t="e">
        <v>#N/A</v>
      </c>
      <c r="QH177" s="1" t="e">
        <v>#N/A</v>
      </c>
      <c r="QI177" s="1" t="e">
        <v>#N/A</v>
      </c>
      <c r="QJ177" s="1" t="e">
        <v>#N/A</v>
      </c>
      <c r="QK177" s="1" t="e">
        <v>#N/A</v>
      </c>
      <c r="QL177" s="1" t="e">
        <v>#N/A</v>
      </c>
      <c r="QM177" s="1" t="e">
        <v>#N/A</v>
      </c>
      <c r="QN177" s="1" t="e">
        <v>#N/A</v>
      </c>
      <c r="QO177" s="1" t="e">
        <v>#N/A</v>
      </c>
      <c r="QP177" s="1" t="e">
        <v>#N/A</v>
      </c>
    </row>
    <row r="178" spans="1:458" ht="26.25" x14ac:dyDescent="0.4">
      <c r="A178" s="347"/>
      <c r="B178" s="348"/>
      <c r="C178" s="288"/>
      <c r="D178" s="349"/>
      <c r="E178" s="350"/>
      <c r="F178" s="351"/>
      <c r="G178" s="352"/>
      <c r="H178" s="348"/>
      <c r="I178" s="353"/>
      <c r="J178" s="353"/>
      <c r="PJ178" s="1" t="e">
        <v>#N/A</v>
      </c>
      <c r="PK178" s="1" t="e">
        <v>#N/A</v>
      </c>
      <c r="PL178" s="1" t="e">
        <v>#N/A</v>
      </c>
      <c r="PM178" s="1" t="e">
        <v>#N/A</v>
      </c>
      <c r="PN178" s="1" t="e">
        <v>#N/A</v>
      </c>
      <c r="PO178" s="1" t="e">
        <v>#N/A</v>
      </c>
      <c r="PP178" s="1" t="e">
        <v>#N/A</v>
      </c>
      <c r="PQ178" s="1" t="e">
        <v>#N/A</v>
      </c>
      <c r="PR178" s="1" t="e">
        <v>#N/A</v>
      </c>
      <c r="PS178" s="1" t="e">
        <v>#N/A</v>
      </c>
      <c r="PT178" s="1" t="e">
        <v>#N/A</v>
      </c>
      <c r="PU178" s="1" t="e">
        <v>#N/A</v>
      </c>
      <c r="PV178" s="1" t="e">
        <v>#N/A</v>
      </c>
      <c r="PW178" s="1" t="e">
        <v>#N/A</v>
      </c>
      <c r="PX178" s="1" t="e">
        <v>#N/A</v>
      </c>
      <c r="PY178" s="1" t="e">
        <v>#N/A</v>
      </c>
      <c r="PZ178" s="1" t="e">
        <v>#N/A</v>
      </c>
      <c r="QA178" s="1" t="e">
        <v>#N/A</v>
      </c>
      <c r="QB178" s="1" t="e">
        <v>#N/A</v>
      </c>
      <c r="QC178" s="1" t="e">
        <v>#N/A</v>
      </c>
      <c r="QD178" s="1" t="e">
        <v>#N/A</v>
      </c>
      <c r="QE178" s="1" t="e">
        <v>#N/A</v>
      </c>
      <c r="QF178" s="1" t="e">
        <v>#N/A</v>
      </c>
      <c r="QG178" s="1" t="e">
        <v>#N/A</v>
      </c>
      <c r="QH178" s="1" t="e">
        <v>#N/A</v>
      </c>
      <c r="QI178" s="1" t="e">
        <v>#N/A</v>
      </c>
      <c r="QJ178" s="1" t="e">
        <v>#N/A</v>
      </c>
      <c r="QK178" s="1" t="e">
        <v>#N/A</v>
      </c>
      <c r="QL178" s="1" t="e">
        <v>#N/A</v>
      </c>
      <c r="QM178" s="1" t="e">
        <v>#N/A</v>
      </c>
      <c r="QN178" s="1" t="e">
        <v>#N/A</v>
      </c>
      <c r="QO178" s="1" t="e">
        <v>#N/A</v>
      </c>
      <c r="QP178" s="1" t="e">
        <v>#N/A</v>
      </c>
    </row>
    <row r="179" spans="1:458" ht="26.25" x14ac:dyDescent="0.4">
      <c r="A179" s="347"/>
      <c r="B179" s="348"/>
      <c r="C179" s="288"/>
      <c r="D179" s="349"/>
      <c r="E179" s="350"/>
      <c r="F179" s="351"/>
      <c r="G179" s="352"/>
      <c r="H179" s="348"/>
      <c r="I179" s="353"/>
      <c r="J179" s="353"/>
      <c r="PJ179" s="1" t="e">
        <v>#N/A</v>
      </c>
      <c r="PK179" s="1" t="e">
        <v>#N/A</v>
      </c>
      <c r="PL179" s="1" t="e">
        <v>#N/A</v>
      </c>
      <c r="PM179" s="1" t="e">
        <v>#N/A</v>
      </c>
      <c r="PN179" s="1" t="e">
        <v>#N/A</v>
      </c>
      <c r="PO179" s="1" t="e">
        <v>#N/A</v>
      </c>
      <c r="PP179" s="1" t="e">
        <v>#N/A</v>
      </c>
      <c r="PQ179" s="1" t="e">
        <v>#N/A</v>
      </c>
      <c r="PR179" s="1" t="e">
        <v>#N/A</v>
      </c>
      <c r="PS179" s="1" t="e">
        <v>#N/A</v>
      </c>
      <c r="PT179" s="1" t="e">
        <v>#N/A</v>
      </c>
      <c r="PU179" s="1" t="e">
        <v>#N/A</v>
      </c>
      <c r="PV179" s="1" t="e">
        <v>#N/A</v>
      </c>
      <c r="PW179" s="1" t="e">
        <v>#N/A</v>
      </c>
      <c r="PX179" s="1" t="e">
        <v>#N/A</v>
      </c>
      <c r="PY179" s="1" t="e">
        <v>#N/A</v>
      </c>
      <c r="PZ179" s="1" t="e">
        <v>#N/A</v>
      </c>
      <c r="QA179" s="1" t="e">
        <v>#N/A</v>
      </c>
      <c r="QB179" s="1" t="e">
        <v>#N/A</v>
      </c>
      <c r="QC179" s="1" t="e">
        <v>#N/A</v>
      </c>
      <c r="QD179" s="1" t="e">
        <v>#N/A</v>
      </c>
      <c r="QE179" s="1" t="e">
        <v>#N/A</v>
      </c>
      <c r="QF179" s="1" t="e">
        <v>#N/A</v>
      </c>
      <c r="QG179" s="1" t="e">
        <v>#N/A</v>
      </c>
      <c r="QH179" s="1" t="e">
        <v>#N/A</v>
      </c>
      <c r="QI179" s="1" t="e">
        <v>#N/A</v>
      </c>
      <c r="QJ179" s="1" t="e">
        <v>#N/A</v>
      </c>
      <c r="QK179" s="1" t="e">
        <v>#N/A</v>
      </c>
      <c r="QL179" s="1" t="e">
        <v>#N/A</v>
      </c>
      <c r="QM179" s="1" t="e">
        <v>#N/A</v>
      </c>
      <c r="QN179" s="1" t="e">
        <v>#N/A</v>
      </c>
      <c r="QO179" s="1" t="e">
        <v>#N/A</v>
      </c>
      <c r="QP179" s="1" t="e">
        <v>#N/A</v>
      </c>
    </row>
    <row r="180" spans="1:458" ht="26.25" x14ac:dyDescent="0.4">
      <c r="A180" s="347"/>
      <c r="B180" s="348"/>
      <c r="C180" s="288"/>
      <c r="D180" s="349"/>
      <c r="E180" s="350"/>
      <c r="F180" s="351"/>
      <c r="G180" s="352"/>
      <c r="H180" s="348"/>
      <c r="I180" s="353"/>
      <c r="J180" s="353"/>
      <c r="PJ180" s="1" t="e">
        <v>#N/A</v>
      </c>
      <c r="PK180" s="1" t="e">
        <v>#N/A</v>
      </c>
      <c r="PL180" s="1" t="e">
        <v>#N/A</v>
      </c>
      <c r="PM180" s="1" t="e">
        <v>#N/A</v>
      </c>
      <c r="PN180" s="1" t="e">
        <v>#N/A</v>
      </c>
      <c r="PO180" s="1" t="e">
        <v>#N/A</v>
      </c>
      <c r="PP180" s="1" t="e">
        <v>#N/A</v>
      </c>
      <c r="PQ180" s="1" t="e">
        <v>#N/A</v>
      </c>
      <c r="PR180" s="1" t="e">
        <v>#N/A</v>
      </c>
      <c r="PS180" s="1" t="e">
        <v>#N/A</v>
      </c>
      <c r="PT180" s="1" t="e">
        <v>#N/A</v>
      </c>
      <c r="PU180" s="1" t="e">
        <v>#N/A</v>
      </c>
      <c r="PV180" s="1" t="e">
        <v>#N/A</v>
      </c>
      <c r="PW180" s="1" t="e">
        <v>#N/A</v>
      </c>
      <c r="PX180" s="1" t="e">
        <v>#N/A</v>
      </c>
      <c r="PY180" s="1" t="e">
        <v>#N/A</v>
      </c>
      <c r="PZ180" s="1" t="e">
        <v>#N/A</v>
      </c>
      <c r="QA180" s="1" t="e">
        <v>#N/A</v>
      </c>
      <c r="QB180" s="1" t="e">
        <v>#N/A</v>
      </c>
      <c r="QC180" s="1" t="e">
        <v>#N/A</v>
      </c>
      <c r="QD180" s="1" t="e">
        <v>#N/A</v>
      </c>
      <c r="QE180" s="1" t="e">
        <v>#N/A</v>
      </c>
      <c r="QF180" s="1" t="e">
        <v>#N/A</v>
      </c>
      <c r="QG180" s="1" t="e">
        <v>#N/A</v>
      </c>
      <c r="QH180" s="1" t="e">
        <v>#N/A</v>
      </c>
      <c r="QI180" s="1" t="e">
        <v>#N/A</v>
      </c>
      <c r="QJ180" s="1" t="e">
        <v>#N/A</v>
      </c>
      <c r="QK180" s="1" t="e">
        <v>#N/A</v>
      </c>
      <c r="QL180" s="1" t="e">
        <v>#N/A</v>
      </c>
      <c r="QM180" s="1" t="e">
        <v>#N/A</v>
      </c>
      <c r="QN180" s="1" t="e">
        <v>#N/A</v>
      </c>
      <c r="QO180" s="1" t="e">
        <v>#N/A</v>
      </c>
      <c r="QP180" s="1" t="e">
        <v>#N/A</v>
      </c>
    </row>
    <row r="181" spans="1:458" ht="26.25" x14ac:dyDescent="0.4">
      <c r="A181" s="347"/>
      <c r="B181" s="348"/>
      <c r="C181" s="288"/>
      <c r="D181" s="349"/>
      <c r="E181" s="350"/>
      <c r="F181" s="351"/>
      <c r="G181" s="352"/>
      <c r="H181" s="348"/>
      <c r="I181" s="353"/>
      <c r="J181" s="353"/>
      <c r="PJ181" s="1" t="e">
        <v>#N/A</v>
      </c>
      <c r="PK181" s="1" t="e">
        <v>#N/A</v>
      </c>
      <c r="PL181" s="1" t="e">
        <v>#N/A</v>
      </c>
      <c r="PM181" s="1" t="e">
        <v>#N/A</v>
      </c>
      <c r="PN181" s="1" t="e">
        <v>#N/A</v>
      </c>
      <c r="PO181" s="1" t="e">
        <v>#N/A</v>
      </c>
      <c r="PP181" s="1" t="e">
        <v>#N/A</v>
      </c>
      <c r="PQ181" s="1" t="e">
        <v>#N/A</v>
      </c>
      <c r="PR181" s="1" t="e">
        <v>#N/A</v>
      </c>
      <c r="PS181" s="1" t="e">
        <v>#N/A</v>
      </c>
      <c r="PT181" s="1" t="e">
        <v>#N/A</v>
      </c>
      <c r="PU181" s="1" t="e">
        <v>#N/A</v>
      </c>
      <c r="PV181" s="1" t="e">
        <v>#N/A</v>
      </c>
      <c r="PW181" s="1" t="e">
        <v>#N/A</v>
      </c>
      <c r="PX181" s="1" t="e">
        <v>#N/A</v>
      </c>
      <c r="PY181" s="1" t="e">
        <v>#N/A</v>
      </c>
      <c r="PZ181" s="1" t="e">
        <v>#N/A</v>
      </c>
      <c r="QA181" s="1" t="e">
        <v>#N/A</v>
      </c>
      <c r="QB181" s="1" t="e">
        <v>#N/A</v>
      </c>
      <c r="QC181" s="1" t="e">
        <v>#N/A</v>
      </c>
      <c r="QD181" s="1" t="e">
        <v>#N/A</v>
      </c>
      <c r="QE181" s="1" t="e">
        <v>#N/A</v>
      </c>
      <c r="QF181" s="1" t="e">
        <v>#N/A</v>
      </c>
      <c r="QG181" s="1" t="e">
        <v>#N/A</v>
      </c>
      <c r="QH181" s="1" t="e">
        <v>#N/A</v>
      </c>
      <c r="QI181" s="1" t="e">
        <v>#N/A</v>
      </c>
      <c r="QJ181" s="1" t="e">
        <v>#N/A</v>
      </c>
      <c r="QK181" s="1" t="e">
        <v>#N/A</v>
      </c>
      <c r="QL181" s="1" t="e">
        <v>#N/A</v>
      </c>
      <c r="QM181" s="1" t="e">
        <v>#N/A</v>
      </c>
      <c r="QN181" s="1" t="e">
        <v>#N/A</v>
      </c>
      <c r="QO181" s="1" t="e">
        <v>#N/A</v>
      </c>
      <c r="QP181" s="1" t="e">
        <v>#N/A</v>
      </c>
    </row>
    <row r="182" spans="1:458" ht="26.25" x14ac:dyDescent="0.4">
      <c r="A182" s="347"/>
      <c r="B182" s="348"/>
      <c r="C182" s="288"/>
      <c r="D182" s="349"/>
      <c r="E182" s="350"/>
      <c r="F182" s="351"/>
      <c r="G182" s="352"/>
      <c r="H182" s="348"/>
      <c r="I182" s="353"/>
      <c r="J182" s="353"/>
      <c r="PJ182" s="1" t="e">
        <v>#N/A</v>
      </c>
      <c r="PK182" s="1" t="e">
        <v>#N/A</v>
      </c>
      <c r="PL182" s="1" t="e">
        <v>#N/A</v>
      </c>
      <c r="PM182" s="1" t="e">
        <v>#N/A</v>
      </c>
      <c r="PN182" s="1" t="e">
        <v>#N/A</v>
      </c>
      <c r="PO182" s="1" t="e">
        <v>#N/A</v>
      </c>
      <c r="PP182" s="1" t="e">
        <v>#N/A</v>
      </c>
      <c r="PQ182" s="1" t="e">
        <v>#N/A</v>
      </c>
      <c r="PR182" s="1" t="e">
        <v>#N/A</v>
      </c>
      <c r="PS182" s="1" t="e">
        <v>#N/A</v>
      </c>
      <c r="PT182" s="1" t="e">
        <v>#N/A</v>
      </c>
      <c r="PU182" s="1" t="e">
        <v>#N/A</v>
      </c>
      <c r="PV182" s="1" t="e">
        <v>#N/A</v>
      </c>
      <c r="PW182" s="1" t="e">
        <v>#N/A</v>
      </c>
      <c r="PX182" s="1" t="e">
        <v>#N/A</v>
      </c>
      <c r="PY182" s="1" t="e">
        <v>#N/A</v>
      </c>
      <c r="PZ182" s="1" t="e">
        <v>#N/A</v>
      </c>
      <c r="QA182" s="1" t="e">
        <v>#N/A</v>
      </c>
      <c r="QB182" s="1" t="e">
        <v>#N/A</v>
      </c>
      <c r="QC182" s="1" t="e">
        <v>#N/A</v>
      </c>
      <c r="QD182" s="1" t="e">
        <v>#N/A</v>
      </c>
      <c r="QE182" s="1" t="e">
        <v>#N/A</v>
      </c>
      <c r="QF182" s="1" t="e">
        <v>#N/A</v>
      </c>
      <c r="QG182" s="1" t="e">
        <v>#N/A</v>
      </c>
      <c r="QH182" s="1" t="e">
        <v>#N/A</v>
      </c>
      <c r="QI182" s="1" t="e">
        <v>#N/A</v>
      </c>
      <c r="QJ182" s="1" t="e">
        <v>#N/A</v>
      </c>
      <c r="QK182" s="1" t="e">
        <v>#N/A</v>
      </c>
      <c r="QL182" s="1" t="e">
        <v>#N/A</v>
      </c>
      <c r="QM182" s="1" t="e">
        <v>#N/A</v>
      </c>
      <c r="QN182" s="1" t="e">
        <v>#N/A</v>
      </c>
      <c r="QO182" s="1" t="e">
        <v>#N/A</v>
      </c>
      <c r="QP182" s="1" t="e">
        <v>#N/A</v>
      </c>
    </row>
    <row r="183" spans="1:458" ht="26.25" x14ac:dyDescent="0.4">
      <c r="A183" s="347"/>
      <c r="B183" s="348"/>
      <c r="C183" s="288"/>
      <c r="D183" s="349"/>
      <c r="E183" s="350"/>
      <c r="F183" s="351"/>
      <c r="G183" s="352"/>
      <c r="H183" s="348"/>
      <c r="I183" s="353"/>
      <c r="J183" s="353"/>
      <c r="PJ183" s="1" t="e">
        <v>#N/A</v>
      </c>
      <c r="PK183" s="1" t="e">
        <v>#N/A</v>
      </c>
      <c r="PL183" s="1" t="e">
        <v>#N/A</v>
      </c>
      <c r="PM183" s="1" t="e">
        <v>#N/A</v>
      </c>
      <c r="PN183" s="1" t="e">
        <v>#N/A</v>
      </c>
      <c r="PO183" s="1" t="e">
        <v>#N/A</v>
      </c>
      <c r="PP183" s="1" t="e">
        <v>#N/A</v>
      </c>
      <c r="PQ183" s="1" t="e">
        <v>#N/A</v>
      </c>
      <c r="PR183" s="1" t="e">
        <v>#N/A</v>
      </c>
      <c r="PS183" s="1" t="e">
        <v>#N/A</v>
      </c>
      <c r="PT183" s="1" t="e">
        <v>#N/A</v>
      </c>
      <c r="PU183" s="1" t="e">
        <v>#N/A</v>
      </c>
      <c r="PV183" s="1" t="e">
        <v>#N/A</v>
      </c>
      <c r="PW183" s="1" t="e">
        <v>#N/A</v>
      </c>
      <c r="PX183" s="1" t="e">
        <v>#N/A</v>
      </c>
      <c r="PY183" s="1" t="e">
        <v>#N/A</v>
      </c>
      <c r="PZ183" s="1" t="e">
        <v>#N/A</v>
      </c>
      <c r="QA183" s="1" t="e">
        <v>#N/A</v>
      </c>
      <c r="QB183" s="1" t="e">
        <v>#N/A</v>
      </c>
      <c r="QC183" s="1" t="e">
        <v>#N/A</v>
      </c>
      <c r="QD183" s="1" t="e">
        <v>#N/A</v>
      </c>
      <c r="QE183" s="1" t="e">
        <v>#N/A</v>
      </c>
      <c r="QF183" s="1" t="e">
        <v>#N/A</v>
      </c>
      <c r="QG183" s="1" t="e">
        <v>#N/A</v>
      </c>
      <c r="QH183" s="1" t="e">
        <v>#N/A</v>
      </c>
      <c r="QI183" s="1" t="e">
        <v>#N/A</v>
      </c>
      <c r="QJ183" s="1" t="e">
        <v>#N/A</v>
      </c>
      <c r="QK183" s="1" t="e">
        <v>#N/A</v>
      </c>
      <c r="QL183" s="1" t="e">
        <v>#N/A</v>
      </c>
      <c r="QM183" s="1" t="e">
        <v>#N/A</v>
      </c>
      <c r="QN183" s="1" t="e">
        <v>#N/A</v>
      </c>
      <c r="QO183" s="1" t="e">
        <v>#N/A</v>
      </c>
      <c r="QP183" s="1" t="e">
        <v>#N/A</v>
      </c>
    </row>
    <row r="184" spans="1:458" ht="26.25" x14ac:dyDescent="0.4">
      <c r="A184" s="347"/>
      <c r="B184" s="348"/>
      <c r="C184" s="288"/>
      <c r="D184" s="349"/>
      <c r="E184" s="350"/>
      <c r="F184" s="351"/>
      <c r="G184" s="352"/>
      <c r="H184" s="348"/>
      <c r="I184" s="353"/>
      <c r="J184" s="353"/>
      <c r="PJ184" s="1" t="e">
        <v>#N/A</v>
      </c>
      <c r="PK184" s="1" t="e">
        <v>#N/A</v>
      </c>
      <c r="PL184" s="1" t="e">
        <v>#N/A</v>
      </c>
      <c r="PM184" s="1" t="e">
        <v>#N/A</v>
      </c>
      <c r="PN184" s="1" t="e">
        <v>#N/A</v>
      </c>
      <c r="PO184" s="1" t="e">
        <v>#N/A</v>
      </c>
      <c r="PP184" s="1" t="e">
        <v>#N/A</v>
      </c>
      <c r="PQ184" s="1" t="e">
        <v>#N/A</v>
      </c>
      <c r="PR184" s="1" t="e">
        <v>#N/A</v>
      </c>
      <c r="PS184" s="1" t="e">
        <v>#N/A</v>
      </c>
      <c r="PT184" s="1" t="e">
        <v>#N/A</v>
      </c>
      <c r="PU184" s="1" t="e">
        <v>#N/A</v>
      </c>
      <c r="PV184" s="1" t="e">
        <v>#N/A</v>
      </c>
      <c r="PW184" s="1" t="e">
        <v>#N/A</v>
      </c>
      <c r="PX184" s="1" t="e">
        <v>#N/A</v>
      </c>
      <c r="PY184" s="1" t="e">
        <v>#N/A</v>
      </c>
      <c r="PZ184" s="1" t="e">
        <v>#N/A</v>
      </c>
      <c r="QA184" s="1" t="e">
        <v>#N/A</v>
      </c>
      <c r="QB184" s="1" t="e">
        <v>#N/A</v>
      </c>
      <c r="QC184" s="1" t="e">
        <v>#N/A</v>
      </c>
      <c r="QD184" s="1" t="e">
        <v>#N/A</v>
      </c>
      <c r="QE184" s="1" t="e">
        <v>#N/A</v>
      </c>
      <c r="QF184" s="1" t="e">
        <v>#N/A</v>
      </c>
      <c r="QG184" s="1" t="e">
        <v>#N/A</v>
      </c>
      <c r="QH184" s="1" t="e">
        <v>#N/A</v>
      </c>
      <c r="QI184" s="1" t="e">
        <v>#N/A</v>
      </c>
      <c r="QJ184" s="1" t="e">
        <v>#N/A</v>
      </c>
      <c r="QK184" s="1" t="e">
        <v>#N/A</v>
      </c>
      <c r="QL184" s="1" t="e">
        <v>#N/A</v>
      </c>
      <c r="QM184" s="1" t="e">
        <v>#N/A</v>
      </c>
      <c r="QN184" s="1" t="e">
        <v>#N/A</v>
      </c>
      <c r="QO184" s="1" t="e">
        <v>#N/A</v>
      </c>
      <c r="QP184" s="1" t="e">
        <v>#N/A</v>
      </c>
    </row>
    <row r="185" spans="1:458" ht="26.25" x14ac:dyDescent="0.4">
      <c r="A185" s="347"/>
      <c r="B185" s="348"/>
      <c r="C185" s="288"/>
      <c r="D185" s="349"/>
      <c r="E185" s="350"/>
      <c r="F185" s="351"/>
      <c r="G185" s="352"/>
      <c r="H185" s="348"/>
      <c r="I185" s="353"/>
      <c r="J185" s="353"/>
      <c r="PJ185" s="1" t="e">
        <v>#N/A</v>
      </c>
      <c r="PK185" s="1" t="e">
        <v>#N/A</v>
      </c>
      <c r="PL185" s="1" t="e">
        <v>#N/A</v>
      </c>
      <c r="PM185" s="1" t="e">
        <v>#N/A</v>
      </c>
      <c r="PN185" s="1" t="e">
        <v>#N/A</v>
      </c>
      <c r="PO185" s="1" t="e">
        <v>#N/A</v>
      </c>
      <c r="PP185" s="1" t="e">
        <v>#N/A</v>
      </c>
      <c r="PQ185" s="1" t="e">
        <v>#N/A</v>
      </c>
      <c r="PR185" s="1" t="e">
        <v>#N/A</v>
      </c>
      <c r="PS185" s="1" t="e">
        <v>#N/A</v>
      </c>
      <c r="PT185" s="1" t="e">
        <v>#N/A</v>
      </c>
      <c r="PU185" s="1" t="e">
        <v>#N/A</v>
      </c>
      <c r="PV185" s="1" t="e">
        <v>#N/A</v>
      </c>
      <c r="PW185" s="1" t="e">
        <v>#N/A</v>
      </c>
      <c r="PX185" s="1" t="e">
        <v>#N/A</v>
      </c>
      <c r="PY185" s="1" t="e">
        <v>#N/A</v>
      </c>
      <c r="PZ185" s="1" t="e">
        <v>#N/A</v>
      </c>
      <c r="QA185" s="1" t="e">
        <v>#N/A</v>
      </c>
      <c r="QB185" s="1" t="e">
        <v>#N/A</v>
      </c>
      <c r="QC185" s="1" t="e">
        <v>#N/A</v>
      </c>
      <c r="QD185" s="1" t="e">
        <v>#N/A</v>
      </c>
      <c r="QE185" s="1" t="e">
        <v>#N/A</v>
      </c>
      <c r="QF185" s="1" t="e">
        <v>#N/A</v>
      </c>
      <c r="QG185" s="1" t="e">
        <v>#N/A</v>
      </c>
      <c r="QH185" s="1" t="e">
        <v>#N/A</v>
      </c>
      <c r="QI185" s="1" t="e">
        <v>#N/A</v>
      </c>
      <c r="QJ185" s="1" t="e">
        <v>#N/A</v>
      </c>
      <c r="QK185" s="1" t="e">
        <v>#N/A</v>
      </c>
      <c r="QL185" s="1" t="e">
        <v>#N/A</v>
      </c>
      <c r="QM185" s="1" t="e">
        <v>#N/A</v>
      </c>
      <c r="QN185" s="1" t="e">
        <v>#N/A</v>
      </c>
      <c r="QO185" s="1" t="e">
        <v>#N/A</v>
      </c>
      <c r="QP185" s="1" t="e">
        <v>#N/A</v>
      </c>
    </row>
    <row r="186" spans="1:458" ht="26.25" x14ac:dyDescent="0.4">
      <c r="A186" s="347"/>
      <c r="B186" s="348"/>
      <c r="C186" s="288"/>
      <c r="D186" s="349"/>
      <c r="E186" s="350"/>
      <c r="F186" s="351"/>
      <c r="G186" s="352"/>
      <c r="H186" s="348"/>
      <c r="I186" s="353"/>
      <c r="J186" s="353"/>
      <c r="PJ186" s="1" t="e">
        <v>#N/A</v>
      </c>
      <c r="PK186" s="1" t="e">
        <v>#N/A</v>
      </c>
      <c r="PL186" s="1" t="e">
        <v>#N/A</v>
      </c>
      <c r="PM186" s="1" t="e">
        <v>#N/A</v>
      </c>
      <c r="PN186" s="1" t="e">
        <v>#N/A</v>
      </c>
      <c r="PO186" s="1" t="e">
        <v>#N/A</v>
      </c>
      <c r="PP186" s="1" t="e">
        <v>#N/A</v>
      </c>
      <c r="PQ186" s="1" t="e">
        <v>#N/A</v>
      </c>
      <c r="PR186" s="1" t="e">
        <v>#N/A</v>
      </c>
      <c r="PS186" s="1" t="e">
        <v>#N/A</v>
      </c>
      <c r="PT186" s="1" t="e">
        <v>#N/A</v>
      </c>
      <c r="PU186" s="1" t="e">
        <v>#N/A</v>
      </c>
      <c r="PV186" s="1" t="e">
        <v>#N/A</v>
      </c>
      <c r="PW186" s="1" t="e">
        <v>#N/A</v>
      </c>
      <c r="PX186" s="1" t="e">
        <v>#N/A</v>
      </c>
      <c r="PY186" s="1" t="e">
        <v>#N/A</v>
      </c>
      <c r="PZ186" s="1" t="e">
        <v>#N/A</v>
      </c>
      <c r="QA186" s="1" t="e">
        <v>#N/A</v>
      </c>
      <c r="QB186" s="1" t="e">
        <v>#N/A</v>
      </c>
      <c r="QC186" s="1" t="e">
        <v>#N/A</v>
      </c>
      <c r="QD186" s="1" t="e">
        <v>#N/A</v>
      </c>
      <c r="QE186" s="1" t="e">
        <v>#N/A</v>
      </c>
      <c r="QF186" s="1" t="e">
        <v>#N/A</v>
      </c>
      <c r="QG186" s="1" t="e">
        <v>#N/A</v>
      </c>
      <c r="QH186" s="1" t="e">
        <v>#N/A</v>
      </c>
      <c r="QI186" s="1" t="e">
        <v>#N/A</v>
      </c>
      <c r="QJ186" s="1" t="e">
        <v>#N/A</v>
      </c>
      <c r="QK186" s="1" t="e">
        <v>#N/A</v>
      </c>
      <c r="QL186" s="1" t="e">
        <v>#N/A</v>
      </c>
      <c r="QM186" s="1" t="e">
        <v>#N/A</v>
      </c>
      <c r="QN186" s="1" t="e">
        <v>#N/A</v>
      </c>
      <c r="QO186" s="1" t="e">
        <v>#N/A</v>
      </c>
      <c r="QP186" s="1" t="e">
        <v>#N/A</v>
      </c>
    </row>
    <row r="187" spans="1:458" ht="26.25" x14ac:dyDescent="0.4">
      <c r="A187" s="347"/>
      <c r="B187" s="348"/>
      <c r="C187" s="288"/>
      <c r="D187" s="349"/>
      <c r="E187" s="350"/>
      <c r="F187" s="351"/>
      <c r="G187" s="352"/>
      <c r="H187" s="348"/>
      <c r="I187" s="353"/>
      <c r="J187" s="353"/>
      <c r="PJ187" s="1" t="e">
        <v>#N/A</v>
      </c>
      <c r="PK187" s="1" t="e">
        <v>#N/A</v>
      </c>
      <c r="PL187" s="1" t="e">
        <v>#N/A</v>
      </c>
      <c r="PM187" s="1" t="e">
        <v>#N/A</v>
      </c>
      <c r="PN187" s="1" t="e">
        <v>#N/A</v>
      </c>
      <c r="PO187" s="1" t="e">
        <v>#N/A</v>
      </c>
      <c r="PP187" s="1" t="e">
        <v>#N/A</v>
      </c>
      <c r="PQ187" s="1" t="e">
        <v>#N/A</v>
      </c>
      <c r="PR187" s="1" t="e">
        <v>#N/A</v>
      </c>
      <c r="PS187" s="1" t="e">
        <v>#N/A</v>
      </c>
      <c r="PT187" s="1" t="e">
        <v>#N/A</v>
      </c>
      <c r="PU187" s="1" t="e">
        <v>#N/A</v>
      </c>
      <c r="PV187" s="1" t="e">
        <v>#N/A</v>
      </c>
      <c r="PW187" s="1" t="e">
        <v>#N/A</v>
      </c>
      <c r="PX187" s="1" t="e">
        <v>#N/A</v>
      </c>
      <c r="PY187" s="1" t="e">
        <v>#N/A</v>
      </c>
      <c r="PZ187" s="1" t="e">
        <v>#N/A</v>
      </c>
      <c r="QA187" s="1" t="e">
        <v>#N/A</v>
      </c>
      <c r="QB187" s="1" t="e">
        <v>#N/A</v>
      </c>
      <c r="QC187" s="1" t="e">
        <v>#N/A</v>
      </c>
      <c r="QD187" s="1" t="e">
        <v>#N/A</v>
      </c>
      <c r="QE187" s="1" t="e">
        <v>#N/A</v>
      </c>
      <c r="QF187" s="1" t="e">
        <v>#N/A</v>
      </c>
      <c r="QG187" s="1" t="e">
        <v>#N/A</v>
      </c>
      <c r="QH187" s="1" t="e">
        <v>#N/A</v>
      </c>
      <c r="QI187" s="1" t="e">
        <v>#N/A</v>
      </c>
      <c r="QJ187" s="1" t="e">
        <v>#N/A</v>
      </c>
      <c r="QK187" s="1" t="e">
        <v>#N/A</v>
      </c>
      <c r="QL187" s="1" t="e">
        <v>#N/A</v>
      </c>
      <c r="QM187" s="1" t="e">
        <v>#N/A</v>
      </c>
      <c r="QN187" s="1" t="e">
        <v>#N/A</v>
      </c>
      <c r="QO187" s="1" t="e">
        <v>#N/A</v>
      </c>
      <c r="QP187" s="1" t="e">
        <v>#N/A</v>
      </c>
    </row>
    <row r="188" spans="1:458" ht="26.25" x14ac:dyDescent="0.4">
      <c r="A188" s="347"/>
      <c r="B188" s="348"/>
      <c r="C188" s="288"/>
      <c r="D188" s="349"/>
      <c r="E188" s="350"/>
      <c r="F188" s="351"/>
      <c r="G188" s="352"/>
      <c r="H188" s="348"/>
      <c r="I188" s="353"/>
      <c r="J188" s="353"/>
      <c r="PJ188" s="1" t="e">
        <v>#N/A</v>
      </c>
      <c r="PK188" s="1" t="e">
        <v>#N/A</v>
      </c>
      <c r="PL188" s="1" t="e">
        <v>#N/A</v>
      </c>
      <c r="PM188" s="1" t="e">
        <v>#N/A</v>
      </c>
      <c r="PN188" s="1" t="e">
        <v>#N/A</v>
      </c>
      <c r="PO188" s="1" t="e">
        <v>#N/A</v>
      </c>
      <c r="PP188" s="1" t="e">
        <v>#N/A</v>
      </c>
      <c r="PQ188" s="1" t="e">
        <v>#N/A</v>
      </c>
      <c r="PR188" s="1" t="e">
        <v>#N/A</v>
      </c>
      <c r="PS188" s="1" t="e">
        <v>#N/A</v>
      </c>
      <c r="PT188" s="1" t="e">
        <v>#N/A</v>
      </c>
      <c r="PU188" s="1" t="e">
        <v>#N/A</v>
      </c>
      <c r="PV188" s="1" t="e">
        <v>#N/A</v>
      </c>
      <c r="PW188" s="1" t="e">
        <v>#N/A</v>
      </c>
      <c r="PX188" s="1" t="e">
        <v>#N/A</v>
      </c>
      <c r="PY188" s="1" t="e">
        <v>#N/A</v>
      </c>
      <c r="PZ188" s="1" t="e">
        <v>#N/A</v>
      </c>
      <c r="QA188" s="1" t="e">
        <v>#N/A</v>
      </c>
      <c r="QB188" s="1" t="e">
        <v>#N/A</v>
      </c>
      <c r="QC188" s="1" t="e">
        <v>#N/A</v>
      </c>
      <c r="QD188" s="1" t="e">
        <v>#N/A</v>
      </c>
      <c r="QE188" s="1" t="e">
        <v>#N/A</v>
      </c>
      <c r="QF188" s="1" t="e">
        <v>#N/A</v>
      </c>
      <c r="QG188" s="1" t="e">
        <v>#N/A</v>
      </c>
      <c r="QH188" s="1" t="e">
        <v>#N/A</v>
      </c>
      <c r="QI188" s="1" t="e">
        <v>#N/A</v>
      </c>
      <c r="QJ188" s="1" t="e">
        <v>#N/A</v>
      </c>
      <c r="QK188" s="1" t="e">
        <v>#N/A</v>
      </c>
      <c r="QL188" s="1" t="e">
        <v>#N/A</v>
      </c>
      <c r="QM188" s="1" t="e">
        <v>#N/A</v>
      </c>
      <c r="QN188" s="1" t="e">
        <v>#N/A</v>
      </c>
      <c r="QO188" s="1" t="e">
        <v>#N/A</v>
      </c>
      <c r="QP188" s="1" t="e">
        <v>#N/A</v>
      </c>
    </row>
    <row r="189" spans="1:458" ht="26.25" x14ac:dyDescent="0.4">
      <c r="A189" s="347"/>
      <c r="B189" s="348"/>
      <c r="C189" s="288"/>
      <c r="D189" s="349"/>
      <c r="E189" s="350"/>
      <c r="F189" s="351"/>
      <c r="G189" s="352"/>
      <c r="H189" s="348"/>
      <c r="I189" s="353"/>
      <c r="J189" s="353"/>
      <c r="PJ189" s="1" t="e">
        <v>#N/A</v>
      </c>
      <c r="PK189" s="1" t="e">
        <v>#N/A</v>
      </c>
      <c r="PL189" s="1" t="e">
        <v>#N/A</v>
      </c>
      <c r="PM189" s="1" t="e">
        <v>#N/A</v>
      </c>
      <c r="PN189" s="1" t="e">
        <v>#N/A</v>
      </c>
      <c r="PO189" s="1" t="e">
        <v>#N/A</v>
      </c>
      <c r="PP189" s="1" t="e">
        <v>#N/A</v>
      </c>
      <c r="PQ189" s="1" t="e">
        <v>#N/A</v>
      </c>
      <c r="PR189" s="1" t="e">
        <v>#N/A</v>
      </c>
      <c r="PS189" s="1" t="e">
        <v>#N/A</v>
      </c>
      <c r="PT189" s="1" t="e">
        <v>#N/A</v>
      </c>
      <c r="PU189" s="1" t="e">
        <v>#N/A</v>
      </c>
      <c r="PV189" s="1" t="e">
        <v>#N/A</v>
      </c>
      <c r="PW189" s="1" t="e">
        <v>#N/A</v>
      </c>
      <c r="PX189" s="1" t="e">
        <v>#N/A</v>
      </c>
      <c r="PY189" s="1" t="e">
        <v>#N/A</v>
      </c>
      <c r="PZ189" s="1" t="e">
        <v>#N/A</v>
      </c>
      <c r="QA189" s="1" t="e">
        <v>#N/A</v>
      </c>
      <c r="QB189" s="1" t="e">
        <v>#N/A</v>
      </c>
      <c r="QC189" s="1" t="e">
        <v>#N/A</v>
      </c>
      <c r="QD189" s="1" t="e">
        <v>#N/A</v>
      </c>
      <c r="QE189" s="1" t="e">
        <v>#N/A</v>
      </c>
      <c r="QF189" s="1" t="e">
        <v>#N/A</v>
      </c>
      <c r="QG189" s="1" t="e">
        <v>#N/A</v>
      </c>
      <c r="QH189" s="1" t="e">
        <v>#N/A</v>
      </c>
      <c r="QI189" s="1" t="e">
        <v>#N/A</v>
      </c>
      <c r="QJ189" s="1" t="e">
        <v>#N/A</v>
      </c>
      <c r="QK189" s="1" t="e">
        <v>#N/A</v>
      </c>
      <c r="QL189" s="1" t="e">
        <v>#N/A</v>
      </c>
      <c r="QM189" s="1" t="e">
        <v>#N/A</v>
      </c>
      <c r="QN189" s="1" t="e">
        <v>#N/A</v>
      </c>
      <c r="QO189" s="1" t="e">
        <v>#N/A</v>
      </c>
      <c r="QP189" s="1" t="e">
        <v>#N/A</v>
      </c>
    </row>
    <row r="190" spans="1:458" ht="26.25" x14ac:dyDescent="0.4">
      <c r="A190" s="347"/>
      <c r="B190" s="348"/>
      <c r="C190" s="288"/>
      <c r="D190" s="349"/>
      <c r="E190" s="350"/>
      <c r="F190" s="351"/>
      <c r="G190" s="352"/>
      <c r="H190" s="348"/>
      <c r="I190" s="353"/>
      <c r="J190" s="353"/>
      <c r="PJ190" s="1" t="e">
        <v>#N/A</v>
      </c>
      <c r="PK190" s="1" t="e">
        <v>#N/A</v>
      </c>
      <c r="PL190" s="1" t="e">
        <v>#N/A</v>
      </c>
      <c r="PM190" s="1" t="e">
        <v>#N/A</v>
      </c>
      <c r="PN190" s="1" t="e">
        <v>#N/A</v>
      </c>
      <c r="PO190" s="1" t="e">
        <v>#N/A</v>
      </c>
      <c r="PP190" s="1" t="e">
        <v>#N/A</v>
      </c>
      <c r="PQ190" s="1" t="e">
        <v>#N/A</v>
      </c>
      <c r="PR190" s="1" t="e">
        <v>#N/A</v>
      </c>
      <c r="PS190" s="1" t="e">
        <v>#N/A</v>
      </c>
      <c r="PT190" s="1" t="e">
        <v>#N/A</v>
      </c>
      <c r="PU190" s="1" t="e">
        <v>#N/A</v>
      </c>
      <c r="PV190" s="1" t="e">
        <v>#N/A</v>
      </c>
      <c r="PW190" s="1" t="e">
        <v>#N/A</v>
      </c>
      <c r="PX190" s="1" t="e">
        <v>#N/A</v>
      </c>
      <c r="PY190" s="1" t="e">
        <v>#N/A</v>
      </c>
      <c r="PZ190" s="1" t="e">
        <v>#N/A</v>
      </c>
      <c r="QA190" s="1" t="e">
        <v>#N/A</v>
      </c>
      <c r="QB190" s="1" t="e">
        <v>#N/A</v>
      </c>
      <c r="QC190" s="1" t="e">
        <v>#N/A</v>
      </c>
      <c r="QD190" s="1" t="e">
        <v>#N/A</v>
      </c>
      <c r="QE190" s="1" t="e">
        <v>#N/A</v>
      </c>
      <c r="QF190" s="1" t="e">
        <v>#N/A</v>
      </c>
      <c r="QG190" s="1" t="e">
        <v>#N/A</v>
      </c>
      <c r="QH190" s="1" t="e">
        <v>#N/A</v>
      </c>
      <c r="QI190" s="1" t="e">
        <v>#N/A</v>
      </c>
      <c r="QJ190" s="1" t="e">
        <v>#N/A</v>
      </c>
      <c r="QK190" s="1" t="e">
        <v>#N/A</v>
      </c>
      <c r="QL190" s="1" t="e">
        <v>#N/A</v>
      </c>
      <c r="QM190" s="1" t="e">
        <v>#N/A</v>
      </c>
      <c r="QN190" s="1" t="e">
        <v>#N/A</v>
      </c>
      <c r="QO190" s="1" t="e">
        <v>#N/A</v>
      </c>
      <c r="QP190" s="1" t="e">
        <v>#N/A</v>
      </c>
    </row>
    <row r="191" spans="1:458" ht="26.25" x14ac:dyDescent="0.4">
      <c r="A191" s="347"/>
      <c r="B191" s="348"/>
      <c r="C191" s="288"/>
      <c r="D191" s="349"/>
      <c r="E191" s="350"/>
      <c r="F191" s="351"/>
      <c r="G191" s="352"/>
      <c r="H191" s="348"/>
      <c r="I191" s="353"/>
      <c r="J191" s="353"/>
      <c r="PJ191" s="1" t="e">
        <v>#N/A</v>
      </c>
      <c r="PK191" s="1" t="e">
        <v>#N/A</v>
      </c>
      <c r="PL191" s="1" t="e">
        <v>#N/A</v>
      </c>
      <c r="PM191" s="1" t="e">
        <v>#N/A</v>
      </c>
      <c r="PN191" s="1" t="e">
        <v>#N/A</v>
      </c>
      <c r="PO191" s="1" t="e">
        <v>#N/A</v>
      </c>
      <c r="PP191" s="1" t="e">
        <v>#N/A</v>
      </c>
      <c r="PQ191" s="1" t="e">
        <v>#N/A</v>
      </c>
      <c r="PR191" s="1" t="e">
        <v>#N/A</v>
      </c>
      <c r="PS191" s="1" t="e">
        <v>#N/A</v>
      </c>
      <c r="PT191" s="1" t="e">
        <v>#N/A</v>
      </c>
      <c r="PU191" s="1" t="e">
        <v>#N/A</v>
      </c>
      <c r="PV191" s="1" t="e">
        <v>#N/A</v>
      </c>
      <c r="PW191" s="1" t="e">
        <v>#N/A</v>
      </c>
      <c r="PX191" s="1" t="e">
        <v>#N/A</v>
      </c>
      <c r="PY191" s="1" t="e">
        <v>#N/A</v>
      </c>
      <c r="PZ191" s="1" t="e">
        <v>#N/A</v>
      </c>
      <c r="QA191" s="1" t="e">
        <v>#N/A</v>
      </c>
      <c r="QB191" s="1" t="e">
        <v>#N/A</v>
      </c>
      <c r="QC191" s="1" t="e">
        <v>#N/A</v>
      </c>
      <c r="QD191" s="1" t="e">
        <v>#N/A</v>
      </c>
      <c r="QE191" s="1" t="e">
        <v>#N/A</v>
      </c>
      <c r="QF191" s="1" t="e">
        <v>#N/A</v>
      </c>
      <c r="QG191" s="1" t="e">
        <v>#N/A</v>
      </c>
      <c r="QH191" s="1" t="e">
        <v>#N/A</v>
      </c>
      <c r="QI191" s="1" t="e">
        <v>#N/A</v>
      </c>
      <c r="QJ191" s="1" t="e">
        <v>#N/A</v>
      </c>
      <c r="QK191" s="1" t="e">
        <v>#N/A</v>
      </c>
      <c r="QL191" s="1" t="e">
        <v>#N/A</v>
      </c>
      <c r="QM191" s="1" t="e">
        <v>#N/A</v>
      </c>
      <c r="QN191" s="1" t="e">
        <v>#N/A</v>
      </c>
      <c r="QO191" s="1" t="e">
        <v>#N/A</v>
      </c>
      <c r="QP191" s="1" t="e">
        <v>#N/A</v>
      </c>
    </row>
    <row r="192" spans="1:458" ht="26.25" x14ac:dyDescent="0.4">
      <c r="A192" s="347"/>
      <c r="B192" s="348"/>
      <c r="C192" s="288"/>
      <c r="D192" s="349"/>
      <c r="E192" s="350"/>
      <c r="F192" s="351"/>
      <c r="G192" s="352"/>
      <c r="H192" s="348"/>
      <c r="I192" s="353"/>
      <c r="J192" s="353"/>
      <c r="PJ192" s="1" t="e">
        <v>#N/A</v>
      </c>
      <c r="PK192" s="1" t="e">
        <v>#N/A</v>
      </c>
      <c r="PL192" s="1" t="e">
        <v>#N/A</v>
      </c>
      <c r="PM192" s="1" t="e">
        <v>#N/A</v>
      </c>
      <c r="PN192" s="1" t="e">
        <v>#N/A</v>
      </c>
      <c r="PO192" s="1" t="e">
        <v>#N/A</v>
      </c>
      <c r="PP192" s="1" t="e">
        <v>#N/A</v>
      </c>
      <c r="PQ192" s="1" t="e">
        <v>#N/A</v>
      </c>
      <c r="PR192" s="1" t="e">
        <v>#N/A</v>
      </c>
      <c r="PS192" s="1" t="e">
        <v>#N/A</v>
      </c>
      <c r="PT192" s="1" t="e">
        <v>#N/A</v>
      </c>
      <c r="PU192" s="1" t="e">
        <v>#N/A</v>
      </c>
      <c r="PV192" s="1" t="e">
        <v>#N/A</v>
      </c>
      <c r="PW192" s="1" t="e">
        <v>#N/A</v>
      </c>
      <c r="PX192" s="1" t="e">
        <v>#N/A</v>
      </c>
      <c r="PY192" s="1" t="e">
        <v>#N/A</v>
      </c>
      <c r="PZ192" s="1" t="e">
        <v>#N/A</v>
      </c>
      <c r="QA192" s="1" t="e">
        <v>#N/A</v>
      </c>
      <c r="QB192" s="1" t="e">
        <v>#N/A</v>
      </c>
      <c r="QC192" s="1" t="e">
        <v>#N/A</v>
      </c>
      <c r="QD192" s="1" t="e">
        <v>#N/A</v>
      </c>
      <c r="QE192" s="1" t="e">
        <v>#N/A</v>
      </c>
      <c r="QF192" s="1" t="e">
        <v>#N/A</v>
      </c>
      <c r="QG192" s="1" t="e">
        <v>#N/A</v>
      </c>
      <c r="QH192" s="1" t="e">
        <v>#N/A</v>
      </c>
      <c r="QI192" s="1" t="e">
        <v>#N/A</v>
      </c>
      <c r="QJ192" s="1" t="e">
        <v>#N/A</v>
      </c>
      <c r="QK192" s="1" t="e">
        <v>#N/A</v>
      </c>
      <c r="QL192" s="1" t="e">
        <v>#N/A</v>
      </c>
      <c r="QM192" s="1" t="e">
        <v>#N/A</v>
      </c>
      <c r="QN192" s="1" t="e">
        <v>#N/A</v>
      </c>
      <c r="QO192" s="1" t="e">
        <v>#N/A</v>
      </c>
      <c r="QP192" s="1" t="e">
        <v>#N/A</v>
      </c>
    </row>
    <row r="193" spans="1:458" ht="26.25" x14ac:dyDescent="0.4">
      <c r="A193" s="347"/>
      <c r="B193" s="348"/>
      <c r="C193" s="288"/>
      <c r="D193" s="349"/>
      <c r="E193" s="350"/>
      <c r="F193" s="351"/>
      <c r="G193" s="352"/>
      <c r="H193" s="348"/>
      <c r="I193" s="353"/>
      <c r="J193" s="353"/>
      <c r="PJ193" s="1" t="e">
        <v>#N/A</v>
      </c>
      <c r="PK193" s="1" t="e">
        <v>#N/A</v>
      </c>
      <c r="PL193" s="1" t="e">
        <v>#N/A</v>
      </c>
      <c r="PM193" s="1" t="e">
        <v>#N/A</v>
      </c>
      <c r="PN193" s="1" t="e">
        <v>#N/A</v>
      </c>
      <c r="PO193" s="1" t="e">
        <v>#N/A</v>
      </c>
      <c r="PP193" s="1" t="e">
        <v>#N/A</v>
      </c>
      <c r="PQ193" s="1" t="e">
        <v>#N/A</v>
      </c>
      <c r="PR193" s="1" t="e">
        <v>#N/A</v>
      </c>
      <c r="PS193" s="1" t="e">
        <v>#N/A</v>
      </c>
      <c r="PT193" s="1" t="e">
        <v>#N/A</v>
      </c>
      <c r="PU193" s="1" t="e">
        <v>#N/A</v>
      </c>
      <c r="PV193" s="1" t="e">
        <v>#N/A</v>
      </c>
      <c r="PW193" s="1" t="e">
        <v>#N/A</v>
      </c>
      <c r="PX193" s="1" t="e">
        <v>#N/A</v>
      </c>
      <c r="PY193" s="1" t="e">
        <v>#N/A</v>
      </c>
      <c r="PZ193" s="1" t="e">
        <v>#N/A</v>
      </c>
      <c r="QA193" s="1" t="e">
        <v>#N/A</v>
      </c>
      <c r="QB193" s="1" t="e">
        <v>#N/A</v>
      </c>
      <c r="QC193" s="1" t="e">
        <v>#N/A</v>
      </c>
      <c r="QD193" s="1" t="e">
        <v>#N/A</v>
      </c>
      <c r="QE193" s="1" t="e">
        <v>#N/A</v>
      </c>
      <c r="QF193" s="1" t="e">
        <v>#N/A</v>
      </c>
      <c r="QG193" s="1" t="e">
        <v>#N/A</v>
      </c>
      <c r="QH193" s="1" t="e">
        <v>#N/A</v>
      </c>
      <c r="QI193" s="1" t="e">
        <v>#N/A</v>
      </c>
      <c r="QJ193" s="1" t="e">
        <v>#N/A</v>
      </c>
      <c r="QK193" s="1" t="e">
        <v>#N/A</v>
      </c>
      <c r="QL193" s="1" t="e">
        <v>#N/A</v>
      </c>
      <c r="QM193" s="1" t="e">
        <v>#N/A</v>
      </c>
      <c r="QN193" s="1" t="e">
        <v>#N/A</v>
      </c>
      <c r="QO193" s="1" t="e">
        <v>#N/A</v>
      </c>
      <c r="QP193" s="1" t="e">
        <v>#N/A</v>
      </c>
    </row>
    <row r="194" spans="1:458" ht="26.25" x14ac:dyDescent="0.4">
      <c r="A194" s="347"/>
      <c r="B194" s="348"/>
      <c r="C194" s="288"/>
      <c r="D194" s="349"/>
      <c r="E194" s="350"/>
      <c r="F194" s="351"/>
      <c r="G194" s="352"/>
      <c r="H194" s="348"/>
      <c r="I194" s="353"/>
      <c r="J194" s="353"/>
      <c r="PJ194" s="1" t="e">
        <v>#N/A</v>
      </c>
      <c r="PK194" s="1" t="e">
        <v>#N/A</v>
      </c>
      <c r="PL194" s="1" t="e">
        <v>#N/A</v>
      </c>
      <c r="PM194" s="1" t="e">
        <v>#N/A</v>
      </c>
      <c r="PN194" s="1" t="e">
        <v>#N/A</v>
      </c>
      <c r="PO194" s="1" t="e">
        <v>#N/A</v>
      </c>
      <c r="PP194" s="1" t="e">
        <v>#N/A</v>
      </c>
      <c r="PQ194" s="1" t="e">
        <v>#N/A</v>
      </c>
      <c r="PR194" s="1" t="e">
        <v>#N/A</v>
      </c>
      <c r="PS194" s="1" t="e">
        <v>#N/A</v>
      </c>
      <c r="PT194" s="1" t="e">
        <v>#N/A</v>
      </c>
      <c r="PU194" s="1" t="e">
        <v>#N/A</v>
      </c>
      <c r="PV194" s="1" t="e">
        <v>#N/A</v>
      </c>
      <c r="PW194" s="1" t="e">
        <v>#N/A</v>
      </c>
      <c r="PX194" s="1" t="e">
        <v>#N/A</v>
      </c>
      <c r="PY194" s="1" t="e">
        <v>#N/A</v>
      </c>
      <c r="PZ194" s="1" t="e">
        <v>#N/A</v>
      </c>
      <c r="QA194" s="1" t="e">
        <v>#N/A</v>
      </c>
      <c r="QB194" s="1" t="e">
        <v>#N/A</v>
      </c>
      <c r="QC194" s="1" t="e">
        <v>#N/A</v>
      </c>
      <c r="QD194" s="1" t="e">
        <v>#N/A</v>
      </c>
      <c r="QE194" s="1" t="e">
        <v>#N/A</v>
      </c>
      <c r="QF194" s="1" t="e">
        <v>#N/A</v>
      </c>
      <c r="QG194" s="1" t="e">
        <v>#N/A</v>
      </c>
      <c r="QH194" s="1" t="e">
        <v>#N/A</v>
      </c>
      <c r="QI194" s="1" t="e">
        <v>#N/A</v>
      </c>
      <c r="QJ194" s="1" t="e">
        <v>#N/A</v>
      </c>
      <c r="QK194" s="1" t="e">
        <v>#N/A</v>
      </c>
      <c r="QL194" s="1" t="e">
        <v>#N/A</v>
      </c>
      <c r="QM194" s="1" t="e">
        <v>#N/A</v>
      </c>
      <c r="QN194" s="1" t="e">
        <v>#N/A</v>
      </c>
      <c r="QO194" s="1" t="e">
        <v>#N/A</v>
      </c>
      <c r="QP194" s="1" t="e">
        <v>#N/A</v>
      </c>
    </row>
    <row r="195" spans="1:458" ht="26.25" x14ac:dyDescent="0.4">
      <c r="A195" s="347"/>
      <c r="B195" s="348"/>
      <c r="C195" s="288"/>
      <c r="D195" s="349"/>
      <c r="E195" s="350"/>
      <c r="F195" s="351"/>
      <c r="G195" s="352"/>
      <c r="H195" s="348"/>
      <c r="I195" s="353"/>
      <c r="J195" s="353"/>
      <c r="PJ195" s="1" t="e">
        <v>#N/A</v>
      </c>
      <c r="PK195" s="1" t="e">
        <v>#N/A</v>
      </c>
      <c r="PL195" s="1" t="e">
        <v>#N/A</v>
      </c>
      <c r="PM195" s="1" t="e">
        <v>#N/A</v>
      </c>
      <c r="PN195" s="1" t="e">
        <v>#N/A</v>
      </c>
      <c r="PO195" s="1" t="e">
        <v>#N/A</v>
      </c>
      <c r="PP195" s="1" t="e">
        <v>#N/A</v>
      </c>
      <c r="PQ195" s="1" t="e">
        <v>#N/A</v>
      </c>
      <c r="PR195" s="1" t="e">
        <v>#N/A</v>
      </c>
      <c r="PS195" s="1" t="e">
        <v>#N/A</v>
      </c>
      <c r="PT195" s="1" t="e">
        <v>#N/A</v>
      </c>
      <c r="PU195" s="1" t="e">
        <v>#N/A</v>
      </c>
      <c r="PV195" s="1" t="e">
        <v>#N/A</v>
      </c>
      <c r="PW195" s="1" t="e">
        <v>#N/A</v>
      </c>
      <c r="PX195" s="1" t="e">
        <v>#N/A</v>
      </c>
      <c r="PY195" s="1" t="e">
        <v>#N/A</v>
      </c>
      <c r="PZ195" s="1" t="e">
        <v>#N/A</v>
      </c>
      <c r="QA195" s="1" t="e">
        <v>#N/A</v>
      </c>
      <c r="QB195" s="1" t="e">
        <v>#N/A</v>
      </c>
      <c r="QC195" s="1" t="e">
        <v>#N/A</v>
      </c>
      <c r="QD195" s="1" t="e">
        <v>#N/A</v>
      </c>
      <c r="QE195" s="1" t="e">
        <v>#N/A</v>
      </c>
      <c r="QF195" s="1" t="e">
        <v>#N/A</v>
      </c>
      <c r="QG195" s="1" t="e">
        <v>#N/A</v>
      </c>
      <c r="QH195" s="1" t="e">
        <v>#N/A</v>
      </c>
      <c r="QI195" s="1" t="e">
        <v>#N/A</v>
      </c>
      <c r="QJ195" s="1" t="e">
        <v>#N/A</v>
      </c>
      <c r="QK195" s="1" t="e">
        <v>#N/A</v>
      </c>
      <c r="QL195" s="1" t="e">
        <v>#N/A</v>
      </c>
      <c r="QM195" s="1" t="e">
        <v>#N/A</v>
      </c>
      <c r="QN195" s="1" t="e">
        <v>#N/A</v>
      </c>
      <c r="QO195" s="1" t="e">
        <v>#N/A</v>
      </c>
      <c r="QP195" s="1" t="e">
        <v>#N/A</v>
      </c>
    </row>
    <row r="196" spans="1:458" ht="26.25" x14ac:dyDescent="0.4">
      <c r="A196" s="347"/>
      <c r="B196" s="348"/>
      <c r="C196" s="288"/>
      <c r="D196" s="349"/>
      <c r="E196" s="350"/>
      <c r="F196" s="351"/>
      <c r="G196" s="352"/>
      <c r="H196" s="348"/>
      <c r="I196" s="353"/>
      <c r="J196" s="353"/>
      <c r="PJ196" s="1" t="e">
        <v>#N/A</v>
      </c>
      <c r="PK196" s="1" t="e">
        <v>#N/A</v>
      </c>
      <c r="PL196" s="1" t="e">
        <v>#N/A</v>
      </c>
      <c r="PM196" s="1" t="e">
        <v>#N/A</v>
      </c>
      <c r="PN196" s="1" t="e">
        <v>#N/A</v>
      </c>
      <c r="PO196" s="1" t="e">
        <v>#N/A</v>
      </c>
      <c r="PP196" s="1" t="e">
        <v>#N/A</v>
      </c>
      <c r="PQ196" s="1" t="e">
        <v>#N/A</v>
      </c>
      <c r="PR196" s="1" t="e">
        <v>#N/A</v>
      </c>
      <c r="PS196" s="1" t="e">
        <v>#N/A</v>
      </c>
      <c r="PT196" s="1" t="e">
        <v>#N/A</v>
      </c>
      <c r="PU196" s="1" t="e">
        <v>#N/A</v>
      </c>
      <c r="PV196" s="1" t="e">
        <v>#N/A</v>
      </c>
      <c r="PW196" s="1" t="e">
        <v>#N/A</v>
      </c>
      <c r="PX196" s="1" t="e">
        <v>#N/A</v>
      </c>
      <c r="PY196" s="1" t="e">
        <v>#N/A</v>
      </c>
      <c r="PZ196" s="1" t="e">
        <v>#N/A</v>
      </c>
      <c r="QA196" s="1" t="e">
        <v>#N/A</v>
      </c>
      <c r="QB196" s="1" t="e">
        <v>#N/A</v>
      </c>
      <c r="QC196" s="1" t="e">
        <v>#N/A</v>
      </c>
      <c r="QD196" s="1" t="e">
        <v>#N/A</v>
      </c>
      <c r="QE196" s="1" t="e">
        <v>#N/A</v>
      </c>
      <c r="QF196" s="1" t="e">
        <v>#N/A</v>
      </c>
      <c r="QG196" s="1" t="e">
        <v>#N/A</v>
      </c>
      <c r="QH196" s="1" t="e">
        <v>#N/A</v>
      </c>
      <c r="QI196" s="1" t="e">
        <v>#N/A</v>
      </c>
      <c r="QJ196" s="1" t="e">
        <v>#N/A</v>
      </c>
      <c r="QK196" s="1" t="e">
        <v>#N/A</v>
      </c>
      <c r="QL196" s="1" t="e">
        <v>#N/A</v>
      </c>
      <c r="QM196" s="1" t="e">
        <v>#N/A</v>
      </c>
      <c r="QN196" s="1" t="e">
        <v>#N/A</v>
      </c>
      <c r="QO196" s="1" t="e">
        <v>#N/A</v>
      </c>
      <c r="QP196" s="1" t="e">
        <v>#N/A</v>
      </c>
    </row>
    <row r="197" spans="1:458" ht="26.25" x14ac:dyDescent="0.4">
      <c r="A197" s="347"/>
      <c r="B197" s="348"/>
      <c r="C197" s="288"/>
      <c r="D197" s="349"/>
      <c r="E197" s="350"/>
      <c r="F197" s="351"/>
      <c r="G197" s="352"/>
      <c r="H197" s="348"/>
      <c r="I197" s="353"/>
      <c r="J197" s="353"/>
      <c r="PJ197" s="1" t="e">
        <v>#N/A</v>
      </c>
      <c r="PK197" s="1" t="e">
        <v>#N/A</v>
      </c>
      <c r="PL197" s="1" t="e">
        <v>#N/A</v>
      </c>
      <c r="PM197" s="1" t="e">
        <v>#N/A</v>
      </c>
      <c r="PN197" s="1" t="e">
        <v>#N/A</v>
      </c>
      <c r="PO197" s="1" t="e">
        <v>#N/A</v>
      </c>
      <c r="PP197" s="1" t="e">
        <v>#N/A</v>
      </c>
      <c r="PQ197" s="1" t="e">
        <v>#N/A</v>
      </c>
      <c r="PR197" s="1" t="e">
        <v>#N/A</v>
      </c>
      <c r="PS197" s="1" t="e">
        <v>#N/A</v>
      </c>
      <c r="PT197" s="1" t="e">
        <v>#N/A</v>
      </c>
      <c r="PU197" s="1" t="e">
        <v>#N/A</v>
      </c>
      <c r="PV197" s="1" t="e">
        <v>#N/A</v>
      </c>
      <c r="PW197" s="1" t="e">
        <v>#N/A</v>
      </c>
      <c r="PX197" s="1" t="e">
        <v>#N/A</v>
      </c>
      <c r="PY197" s="1" t="e">
        <v>#N/A</v>
      </c>
      <c r="PZ197" s="1" t="e">
        <v>#N/A</v>
      </c>
      <c r="QA197" s="1" t="e">
        <v>#N/A</v>
      </c>
      <c r="QB197" s="1" t="e">
        <v>#N/A</v>
      </c>
      <c r="QC197" s="1" t="e">
        <v>#N/A</v>
      </c>
      <c r="QD197" s="1" t="e">
        <v>#N/A</v>
      </c>
      <c r="QE197" s="1" t="e">
        <v>#N/A</v>
      </c>
      <c r="QF197" s="1" t="e">
        <v>#N/A</v>
      </c>
      <c r="QG197" s="1" t="e">
        <v>#N/A</v>
      </c>
      <c r="QH197" s="1" t="e">
        <v>#N/A</v>
      </c>
      <c r="QI197" s="1" t="e">
        <v>#N/A</v>
      </c>
      <c r="QJ197" s="1" t="e">
        <v>#N/A</v>
      </c>
      <c r="QK197" s="1" t="e">
        <v>#N/A</v>
      </c>
      <c r="QL197" s="1" t="e">
        <v>#N/A</v>
      </c>
      <c r="QM197" s="1" t="e">
        <v>#N/A</v>
      </c>
      <c r="QN197" s="1" t="e">
        <v>#N/A</v>
      </c>
      <c r="QO197" s="1" t="e">
        <v>#N/A</v>
      </c>
      <c r="QP197" s="1" t="e">
        <v>#N/A</v>
      </c>
    </row>
    <row r="198" spans="1:458" ht="26.25" x14ac:dyDescent="0.4">
      <c r="A198" s="347"/>
      <c r="B198" s="348"/>
      <c r="C198" s="288"/>
      <c r="D198" s="349"/>
      <c r="E198" s="350"/>
      <c r="F198" s="351"/>
      <c r="G198" s="352"/>
      <c r="H198" s="348"/>
      <c r="I198" s="353"/>
      <c r="J198" s="353"/>
      <c r="PJ198" s="1" t="e">
        <v>#N/A</v>
      </c>
      <c r="PK198" s="1" t="e">
        <v>#N/A</v>
      </c>
      <c r="PL198" s="1" t="e">
        <v>#N/A</v>
      </c>
      <c r="PM198" s="1" t="e">
        <v>#N/A</v>
      </c>
      <c r="PN198" s="1" t="e">
        <v>#N/A</v>
      </c>
      <c r="PO198" s="1" t="e">
        <v>#N/A</v>
      </c>
      <c r="PP198" s="1" t="e">
        <v>#N/A</v>
      </c>
      <c r="PQ198" s="1" t="e">
        <v>#N/A</v>
      </c>
      <c r="PR198" s="1" t="e">
        <v>#N/A</v>
      </c>
      <c r="PS198" s="1" t="e">
        <v>#N/A</v>
      </c>
      <c r="PT198" s="1" t="e">
        <v>#N/A</v>
      </c>
      <c r="PU198" s="1" t="e">
        <v>#N/A</v>
      </c>
      <c r="PV198" s="1" t="e">
        <v>#N/A</v>
      </c>
      <c r="PW198" s="1" t="e">
        <v>#N/A</v>
      </c>
      <c r="PX198" s="1" t="e">
        <v>#N/A</v>
      </c>
      <c r="PY198" s="1" t="e">
        <v>#N/A</v>
      </c>
      <c r="PZ198" s="1" t="e">
        <v>#N/A</v>
      </c>
      <c r="QA198" s="1" t="e">
        <v>#N/A</v>
      </c>
      <c r="QB198" s="1" t="e">
        <v>#N/A</v>
      </c>
      <c r="QC198" s="1" t="e">
        <v>#N/A</v>
      </c>
      <c r="QD198" s="1" t="e">
        <v>#N/A</v>
      </c>
      <c r="QE198" s="1" t="e">
        <v>#N/A</v>
      </c>
      <c r="QF198" s="1" t="e">
        <v>#N/A</v>
      </c>
      <c r="QG198" s="1" t="e">
        <v>#N/A</v>
      </c>
      <c r="QH198" s="1" t="e">
        <v>#N/A</v>
      </c>
      <c r="QI198" s="1" t="e">
        <v>#N/A</v>
      </c>
      <c r="QJ198" s="1" t="e">
        <v>#N/A</v>
      </c>
      <c r="QK198" s="1" t="e">
        <v>#N/A</v>
      </c>
      <c r="QL198" s="1" t="e">
        <v>#N/A</v>
      </c>
      <c r="QM198" s="1" t="e">
        <v>#N/A</v>
      </c>
      <c r="QN198" s="1" t="e">
        <v>#N/A</v>
      </c>
      <c r="QO198" s="1" t="e">
        <v>#N/A</v>
      </c>
      <c r="QP198" s="1" t="e">
        <v>#N/A</v>
      </c>
    </row>
    <row r="199" spans="1:458" ht="26.25" x14ac:dyDescent="0.4">
      <c r="A199" s="347"/>
      <c r="B199" s="348"/>
      <c r="C199" s="288"/>
      <c r="D199" s="349"/>
      <c r="E199" s="350"/>
      <c r="F199" s="351"/>
      <c r="G199" s="352"/>
      <c r="H199" s="348"/>
      <c r="I199" s="353"/>
      <c r="J199" s="353"/>
      <c r="PJ199" s="1" t="e">
        <v>#N/A</v>
      </c>
      <c r="PK199" s="1" t="e">
        <v>#N/A</v>
      </c>
      <c r="PL199" s="1" t="e">
        <v>#N/A</v>
      </c>
      <c r="PM199" s="1" t="e">
        <v>#N/A</v>
      </c>
      <c r="PN199" s="1" t="e">
        <v>#N/A</v>
      </c>
      <c r="PO199" s="1" t="e">
        <v>#N/A</v>
      </c>
      <c r="PP199" s="1" t="e">
        <v>#N/A</v>
      </c>
      <c r="PQ199" s="1" t="e">
        <v>#N/A</v>
      </c>
      <c r="PR199" s="1" t="e">
        <v>#N/A</v>
      </c>
      <c r="PS199" s="1" t="e">
        <v>#N/A</v>
      </c>
      <c r="PT199" s="1" t="e">
        <v>#N/A</v>
      </c>
      <c r="PU199" s="1" t="e">
        <v>#N/A</v>
      </c>
      <c r="PV199" s="1" t="e">
        <v>#N/A</v>
      </c>
      <c r="PW199" s="1" t="e">
        <v>#N/A</v>
      </c>
      <c r="PX199" s="1" t="e">
        <v>#N/A</v>
      </c>
      <c r="PY199" s="1" t="e">
        <v>#N/A</v>
      </c>
      <c r="PZ199" s="1" t="e">
        <v>#N/A</v>
      </c>
      <c r="QA199" s="1" t="e">
        <v>#N/A</v>
      </c>
      <c r="QB199" s="1" t="e">
        <v>#N/A</v>
      </c>
      <c r="QC199" s="1" t="e">
        <v>#N/A</v>
      </c>
      <c r="QD199" s="1" t="e">
        <v>#N/A</v>
      </c>
      <c r="QE199" s="1" t="e">
        <v>#N/A</v>
      </c>
      <c r="QF199" s="1" t="e">
        <v>#N/A</v>
      </c>
      <c r="QG199" s="1" t="e">
        <v>#N/A</v>
      </c>
      <c r="QH199" s="1" t="e">
        <v>#N/A</v>
      </c>
      <c r="QI199" s="1" t="e">
        <v>#N/A</v>
      </c>
      <c r="QJ199" s="1" t="e">
        <v>#N/A</v>
      </c>
      <c r="QK199" s="1" t="e">
        <v>#N/A</v>
      </c>
      <c r="QL199" s="1" t="e">
        <v>#N/A</v>
      </c>
      <c r="QM199" s="1" t="e">
        <v>#N/A</v>
      </c>
      <c r="QN199" s="1" t="e">
        <v>#N/A</v>
      </c>
      <c r="QO199" s="1" t="e">
        <v>#N/A</v>
      </c>
      <c r="QP199" s="1" t="e">
        <v>#N/A</v>
      </c>
    </row>
    <row r="200" spans="1:458" ht="26.25" x14ac:dyDescent="0.4">
      <c r="A200" s="347"/>
      <c r="B200" s="348"/>
      <c r="C200" s="288"/>
      <c r="D200" s="349"/>
      <c r="E200" s="350"/>
      <c r="F200" s="351"/>
      <c r="G200" s="352"/>
      <c r="H200" s="348"/>
      <c r="I200" s="353"/>
      <c r="J200" s="353"/>
      <c r="PJ200" s="1" t="e">
        <v>#N/A</v>
      </c>
      <c r="PK200" s="1" t="e">
        <v>#N/A</v>
      </c>
      <c r="PL200" s="1" t="e">
        <v>#N/A</v>
      </c>
      <c r="PM200" s="1" t="e">
        <v>#N/A</v>
      </c>
      <c r="PN200" s="1" t="e">
        <v>#N/A</v>
      </c>
      <c r="PO200" s="1" t="e">
        <v>#N/A</v>
      </c>
      <c r="PP200" s="1" t="e">
        <v>#N/A</v>
      </c>
      <c r="PQ200" s="1" t="e">
        <v>#N/A</v>
      </c>
      <c r="PR200" s="1" t="e">
        <v>#N/A</v>
      </c>
      <c r="PS200" s="1" t="e">
        <v>#N/A</v>
      </c>
      <c r="PT200" s="1" t="e">
        <v>#N/A</v>
      </c>
      <c r="PU200" s="1" t="e">
        <v>#N/A</v>
      </c>
      <c r="PV200" s="1" t="e">
        <v>#N/A</v>
      </c>
      <c r="PW200" s="1" t="e">
        <v>#N/A</v>
      </c>
      <c r="PX200" s="1" t="e">
        <v>#N/A</v>
      </c>
      <c r="PY200" s="1" t="e">
        <v>#N/A</v>
      </c>
      <c r="PZ200" s="1" t="e">
        <v>#N/A</v>
      </c>
      <c r="QA200" s="1" t="e">
        <v>#N/A</v>
      </c>
      <c r="QB200" s="1" t="e">
        <v>#N/A</v>
      </c>
      <c r="QC200" s="1" t="e">
        <v>#N/A</v>
      </c>
      <c r="QD200" s="1" t="e">
        <v>#N/A</v>
      </c>
      <c r="QE200" s="1" t="e">
        <v>#N/A</v>
      </c>
      <c r="QF200" s="1" t="e">
        <v>#N/A</v>
      </c>
      <c r="QG200" s="1" t="e">
        <v>#N/A</v>
      </c>
      <c r="QH200" s="1" t="e">
        <v>#N/A</v>
      </c>
      <c r="QI200" s="1" t="e">
        <v>#N/A</v>
      </c>
      <c r="QJ200" s="1" t="e">
        <v>#N/A</v>
      </c>
      <c r="QK200" s="1" t="e">
        <v>#N/A</v>
      </c>
      <c r="QL200" s="1" t="e">
        <v>#N/A</v>
      </c>
      <c r="QM200" s="1" t="e">
        <v>#N/A</v>
      </c>
      <c r="QN200" s="1" t="e">
        <v>#N/A</v>
      </c>
      <c r="QO200" s="1" t="e">
        <v>#N/A</v>
      </c>
      <c r="QP200" s="1" t="e">
        <v>#N/A</v>
      </c>
    </row>
    <row r="201" spans="1:458" ht="26.25" x14ac:dyDescent="0.4">
      <c r="A201" s="347"/>
      <c r="B201" s="348"/>
      <c r="C201" s="288"/>
      <c r="D201" s="349"/>
      <c r="E201" s="350"/>
      <c r="F201" s="351"/>
      <c r="G201" s="352"/>
      <c r="H201" s="348"/>
      <c r="I201" s="353"/>
      <c r="J201" s="353"/>
      <c r="PJ201" s="1" t="e">
        <v>#N/A</v>
      </c>
      <c r="PK201" s="1" t="e">
        <v>#N/A</v>
      </c>
      <c r="PL201" s="1" t="e">
        <v>#N/A</v>
      </c>
      <c r="PM201" s="1" t="e">
        <v>#N/A</v>
      </c>
      <c r="PN201" s="1" t="e">
        <v>#N/A</v>
      </c>
      <c r="PO201" s="1" t="e">
        <v>#N/A</v>
      </c>
      <c r="PP201" s="1" t="e">
        <v>#N/A</v>
      </c>
      <c r="PQ201" s="1" t="e">
        <v>#N/A</v>
      </c>
      <c r="PR201" s="1" t="e">
        <v>#N/A</v>
      </c>
      <c r="PS201" s="1" t="e">
        <v>#N/A</v>
      </c>
      <c r="PT201" s="1" t="e">
        <v>#N/A</v>
      </c>
      <c r="PU201" s="1" t="e">
        <v>#N/A</v>
      </c>
      <c r="PV201" s="1" t="e">
        <v>#N/A</v>
      </c>
      <c r="PW201" s="1" t="e">
        <v>#N/A</v>
      </c>
      <c r="PX201" s="1" t="e">
        <v>#N/A</v>
      </c>
      <c r="PY201" s="1" t="e">
        <v>#N/A</v>
      </c>
      <c r="PZ201" s="1" t="e">
        <v>#N/A</v>
      </c>
      <c r="QA201" s="1" t="e">
        <v>#N/A</v>
      </c>
      <c r="QB201" s="1" t="e">
        <v>#N/A</v>
      </c>
      <c r="QC201" s="1" t="e">
        <v>#N/A</v>
      </c>
      <c r="QD201" s="1" t="e">
        <v>#N/A</v>
      </c>
      <c r="QE201" s="1" t="e">
        <v>#N/A</v>
      </c>
      <c r="QF201" s="1" t="e">
        <v>#N/A</v>
      </c>
      <c r="QG201" s="1" t="e">
        <v>#N/A</v>
      </c>
      <c r="QH201" s="1" t="e">
        <v>#N/A</v>
      </c>
      <c r="QI201" s="1" t="e">
        <v>#N/A</v>
      </c>
      <c r="QJ201" s="1" t="e">
        <v>#N/A</v>
      </c>
      <c r="QK201" s="1" t="e">
        <v>#N/A</v>
      </c>
      <c r="QL201" s="1" t="e">
        <v>#N/A</v>
      </c>
      <c r="QM201" s="1" t="e">
        <v>#N/A</v>
      </c>
      <c r="QN201" s="1" t="e">
        <v>#N/A</v>
      </c>
      <c r="QO201" s="1" t="e">
        <v>#N/A</v>
      </c>
      <c r="QP201" s="1" t="e">
        <v>#N/A</v>
      </c>
    </row>
    <row r="202" spans="1:458" ht="26.25" x14ac:dyDescent="0.4">
      <c r="A202" s="347"/>
      <c r="B202" s="348"/>
      <c r="C202" s="288"/>
      <c r="D202" s="349"/>
      <c r="E202" s="350"/>
      <c r="F202" s="351"/>
      <c r="G202" s="352"/>
      <c r="H202" s="348"/>
      <c r="I202" s="353"/>
      <c r="J202" s="353"/>
      <c r="PJ202" s="1" t="e">
        <v>#N/A</v>
      </c>
      <c r="PK202" s="1" t="e">
        <v>#N/A</v>
      </c>
      <c r="PL202" s="1" t="e">
        <v>#N/A</v>
      </c>
      <c r="PM202" s="1" t="e">
        <v>#N/A</v>
      </c>
      <c r="PN202" s="1" t="e">
        <v>#N/A</v>
      </c>
      <c r="PO202" s="1" t="e">
        <v>#N/A</v>
      </c>
      <c r="PP202" s="1" t="e">
        <v>#N/A</v>
      </c>
      <c r="PQ202" s="1" t="e">
        <v>#N/A</v>
      </c>
      <c r="PR202" s="1" t="e">
        <v>#N/A</v>
      </c>
      <c r="PS202" s="1" t="e">
        <v>#N/A</v>
      </c>
      <c r="PT202" s="1" t="e">
        <v>#N/A</v>
      </c>
      <c r="PU202" s="1" t="e">
        <v>#N/A</v>
      </c>
      <c r="PV202" s="1" t="e">
        <v>#N/A</v>
      </c>
      <c r="PW202" s="1" t="e">
        <v>#N/A</v>
      </c>
      <c r="PX202" s="1" t="e">
        <v>#N/A</v>
      </c>
      <c r="PY202" s="1" t="e">
        <v>#N/A</v>
      </c>
      <c r="PZ202" s="1" t="e">
        <v>#N/A</v>
      </c>
      <c r="QA202" s="1" t="e">
        <v>#N/A</v>
      </c>
      <c r="QB202" s="1" t="e">
        <v>#N/A</v>
      </c>
      <c r="QC202" s="1" t="e">
        <v>#N/A</v>
      </c>
      <c r="QD202" s="1" t="e">
        <v>#N/A</v>
      </c>
      <c r="QE202" s="1" t="e">
        <v>#N/A</v>
      </c>
      <c r="QF202" s="1" t="e">
        <v>#N/A</v>
      </c>
      <c r="QG202" s="1" t="e">
        <v>#N/A</v>
      </c>
      <c r="QH202" s="1" t="e">
        <v>#N/A</v>
      </c>
      <c r="QI202" s="1" t="e">
        <v>#N/A</v>
      </c>
      <c r="QJ202" s="1" t="e">
        <v>#N/A</v>
      </c>
      <c r="QK202" s="1" t="e">
        <v>#N/A</v>
      </c>
      <c r="QL202" s="1" t="e">
        <v>#N/A</v>
      </c>
      <c r="QM202" s="1" t="e">
        <v>#N/A</v>
      </c>
      <c r="QN202" s="1" t="e">
        <v>#N/A</v>
      </c>
      <c r="QO202" s="1" t="e">
        <v>#N/A</v>
      </c>
      <c r="QP202" s="1" t="e">
        <v>#N/A</v>
      </c>
    </row>
    <row r="203" spans="1:458" ht="26.25" x14ac:dyDescent="0.4">
      <c r="A203" s="347"/>
      <c r="B203" s="348"/>
      <c r="C203" s="288"/>
      <c r="D203" s="349"/>
      <c r="E203" s="350"/>
      <c r="F203" s="351"/>
      <c r="G203" s="352"/>
      <c r="H203" s="348"/>
      <c r="I203" s="353"/>
      <c r="J203" s="353"/>
      <c r="PJ203" s="1" t="e">
        <v>#N/A</v>
      </c>
      <c r="PK203" s="1" t="e">
        <v>#N/A</v>
      </c>
      <c r="PL203" s="1" t="e">
        <v>#N/A</v>
      </c>
      <c r="PM203" s="1" t="e">
        <v>#N/A</v>
      </c>
      <c r="PN203" s="1" t="e">
        <v>#N/A</v>
      </c>
      <c r="PO203" s="1" t="e">
        <v>#N/A</v>
      </c>
      <c r="PP203" s="1" t="e">
        <v>#N/A</v>
      </c>
      <c r="PQ203" s="1" t="e">
        <v>#N/A</v>
      </c>
      <c r="PR203" s="1" t="e">
        <v>#N/A</v>
      </c>
      <c r="PS203" s="1" t="e">
        <v>#N/A</v>
      </c>
      <c r="PT203" s="1" t="e">
        <v>#N/A</v>
      </c>
      <c r="PU203" s="1" t="e">
        <v>#N/A</v>
      </c>
      <c r="PV203" s="1" t="e">
        <v>#N/A</v>
      </c>
      <c r="PW203" s="1" t="e">
        <v>#N/A</v>
      </c>
      <c r="PX203" s="1" t="e">
        <v>#N/A</v>
      </c>
      <c r="PY203" s="1" t="e">
        <v>#N/A</v>
      </c>
      <c r="PZ203" s="1" t="e">
        <v>#N/A</v>
      </c>
      <c r="QA203" s="1" t="e">
        <v>#N/A</v>
      </c>
      <c r="QB203" s="1" t="e">
        <v>#N/A</v>
      </c>
      <c r="QC203" s="1" t="e">
        <v>#N/A</v>
      </c>
      <c r="QD203" s="1" t="e">
        <v>#N/A</v>
      </c>
      <c r="QE203" s="1" t="e">
        <v>#N/A</v>
      </c>
      <c r="QF203" s="1" t="e">
        <v>#N/A</v>
      </c>
      <c r="QG203" s="1" t="e">
        <v>#N/A</v>
      </c>
      <c r="QH203" s="1" t="e">
        <v>#N/A</v>
      </c>
      <c r="QI203" s="1" t="e">
        <v>#N/A</v>
      </c>
      <c r="QJ203" s="1" t="e">
        <v>#N/A</v>
      </c>
      <c r="QK203" s="1" t="e">
        <v>#N/A</v>
      </c>
      <c r="QL203" s="1" t="e">
        <v>#N/A</v>
      </c>
      <c r="QM203" s="1" t="e">
        <v>#N/A</v>
      </c>
      <c r="QN203" s="1" t="e">
        <v>#N/A</v>
      </c>
      <c r="QO203" s="1" t="e">
        <v>#N/A</v>
      </c>
      <c r="QP203" s="1" t="e">
        <v>#N/A</v>
      </c>
    </row>
    <row r="204" spans="1:458" ht="26.25" x14ac:dyDescent="0.4">
      <c r="A204" s="347"/>
      <c r="B204" s="348"/>
      <c r="C204" s="288"/>
      <c r="D204" s="349"/>
      <c r="E204" s="350"/>
      <c r="F204" s="351"/>
      <c r="G204" s="352"/>
      <c r="H204" s="348"/>
      <c r="I204" s="353"/>
      <c r="J204" s="353"/>
      <c r="PJ204" s="1" t="e">
        <v>#N/A</v>
      </c>
      <c r="PK204" s="1" t="e">
        <v>#N/A</v>
      </c>
      <c r="PL204" s="1" t="e">
        <v>#N/A</v>
      </c>
      <c r="PM204" s="1" t="e">
        <v>#N/A</v>
      </c>
      <c r="PN204" s="1" t="e">
        <v>#N/A</v>
      </c>
      <c r="PO204" s="1" t="e">
        <v>#N/A</v>
      </c>
      <c r="PP204" s="1" t="e">
        <v>#N/A</v>
      </c>
      <c r="PQ204" s="1" t="e">
        <v>#N/A</v>
      </c>
      <c r="PR204" s="1" t="e">
        <v>#N/A</v>
      </c>
      <c r="PS204" s="1" t="e">
        <v>#N/A</v>
      </c>
      <c r="PT204" s="1" t="e">
        <v>#N/A</v>
      </c>
      <c r="PU204" s="1" t="e">
        <v>#N/A</v>
      </c>
      <c r="PV204" s="1" t="e">
        <v>#N/A</v>
      </c>
      <c r="PW204" s="1" t="e">
        <v>#N/A</v>
      </c>
      <c r="PX204" s="1" t="e">
        <v>#N/A</v>
      </c>
      <c r="PY204" s="1" t="e">
        <v>#N/A</v>
      </c>
      <c r="PZ204" s="1" t="e">
        <v>#N/A</v>
      </c>
      <c r="QA204" s="1" t="e">
        <v>#N/A</v>
      </c>
      <c r="QB204" s="1" t="e">
        <v>#N/A</v>
      </c>
      <c r="QC204" s="1" t="e">
        <v>#N/A</v>
      </c>
      <c r="QD204" s="1" t="e">
        <v>#N/A</v>
      </c>
      <c r="QE204" s="1" t="e">
        <v>#N/A</v>
      </c>
      <c r="QF204" s="1" t="e">
        <v>#N/A</v>
      </c>
      <c r="QG204" s="1" t="e">
        <v>#N/A</v>
      </c>
      <c r="QH204" s="1" t="e">
        <v>#N/A</v>
      </c>
      <c r="QI204" s="1" t="e">
        <v>#N/A</v>
      </c>
      <c r="QJ204" s="1" t="e">
        <v>#N/A</v>
      </c>
      <c r="QK204" s="1" t="e">
        <v>#N/A</v>
      </c>
      <c r="QL204" s="1" t="e">
        <v>#N/A</v>
      </c>
      <c r="QM204" s="1" t="e">
        <v>#N/A</v>
      </c>
      <c r="QN204" s="1" t="e">
        <v>#N/A</v>
      </c>
      <c r="QO204" s="1" t="e">
        <v>#N/A</v>
      </c>
      <c r="QP204" s="1" t="e">
        <v>#N/A</v>
      </c>
    </row>
    <row r="205" spans="1:458" ht="26.25" x14ac:dyDescent="0.4">
      <c r="A205" s="347"/>
      <c r="B205" s="348"/>
      <c r="C205" s="288"/>
      <c r="D205" s="349"/>
      <c r="E205" s="350"/>
      <c r="F205" s="351"/>
      <c r="G205" s="352"/>
      <c r="H205" s="348"/>
      <c r="I205" s="353"/>
      <c r="J205" s="353"/>
      <c r="PJ205" s="1" t="e">
        <v>#N/A</v>
      </c>
      <c r="PK205" s="1" t="e">
        <v>#N/A</v>
      </c>
      <c r="PL205" s="1" t="e">
        <v>#N/A</v>
      </c>
      <c r="PM205" s="1" t="e">
        <v>#N/A</v>
      </c>
      <c r="PN205" s="1" t="e">
        <v>#N/A</v>
      </c>
      <c r="PO205" s="1" t="e">
        <v>#N/A</v>
      </c>
      <c r="PP205" s="1" t="e">
        <v>#N/A</v>
      </c>
      <c r="PQ205" s="1" t="e">
        <v>#N/A</v>
      </c>
      <c r="PR205" s="1" t="e">
        <v>#N/A</v>
      </c>
      <c r="PS205" s="1" t="e">
        <v>#N/A</v>
      </c>
      <c r="PT205" s="1" t="e">
        <v>#N/A</v>
      </c>
      <c r="PU205" s="1" t="e">
        <v>#N/A</v>
      </c>
      <c r="PV205" s="1" t="e">
        <v>#N/A</v>
      </c>
      <c r="PW205" s="1" t="e">
        <v>#N/A</v>
      </c>
      <c r="PX205" s="1" t="e">
        <v>#N/A</v>
      </c>
      <c r="PY205" s="1" t="e">
        <v>#N/A</v>
      </c>
      <c r="PZ205" s="1" t="e">
        <v>#N/A</v>
      </c>
      <c r="QA205" s="1" t="e">
        <v>#N/A</v>
      </c>
      <c r="QB205" s="1" t="e">
        <v>#N/A</v>
      </c>
      <c r="QC205" s="1" t="e">
        <v>#N/A</v>
      </c>
      <c r="QD205" s="1" t="e">
        <v>#N/A</v>
      </c>
      <c r="QE205" s="1" t="e">
        <v>#N/A</v>
      </c>
      <c r="QF205" s="1" t="e">
        <v>#N/A</v>
      </c>
      <c r="QG205" s="1" t="e">
        <v>#N/A</v>
      </c>
      <c r="QH205" s="1" t="e">
        <v>#N/A</v>
      </c>
      <c r="QI205" s="1" t="e">
        <v>#N/A</v>
      </c>
      <c r="QJ205" s="1" t="e">
        <v>#N/A</v>
      </c>
      <c r="QK205" s="1" t="e">
        <v>#N/A</v>
      </c>
      <c r="QL205" s="1" t="e">
        <v>#N/A</v>
      </c>
      <c r="QM205" s="1" t="e">
        <v>#N/A</v>
      </c>
      <c r="QN205" s="1" t="e">
        <v>#N/A</v>
      </c>
      <c r="QO205" s="1" t="e">
        <v>#N/A</v>
      </c>
      <c r="QP205" s="1" t="e">
        <v>#N/A</v>
      </c>
    </row>
    <row r="206" spans="1:458" ht="26.25" x14ac:dyDescent="0.4">
      <c r="A206" s="347"/>
      <c r="B206" s="348"/>
      <c r="C206" s="288"/>
      <c r="D206" s="349"/>
      <c r="E206" s="350"/>
      <c r="F206" s="351"/>
      <c r="G206" s="352"/>
      <c r="H206" s="348"/>
      <c r="I206" s="353"/>
      <c r="J206" s="353"/>
      <c r="PJ206" s="1" t="e">
        <v>#N/A</v>
      </c>
      <c r="PK206" s="1" t="e">
        <v>#N/A</v>
      </c>
      <c r="PL206" s="1" t="e">
        <v>#N/A</v>
      </c>
      <c r="PM206" s="1" t="e">
        <v>#N/A</v>
      </c>
      <c r="PN206" s="1" t="e">
        <v>#N/A</v>
      </c>
      <c r="PO206" s="1" t="e">
        <v>#N/A</v>
      </c>
      <c r="PP206" s="1" t="e">
        <v>#N/A</v>
      </c>
      <c r="PQ206" s="1" t="e">
        <v>#N/A</v>
      </c>
      <c r="PR206" s="1" t="e">
        <v>#N/A</v>
      </c>
      <c r="PS206" s="1" t="e">
        <v>#N/A</v>
      </c>
      <c r="PT206" s="1" t="e">
        <v>#N/A</v>
      </c>
      <c r="PU206" s="1" t="e">
        <v>#N/A</v>
      </c>
      <c r="PV206" s="1" t="e">
        <v>#N/A</v>
      </c>
      <c r="PW206" s="1" t="e">
        <v>#N/A</v>
      </c>
      <c r="PX206" s="1" t="e">
        <v>#N/A</v>
      </c>
      <c r="PY206" s="1" t="e">
        <v>#N/A</v>
      </c>
      <c r="PZ206" s="1" t="e">
        <v>#N/A</v>
      </c>
      <c r="QA206" s="1" t="e">
        <v>#N/A</v>
      </c>
      <c r="QB206" s="1" t="e">
        <v>#N/A</v>
      </c>
      <c r="QC206" s="1" t="e">
        <v>#N/A</v>
      </c>
      <c r="QD206" s="1" t="e">
        <v>#N/A</v>
      </c>
      <c r="QE206" s="1" t="e">
        <v>#N/A</v>
      </c>
      <c r="QF206" s="1" t="e">
        <v>#N/A</v>
      </c>
      <c r="QG206" s="1" t="e">
        <v>#N/A</v>
      </c>
      <c r="QH206" s="1" t="e">
        <v>#N/A</v>
      </c>
      <c r="QI206" s="1" t="e">
        <v>#N/A</v>
      </c>
      <c r="QJ206" s="1" t="e">
        <v>#N/A</v>
      </c>
      <c r="QK206" s="1" t="e">
        <v>#N/A</v>
      </c>
      <c r="QL206" s="1" t="e">
        <v>#N/A</v>
      </c>
      <c r="QM206" s="1" t="e">
        <v>#N/A</v>
      </c>
      <c r="QN206" s="1" t="e">
        <v>#N/A</v>
      </c>
      <c r="QO206" s="1" t="e">
        <v>#N/A</v>
      </c>
      <c r="QP206" s="1" t="e">
        <v>#N/A</v>
      </c>
    </row>
    <row r="207" spans="1:458" ht="26.25" x14ac:dyDescent="0.4">
      <c r="A207" s="347"/>
      <c r="B207" s="348"/>
      <c r="C207" s="288"/>
      <c r="D207" s="349"/>
      <c r="E207" s="350"/>
      <c r="F207" s="351"/>
      <c r="G207" s="352"/>
      <c r="H207" s="348"/>
      <c r="I207" s="353"/>
      <c r="J207" s="353"/>
      <c r="PJ207" s="1" t="e">
        <v>#N/A</v>
      </c>
      <c r="PK207" s="1" t="e">
        <v>#N/A</v>
      </c>
      <c r="PL207" s="1" t="e">
        <v>#N/A</v>
      </c>
      <c r="PM207" s="1" t="e">
        <v>#N/A</v>
      </c>
      <c r="PN207" s="1" t="e">
        <v>#N/A</v>
      </c>
      <c r="PO207" s="1" t="e">
        <v>#N/A</v>
      </c>
      <c r="PP207" s="1" t="e">
        <v>#N/A</v>
      </c>
      <c r="PQ207" s="1" t="e">
        <v>#N/A</v>
      </c>
      <c r="PR207" s="1" t="e">
        <v>#N/A</v>
      </c>
      <c r="PS207" s="1" t="e">
        <v>#N/A</v>
      </c>
      <c r="PT207" s="1" t="e">
        <v>#N/A</v>
      </c>
      <c r="PU207" s="1" t="e">
        <v>#N/A</v>
      </c>
      <c r="PV207" s="1" t="e">
        <v>#N/A</v>
      </c>
      <c r="PW207" s="1" t="e">
        <v>#N/A</v>
      </c>
      <c r="PX207" s="1" t="e">
        <v>#N/A</v>
      </c>
      <c r="PY207" s="1" t="e">
        <v>#N/A</v>
      </c>
      <c r="PZ207" s="1" t="e">
        <v>#N/A</v>
      </c>
      <c r="QA207" s="1" t="e">
        <v>#N/A</v>
      </c>
      <c r="QB207" s="1" t="e">
        <v>#N/A</v>
      </c>
      <c r="QC207" s="1" t="e">
        <v>#N/A</v>
      </c>
      <c r="QD207" s="1" t="e">
        <v>#N/A</v>
      </c>
      <c r="QE207" s="1" t="e">
        <v>#N/A</v>
      </c>
      <c r="QF207" s="1" t="e">
        <v>#N/A</v>
      </c>
      <c r="QG207" s="1" t="e">
        <v>#N/A</v>
      </c>
      <c r="QH207" s="1" t="e">
        <v>#N/A</v>
      </c>
      <c r="QI207" s="1" t="e">
        <v>#N/A</v>
      </c>
      <c r="QJ207" s="1" t="e">
        <v>#N/A</v>
      </c>
      <c r="QK207" s="1" t="e">
        <v>#N/A</v>
      </c>
      <c r="QL207" s="1" t="e">
        <v>#N/A</v>
      </c>
      <c r="QM207" s="1" t="e">
        <v>#N/A</v>
      </c>
      <c r="QN207" s="1" t="e">
        <v>#N/A</v>
      </c>
      <c r="QO207" s="1" t="e">
        <v>#N/A</v>
      </c>
      <c r="QP207" s="1" t="e">
        <v>#N/A</v>
      </c>
    </row>
    <row r="208" spans="1:458" ht="26.25" x14ac:dyDescent="0.4">
      <c r="A208" s="347"/>
      <c r="B208" s="348"/>
      <c r="C208" s="288"/>
      <c r="D208" s="349"/>
      <c r="E208" s="350"/>
      <c r="F208" s="351"/>
      <c r="G208" s="352"/>
      <c r="H208" s="348"/>
      <c r="I208" s="353"/>
      <c r="J208" s="353"/>
      <c r="PJ208" s="1" t="e">
        <v>#N/A</v>
      </c>
      <c r="PK208" s="1" t="e">
        <v>#N/A</v>
      </c>
      <c r="PL208" s="1" t="e">
        <v>#N/A</v>
      </c>
      <c r="PM208" s="1" t="e">
        <v>#N/A</v>
      </c>
      <c r="PN208" s="1" t="e">
        <v>#N/A</v>
      </c>
      <c r="PO208" s="1" t="e">
        <v>#N/A</v>
      </c>
      <c r="PP208" s="1" t="e">
        <v>#N/A</v>
      </c>
      <c r="PQ208" s="1" t="e">
        <v>#N/A</v>
      </c>
      <c r="PR208" s="1" t="e">
        <v>#N/A</v>
      </c>
      <c r="PS208" s="1" t="e">
        <v>#N/A</v>
      </c>
      <c r="PT208" s="1" t="e">
        <v>#N/A</v>
      </c>
      <c r="PU208" s="1" t="e">
        <v>#N/A</v>
      </c>
      <c r="PV208" s="1" t="e">
        <v>#N/A</v>
      </c>
      <c r="PW208" s="1" t="e">
        <v>#N/A</v>
      </c>
      <c r="PX208" s="1" t="e">
        <v>#N/A</v>
      </c>
      <c r="PY208" s="1" t="e">
        <v>#N/A</v>
      </c>
      <c r="PZ208" s="1" t="e">
        <v>#N/A</v>
      </c>
      <c r="QA208" s="1" t="e">
        <v>#N/A</v>
      </c>
      <c r="QB208" s="1" t="e">
        <v>#N/A</v>
      </c>
      <c r="QC208" s="1" t="e">
        <v>#N/A</v>
      </c>
      <c r="QD208" s="1" t="e">
        <v>#N/A</v>
      </c>
      <c r="QE208" s="1" t="e">
        <v>#N/A</v>
      </c>
      <c r="QF208" s="1" t="e">
        <v>#N/A</v>
      </c>
      <c r="QG208" s="1" t="e">
        <v>#N/A</v>
      </c>
      <c r="QH208" s="1" t="e">
        <v>#N/A</v>
      </c>
      <c r="QI208" s="1" t="e">
        <v>#N/A</v>
      </c>
      <c r="QJ208" s="1" t="e">
        <v>#N/A</v>
      </c>
      <c r="QK208" s="1" t="e">
        <v>#N/A</v>
      </c>
      <c r="QL208" s="1" t="e">
        <v>#N/A</v>
      </c>
      <c r="QM208" s="1" t="e">
        <v>#N/A</v>
      </c>
      <c r="QN208" s="1" t="e">
        <v>#N/A</v>
      </c>
      <c r="QO208" s="1" t="e">
        <v>#N/A</v>
      </c>
      <c r="QP208" s="1" t="e">
        <v>#N/A</v>
      </c>
    </row>
    <row r="209" spans="1:458" ht="26.25" x14ac:dyDescent="0.4">
      <c r="A209" s="347"/>
      <c r="B209" s="348"/>
      <c r="C209" s="288"/>
      <c r="D209" s="349"/>
      <c r="E209" s="350"/>
      <c r="F209" s="351"/>
      <c r="G209" s="352"/>
      <c r="H209" s="348"/>
      <c r="I209" s="353"/>
      <c r="J209" s="353"/>
      <c r="PJ209" s="1" t="e">
        <v>#N/A</v>
      </c>
      <c r="PK209" s="1" t="e">
        <v>#N/A</v>
      </c>
      <c r="PL209" s="1" t="e">
        <v>#N/A</v>
      </c>
      <c r="PM209" s="1" t="e">
        <v>#N/A</v>
      </c>
      <c r="PN209" s="1" t="e">
        <v>#N/A</v>
      </c>
      <c r="PO209" s="1" t="e">
        <v>#N/A</v>
      </c>
      <c r="PP209" s="1" t="e">
        <v>#N/A</v>
      </c>
      <c r="PQ209" s="1" t="e">
        <v>#N/A</v>
      </c>
      <c r="PR209" s="1" t="e">
        <v>#N/A</v>
      </c>
      <c r="PS209" s="1" t="e">
        <v>#N/A</v>
      </c>
      <c r="PT209" s="1" t="e">
        <v>#N/A</v>
      </c>
      <c r="PU209" s="1" t="e">
        <v>#N/A</v>
      </c>
      <c r="PV209" s="1" t="e">
        <v>#N/A</v>
      </c>
      <c r="PW209" s="1" t="e">
        <v>#N/A</v>
      </c>
      <c r="PX209" s="1" t="e">
        <v>#N/A</v>
      </c>
      <c r="PY209" s="1" t="e">
        <v>#N/A</v>
      </c>
      <c r="PZ209" s="1" t="e">
        <v>#N/A</v>
      </c>
      <c r="QA209" s="1" t="e">
        <v>#N/A</v>
      </c>
      <c r="QB209" s="1" t="e">
        <v>#N/A</v>
      </c>
      <c r="QC209" s="1" t="e">
        <v>#N/A</v>
      </c>
      <c r="QD209" s="1" t="e">
        <v>#N/A</v>
      </c>
      <c r="QE209" s="1" t="e">
        <v>#N/A</v>
      </c>
      <c r="QF209" s="1" t="e">
        <v>#N/A</v>
      </c>
      <c r="QG209" s="1" t="e">
        <v>#N/A</v>
      </c>
      <c r="QH209" s="1" t="e">
        <v>#N/A</v>
      </c>
      <c r="QI209" s="1" t="e">
        <v>#N/A</v>
      </c>
      <c r="QJ209" s="1" t="e">
        <v>#N/A</v>
      </c>
      <c r="QK209" s="1" t="e">
        <v>#N/A</v>
      </c>
      <c r="QL209" s="1" t="e">
        <v>#N/A</v>
      </c>
      <c r="QM209" s="1" t="e">
        <v>#N/A</v>
      </c>
      <c r="QN209" s="1" t="e">
        <v>#N/A</v>
      </c>
      <c r="QO209" s="1" t="e">
        <v>#N/A</v>
      </c>
      <c r="QP209" s="1" t="e">
        <v>#N/A</v>
      </c>
    </row>
    <row r="210" spans="1:458" ht="26.25" x14ac:dyDescent="0.4">
      <c r="A210" s="347"/>
      <c r="B210" s="348"/>
      <c r="C210" s="288"/>
      <c r="D210" s="349"/>
      <c r="E210" s="350"/>
      <c r="F210" s="351"/>
      <c r="G210" s="352"/>
      <c r="H210" s="348"/>
      <c r="I210" s="353"/>
      <c r="J210" s="353"/>
      <c r="PJ210" s="1" t="e">
        <v>#N/A</v>
      </c>
      <c r="PK210" s="1" t="e">
        <v>#N/A</v>
      </c>
      <c r="PL210" s="1" t="e">
        <v>#N/A</v>
      </c>
      <c r="PM210" s="1" t="e">
        <v>#N/A</v>
      </c>
      <c r="PN210" s="1" t="e">
        <v>#N/A</v>
      </c>
      <c r="PO210" s="1" t="e">
        <v>#N/A</v>
      </c>
      <c r="PP210" s="1" t="e">
        <v>#N/A</v>
      </c>
      <c r="PQ210" s="1" t="e">
        <v>#N/A</v>
      </c>
      <c r="PR210" s="1" t="e">
        <v>#N/A</v>
      </c>
      <c r="PS210" s="1" t="e">
        <v>#N/A</v>
      </c>
      <c r="PT210" s="1" t="e">
        <v>#N/A</v>
      </c>
      <c r="PU210" s="1" t="e">
        <v>#N/A</v>
      </c>
      <c r="PV210" s="1" t="e">
        <v>#N/A</v>
      </c>
      <c r="PW210" s="1" t="e">
        <v>#N/A</v>
      </c>
      <c r="PX210" s="1" t="e">
        <v>#N/A</v>
      </c>
      <c r="PY210" s="1" t="e">
        <v>#N/A</v>
      </c>
      <c r="PZ210" s="1" t="e">
        <v>#N/A</v>
      </c>
      <c r="QA210" s="1" t="e">
        <v>#N/A</v>
      </c>
      <c r="QB210" s="1" t="e">
        <v>#N/A</v>
      </c>
      <c r="QC210" s="1" t="e">
        <v>#N/A</v>
      </c>
      <c r="QD210" s="1" t="e">
        <v>#N/A</v>
      </c>
      <c r="QE210" s="1" t="e">
        <v>#N/A</v>
      </c>
      <c r="QF210" s="1" t="e">
        <v>#N/A</v>
      </c>
      <c r="QG210" s="1" t="e">
        <v>#N/A</v>
      </c>
      <c r="QH210" s="1" t="e">
        <v>#N/A</v>
      </c>
      <c r="QI210" s="1" t="e">
        <v>#N/A</v>
      </c>
      <c r="QJ210" s="1" t="e">
        <v>#N/A</v>
      </c>
      <c r="QK210" s="1" t="e">
        <v>#N/A</v>
      </c>
      <c r="QL210" s="1" t="e">
        <v>#N/A</v>
      </c>
      <c r="QM210" s="1" t="e">
        <v>#N/A</v>
      </c>
      <c r="QN210" s="1" t="e">
        <v>#N/A</v>
      </c>
      <c r="QO210" s="1" t="e">
        <v>#N/A</v>
      </c>
      <c r="QP210" s="1" t="e">
        <v>#N/A</v>
      </c>
    </row>
    <row r="211" spans="1:458" ht="26.25" x14ac:dyDescent="0.4">
      <c r="A211" s="347"/>
      <c r="B211" s="348"/>
      <c r="C211" s="288"/>
      <c r="D211" s="349"/>
      <c r="E211" s="350"/>
      <c r="F211" s="351"/>
      <c r="G211" s="352"/>
      <c r="H211" s="348"/>
      <c r="I211" s="353"/>
      <c r="J211" s="353"/>
      <c r="PJ211" s="1" t="e">
        <v>#N/A</v>
      </c>
      <c r="PK211" s="1" t="e">
        <v>#N/A</v>
      </c>
      <c r="PL211" s="1" t="e">
        <v>#N/A</v>
      </c>
      <c r="PM211" s="1" t="e">
        <v>#N/A</v>
      </c>
      <c r="PN211" s="1" t="e">
        <v>#N/A</v>
      </c>
      <c r="PO211" s="1" t="e">
        <v>#N/A</v>
      </c>
      <c r="PP211" s="1" t="e">
        <v>#N/A</v>
      </c>
      <c r="PQ211" s="1" t="e">
        <v>#N/A</v>
      </c>
      <c r="PR211" s="1" t="e">
        <v>#N/A</v>
      </c>
      <c r="PS211" s="1" t="e">
        <v>#N/A</v>
      </c>
      <c r="PT211" s="1" t="e">
        <v>#N/A</v>
      </c>
      <c r="PU211" s="1" t="e">
        <v>#N/A</v>
      </c>
      <c r="PV211" s="1" t="e">
        <v>#N/A</v>
      </c>
      <c r="PW211" s="1" t="e">
        <v>#N/A</v>
      </c>
      <c r="PX211" s="1" t="e">
        <v>#N/A</v>
      </c>
      <c r="PY211" s="1" t="e">
        <v>#N/A</v>
      </c>
      <c r="PZ211" s="1" t="e">
        <v>#N/A</v>
      </c>
      <c r="QA211" s="1" t="e">
        <v>#N/A</v>
      </c>
      <c r="QB211" s="1" t="e">
        <v>#N/A</v>
      </c>
      <c r="QC211" s="1" t="e">
        <v>#N/A</v>
      </c>
      <c r="QD211" s="1" t="e">
        <v>#N/A</v>
      </c>
      <c r="QE211" s="1" t="e">
        <v>#N/A</v>
      </c>
      <c r="QF211" s="1" t="e">
        <v>#N/A</v>
      </c>
      <c r="QG211" s="1" t="e">
        <v>#N/A</v>
      </c>
      <c r="QH211" s="1" t="e">
        <v>#N/A</v>
      </c>
      <c r="QI211" s="1" t="e">
        <v>#N/A</v>
      </c>
      <c r="QJ211" s="1" t="e">
        <v>#N/A</v>
      </c>
      <c r="QK211" s="1" t="e">
        <v>#N/A</v>
      </c>
      <c r="QL211" s="1" t="e">
        <v>#N/A</v>
      </c>
      <c r="QM211" s="1" t="e">
        <v>#N/A</v>
      </c>
      <c r="QN211" s="1" t="e">
        <v>#N/A</v>
      </c>
      <c r="QO211" s="1" t="e">
        <v>#N/A</v>
      </c>
      <c r="QP211" s="1" t="e">
        <v>#N/A</v>
      </c>
    </row>
    <row r="212" spans="1:458" ht="26.25" x14ac:dyDescent="0.4">
      <c r="A212" s="347"/>
      <c r="B212" s="348"/>
      <c r="C212" s="288"/>
      <c r="D212" s="349"/>
      <c r="E212" s="350"/>
      <c r="F212" s="351"/>
      <c r="G212" s="352"/>
      <c r="H212" s="348"/>
      <c r="I212" s="353"/>
      <c r="J212" s="353"/>
      <c r="PJ212" s="1" t="e">
        <v>#N/A</v>
      </c>
      <c r="PK212" s="1" t="e">
        <v>#N/A</v>
      </c>
      <c r="PL212" s="1" t="e">
        <v>#N/A</v>
      </c>
      <c r="PM212" s="1" t="e">
        <v>#N/A</v>
      </c>
      <c r="PN212" s="1" t="e">
        <v>#N/A</v>
      </c>
      <c r="PO212" s="1" t="e">
        <v>#N/A</v>
      </c>
      <c r="PP212" s="1" t="e">
        <v>#N/A</v>
      </c>
      <c r="PQ212" s="1" t="e">
        <v>#N/A</v>
      </c>
      <c r="PR212" s="1" t="e">
        <v>#N/A</v>
      </c>
      <c r="PS212" s="1" t="e">
        <v>#N/A</v>
      </c>
      <c r="PT212" s="1" t="e">
        <v>#N/A</v>
      </c>
      <c r="PU212" s="1" t="e">
        <v>#N/A</v>
      </c>
      <c r="PV212" s="1" t="e">
        <v>#N/A</v>
      </c>
      <c r="PW212" s="1" t="e">
        <v>#N/A</v>
      </c>
      <c r="PX212" s="1" t="e">
        <v>#N/A</v>
      </c>
      <c r="PY212" s="1" t="e">
        <v>#N/A</v>
      </c>
      <c r="PZ212" s="1" t="e">
        <v>#N/A</v>
      </c>
      <c r="QA212" s="1" t="e">
        <v>#N/A</v>
      </c>
      <c r="QB212" s="1" t="e">
        <v>#N/A</v>
      </c>
      <c r="QC212" s="1" t="e">
        <v>#N/A</v>
      </c>
      <c r="QD212" s="1" t="e">
        <v>#N/A</v>
      </c>
      <c r="QE212" s="1" t="e">
        <v>#N/A</v>
      </c>
      <c r="QF212" s="1" t="e">
        <v>#N/A</v>
      </c>
      <c r="QG212" s="1" t="e">
        <v>#N/A</v>
      </c>
      <c r="QH212" s="1" t="e">
        <v>#N/A</v>
      </c>
      <c r="QI212" s="1" t="e">
        <v>#N/A</v>
      </c>
      <c r="QJ212" s="1" t="e">
        <v>#N/A</v>
      </c>
      <c r="QK212" s="1" t="e">
        <v>#N/A</v>
      </c>
      <c r="QL212" s="1" t="e">
        <v>#N/A</v>
      </c>
      <c r="QM212" s="1" t="e">
        <v>#N/A</v>
      </c>
      <c r="QN212" s="1" t="e">
        <v>#N/A</v>
      </c>
      <c r="QO212" s="1" t="e">
        <v>#N/A</v>
      </c>
      <c r="QP212" s="1" t="e">
        <v>#N/A</v>
      </c>
    </row>
    <row r="213" spans="1:458" ht="26.25" x14ac:dyDescent="0.4">
      <c r="A213" s="347"/>
      <c r="B213" s="348"/>
      <c r="C213" s="288"/>
      <c r="D213" s="349"/>
      <c r="E213" s="350"/>
      <c r="F213" s="351"/>
      <c r="G213" s="352"/>
      <c r="H213" s="348"/>
      <c r="I213" s="353"/>
      <c r="J213" s="353"/>
      <c r="PJ213" s="1" t="e">
        <v>#N/A</v>
      </c>
      <c r="PK213" s="1" t="e">
        <v>#N/A</v>
      </c>
      <c r="PL213" s="1" t="e">
        <v>#N/A</v>
      </c>
      <c r="PM213" s="1" t="e">
        <v>#N/A</v>
      </c>
      <c r="PN213" s="1" t="e">
        <v>#N/A</v>
      </c>
      <c r="PO213" s="1" t="e">
        <v>#N/A</v>
      </c>
      <c r="PP213" s="1" t="e">
        <v>#N/A</v>
      </c>
      <c r="PQ213" s="1" t="e">
        <v>#N/A</v>
      </c>
      <c r="PR213" s="1" t="e">
        <v>#N/A</v>
      </c>
      <c r="PS213" s="1" t="e">
        <v>#N/A</v>
      </c>
      <c r="PT213" s="1" t="e">
        <v>#N/A</v>
      </c>
      <c r="PU213" s="1" t="e">
        <v>#N/A</v>
      </c>
      <c r="PV213" s="1" t="e">
        <v>#N/A</v>
      </c>
      <c r="PW213" s="1" t="e">
        <v>#N/A</v>
      </c>
      <c r="PX213" s="1" t="e">
        <v>#N/A</v>
      </c>
      <c r="PY213" s="1" t="e">
        <v>#N/A</v>
      </c>
      <c r="PZ213" s="1" t="e">
        <v>#N/A</v>
      </c>
      <c r="QA213" s="1" t="e">
        <v>#N/A</v>
      </c>
      <c r="QB213" s="1" t="e">
        <v>#N/A</v>
      </c>
      <c r="QC213" s="1" t="e">
        <v>#N/A</v>
      </c>
      <c r="QD213" s="1" t="e">
        <v>#N/A</v>
      </c>
      <c r="QE213" s="1" t="e">
        <v>#N/A</v>
      </c>
      <c r="QF213" s="1" t="e">
        <v>#N/A</v>
      </c>
      <c r="QG213" s="1" t="e">
        <v>#N/A</v>
      </c>
      <c r="QH213" s="1" t="e">
        <v>#N/A</v>
      </c>
      <c r="QI213" s="1" t="e">
        <v>#N/A</v>
      </c>
      <c r="QJ213" s="1" t="e">
        <v>#N/A</v>
      </c>
      <c r="QK213" s="1" t="e">
        <v>#N/A</v>
      </c>
      <c r="QL213" s="1" t="e">
        <v>#N/A</v>
      </c>
      <c r="QM213" s="1" t="e">
        <v>#N/A</v>
      </c>
      <c r="QN213" s="1" t="e">
        <v>#N/A</v>
      </c>
      <c r="QO213" s="1" t="e">
        <v>#N/A</v>
      </c>
      <c r="QP213" s="1" t="e">
        <v>#N/A</v>
      </c>
    </row>
    <row r="214" spans="1:458" ht="26.25" x14ac:dyDescent="0.4">
      <c r="A214" s="347"/>
      <c r="B214" s="348"/>
      <c r="C214" s="288"/>
      <c r="D214" s="349"/>
      <c r="E214" s="350"/>
      <c r="F214" s="351"/>
      <c r="G214" s="352"/>
      <c r="H214" s="348"/>
      <c r="I214" s="353"/>
      <c r="J214" s="353"/>
      <c r="PJ214" s="1" t="e">
        <v>#N/A</v>
      </c>
      <c r="PK214" s="1" t="e">
        <v>#N/A</v>
      </c>
      <c r="PL214" s="1" t="e">
        <v>#N/A</v>
      </c>
      <c r="PM214" s="1" t="e">
        <v>#N/A</v>
      </c>
      <c r="PN214" s="1" t="e">
        <v>#N/A</v>
      </c>
      <c r="PO214" s="1" t="e">
        <v>#N/A</v>
      </c>
      <c r="PP214" s="1" t="e">
        <v>#N/A</v>
      </c>
      <c r="PQ214" s="1" t="e">
        <v>#N/A</v>
      </c>
      <c r="PR214" s="1" t="e">
        <v>#N/A</v>
      </c>
      <c r="PS214" s="1" t="e">
        <v>#N/A</v>
      </c>
      <c r="PT214" s="1" t="e">
        <v>#N/A</v>
      </c>
      <c r="PU214" s="1" t="e">
        <v>#N/A</v>
      </c>
      <c r="PV214" s="1" t="e">
        <v>#N/A</v>
      </c>
      <c r="PW214" s="1" t="e">
        <v>#N/A</v>
      </c>
      <c r="PX214" s="1" t="e">
        <v>#N/A</v>
      </c>
      <c r="PY214" s="1" t="e">
        <v>#N/A</v>
      </c>
      <c r="PZ214" s="1" t="e">
        <v>#N/A</v>
      </c>
      <c r="QA214" s="1" t="e">
        <v>#N/A</v>
      </c>
      <c r="QB214" s="1" t="e">
        <v>#N/A</v>
      </c>
      <c r="QC214" s="1" t="e">
        <v>#N/A</v>
      </c>
      <c r="QD214" s="1" t="e">
        <v>#N/A</v>
      </c>
      <c r="QE214" s="1" t="e">
        <v>#N/A</v>
      </c>
      <c r="QF214" s="1" t="e">
        <v>#N/A</v>
      </c>
      <c r="QG214" s="1" t="e">
        <v>#N/A</v>
      </c>
      <c r="QH214" s="1" t="e">
        <v>#N/A</v>
      </c>
      <c r="QI214" s="1" t="e">
        <v>#N/A</v>
      </c>
      <c r="QJ214" s="1" t="e">
        <v>#N/A</v>
      </c>
      <c r="QK214" s="1" t="e">
        <v>#N/A</v>
      </c>
      <c r="QL214" s="1" t="e">
        <v>#N/A</v>
      </c>
      <c r="QM214" s="1" t="e">
        <v>#N/A</v>
      </c>
      <c r="QN214" s="1" t="e">
        <v>#N/A</v>
      </c>
      <c r="QO214" s="1" t="e">
        <v>#N/A</v>
      </c>
      <c r="QP214" s="1" t="e">
        <v>#N/A</v>
      </c>
    </row>
    <row r="215" spans="1:458" ht="26.25" x14ac:dyDescent="0.4">
      <c r="A215" s="347"/>
      <c r="B215" s="348"/>
      <c r="C215" s="288"/>
      <c r="D215" s="349"/>
      <c r="E215" s="350"/>
      <c r="F215" s="351"/>
      <c r="G215" s="352"/>
      <c r="H215" s="348"/>
      <c r="I215" s="353"/>
      <c r="J215" s="353"/>
      <c r="PJ215" s="1" t="e">
        <v>#N/A</v>
      </c>
      <c r="PK215" s="1" t="e">
        <v>#N/A</v>
      </c>
      <c r="PL215" s="1" t="e">
        <v>#N/A</v>
      </c>
      <c r="PM215" s="1" t="e">
        <v>#N/A</v>
      </c>
      <c r="PN215" s="1" t="e">
        <v>#N/A</v>
      </c>
      <c r="PO215" s="1" t="e">
        <v>#N/A</v>
      </c>
      <c r="PP215" s="1" t="e">
        <v>#N/A</v>
      </c>
      <c r="PQ215" s="1" t="e">
        <v>#N/A</v>
      </c>
      <c r="PR215" s="1" t="e">
        <v>#N/A</v>
      </c>
      <c r="PS215" s="1" t="e">
        <v>#N/A</v>
      </c>
      <c r="PT215" s="1" t="e">
        <v>#N/A</v>
      </c>
      <c r="PU215" s="1" t="e">
        <v>#N/A</v>
      </c>
      <c r="PV215" s="1" t="e">
        <v>#N/A</v>
      </c>
      <c r="PW215" s="1" t="e">
        <v>#N/A</v>
      </c>
      <c r="PX215" s="1" t="e">
        <v>#N/A</v>
      </c>
      <c r="PY215" s="1" t="e">
        <v>#N/A</v>
      </c>
      <c r="PZ215" s="1" t="e">
        <v>#N/A</v>
      </c>
      <c r="QA215" s="1" t="e">
        <v>#N/A</v>
      </c>
      <c r="QB215" s="1" t="e">
        <v>#N/A</v>
      </c>
      <c r="QC215" s="1" t="e">
        <v>#N/A</v>
      </c>
      <c r="QD215" s="1" t="e">
        <v>#N/A</v>
      </c>
      <c r="QE215" s="1" t="e">
        <v>#N/A</v>
      </c>
      <c r="QF215" s="1" t="e">
        <v>#N/A</v>
      </c>
      <c r="QG215" s="1" t="e">
        <v>#N/A</v>
      </c>
      <c r="QH215" s="1" t="e">
        <v>#N/A</v>
      </c>
      <c r="QI215" s="1" t="e">
        <v>#N/A</v>
      </c>
      <c r="QJ215" s="1" t="e">
        <v>#N/A</v>
      </c>
      <c r="QK215" s="1" t="e">
        <v>#N/A</v>
      </c>
      <c r="QL215" s="1" t="e">
        <v>#N/A</v>
      </c>
      <c r="QM215" s="1" t="e">
        <v>#N/A</v>
      </c>
      <c r="QN215" s="1" t="e">
        <v>#N/A</v>
      </c>
      <c r="QO215" s="1" t="e">
        <v>#N/A</v>
      </c>
      <c r="QP215" s="1" t="e">
        <v>#N/A</v>
      </c>
    </row>
    <row r="216" spans="1:458" ht="26.25" x14ac:dyDescent="0.4">
      <c r="A216" s="347"/>
      <c r="B216" s="348"/>
      <c r="C216" s="288"/>
      <c r="D216" s="349"/>
      <c r="E216" s="350"/>
      <c r="F216" s="351"/>
      <c r="G216" s="352"/>
      <c r="H216" s="348"/>
      <c r="I216" s="353"/>
      <c r="J216" s="353"/>
      <c r="PJ216" s="1" t="e">
        <v>#N/A</v>
      </c>
      <c r="PK216" s="1" t="e">
        <v>#N/A</v>
      </c>
      <c r="PL216" s="1" t="e">
        <v>#N/A</v>
      </c>
      <c r="PM216" s="1" t="e">
        <v>#N/A</v>
      </c>
      <c r="PN216" s="1" t="e">
        <v>#N/A</v>
      </c>
      <c r="PO216" s="1" t="e">
        <v>#N/A</v>
      </c>
      <c r="PP216" s="1" t="e">
        <v>#N/A</v>
      </c>
      <c r="PQ216" s="1" t="e">
        <v>#N/A</v>
      </c>
      <c r="PR216" s="1" t="e">
        <v>#N/A</v>
      </c>
      <c r="PS216" s="1" t="e">
        <v>#N/A</v>
      </c>
      <c r="PT216" s="1" t="e">
        <v>#N/A</v>
      </c>
      <c r="PU216" s="1" t="e">
        <v>#N/A</v>
      </c>
      <c r="PV216" s="1" t="e">
        <v>#N/A</v>
      </c>
      <c r="PW216" s="1" t="e">
        <v>#N/A</v>
      </c>
      <c r="PX216" s="1" t="e">
        <v>#N/A</v>
      </c>
      <c r="PY216" s="1" t="e">
        <v>#N/A</v>
      </c>
      <c r="PZ216" s="1" t="e">
        <v>#N/A</v>
      </c>
      <c r="QA216" s="1" t="e">
        <v>#N/A</v>
      </c>
      <c r="QB216" s="1" t="e">
        <v>#N/A</v>
      </c>
      <c r="QC216" s="1" t="e">
        <v>#N/A</v>
      </c>
      <c r="QD216" s="1" t="e">
        <v>#N/A</v>
      </c>
      <c r="QE216" s="1" t="e">
        <v>#N/A</v>
      </c>
      <c r="QF216" s="1" t="e">
        <v>#N/A</v>
      </c>
      <c r="QG216" s="1" t="e">
        <v>#N/A</v>
      </c>
      <c r="QH216" s="1" t="e">
        <v>#N/A</v>
      </c>
      <c r="QI216" s="1" t="e">
        <v>#N/A</v>
      </c>
      <c r="QJ216" s="1" t="e">
        <v>#N/A</v>
      </c>
      <c r="QK216" s="1" t="e">
        <v>#N/A</v>
      </c>
      <c r="QL216" s="1" t="e">
        <v>#N/A</v>
      </c>
      <c r="QM216" s="1" t="e">
        <v>#N/A</v>
      </c>
      <c r="QN216" s="1" t="e">
        <v>#N/A</v>
      </c>
      <c r="QO216" s="1" t="e">
        <v>#N/A</v>
      </c>
      <c r="QP216" s="1" t="e">
        <v>#N/A</v>
      </c>
    </row>
    <row r="217" spans="1:458" ht="26.25" x14ac:dyDescent="0.4">
      <c r="A217" s="347"/>
      <c r="B217" s="348"/>
      <c r="C217" s="288"/>
      <c r="D217" s="349"/>
      <c r="E217" s="350"/>
      <c r="F217" s="351"/>
      <c r="G217" s="352"/>
      <c r="H217" s="348"/>
      <c r="I217" s="353"/>
      <c r="J217" s="353"/>
      <c r="PJ217" s="1" t="e">
        <v>#N/A</v>
      </c>
      <c r="PK217" s="1" t="e">
        <v>#N/A</v>
      </c>
      <c r="PL217" s="1" t="e">
        <v>#N/A</v>
      </c>
      <c r="PM217" s="1" t="e">
        <v>#N/A</v>
      </c>
      <c r="PN217" s="1" t="e">
        <v>#N/A</v>
      </c>
      <c r="PO217" s="1" t="e">
        <v>#N/A</v>
      </c>
      <c r="PP217" s="1" t="e">
        <v>#N/A</v>
      </c>
      <c r="PQ217" s="1" t="e">
        <v>#N/A</v>
      </c>
      <c r="PR217" s="1" t="e">
        <v>#N/A</v>
      </c>
      <c r="PS217" s="1" t="e">
        <v>#N/A</v>
      </c>
      <c r="PT217" s="1" t="e">
        <v>#N/A</v>
      </c>
      <c r="PU217" s="1" t="e">
        <v>#N/A</v>
      </c>
      <c r="PV217" s="1" t="e">
        <v>#N/A</v>
      </c>
      <c r="PW217" s="1" t="e">
        <v>#N/A</v>
      </c>
      <c r="PX217" s="1" t="e">
        <v>#N/A</v>
      </c>
      <c r="PY217" s="1" t="e">
        <v>#N/A</v>
      </c>
      <c r="PZ217" s="1" t="e">
        <v>#N/A</v>
      </c>
      <c r="QA217" s="1" t="e">
        <v>#N/A</v>
      </c>
      <c r="QB217" s="1" t="e">
        <v>#N/A</v>
      </c>
      <c r="QC217" s="1" t="e">
        <v>#N/A</v>
      </c>
      <c r="QD217" s="1" t="e">
        <v>#N/A</v>
      </c>
      <c r="QE217" s="1" t="e">
        <v>#N/A</v>
      </c>
      <c r="QF217" s="1" t="e">
        <v>#N/A</v>
      </c>
      <c r="QG217" s="1" t="e">
        <v>#N/A</v>
      </c>
      <c r="QH217" s="1" t="e">
        <v>#N/A</v>
      </c>
      <c r="QI217" s="1" t="e">
        <v>#N/A</v>
      </c>
      <c r="QJ217" s="1" t="e">
        <v>#N/A</v>
      </c>
      <c r="QK217" s="1" t="e">
        <v>#N/A</v>
      </c>
      <c r="QL217" s="1" t="e">
        <v>#N/A</v>
      </c>
      <c r="QM217" s="1" t="e">
        <v>#N/A</v>
      </c>
      <c r="QN217" s="1" t="e">
        <v>#N/A</v>
      </c>
      <c r="QO217" s="1" t="e">
        <v>#N/A</v>
      </c>
      <c r="QP217" s="1" t="e">
        <v>#N/A</v>
      </c>
    </row>
    <row r="218" spans="1:458" ht="26.25" x14ac:dyDescent="0.4">
      <c r="A218" s="347"/>
      <c r="B218" s="348"/>
      <c r="C218" s="288"/>
      <c r="D218" s="349"/>
      <c r="E218" s="350"/>
      <c r="F218" s="351"/>
      <c r="G218" s="352"/>
      <c r="H218" s="348"/>
      <c r="I218" s="353"/>
      <c r="J218" s="353"/>
      <c r="PJ218" s="1" t="e">
        <v>#N/A</v>
      </c>
      <c r="PK218" s="1" t="e">
        <v>#N/A</v>
      </c>
      <c r="PL218" s="1" t="e">
        <v>#N/A</v>
      </c>
      <c r="PM218" s="1" t="e">
        <v>#N/A</v>
      </c>
      <c r="PN218" s="1" t="e">
        <v>#N/A</v>
      </c>
      <c r="PO218" s="1" t="e">
        <v>#N/A</v>
      </c>
      <c r="PP218" s="1" t="e">
        <v>#N/A</v>
      </c>
      <c r="PQ218" s="1" t="e">
        <v>#N/A</v>
      </c>
      <c r="PR218" s="1" t="e">
        <v>#N/A</v>
      </c>
      <c r="PS218" s="1" t="e">
        <v>#N/A</v>
      </c>
      <c r="PT218" s="1" t="e">
        <v>#N/A</v>
      </c>
      <c r="PU218" s="1" t="e">
        <v>#N/A</v>
      </c>
      <c r="PV218" s="1" t="e">
        <v>#N/A</v>
      </c>
      <c r="PW218" s="1" t="e">
        <v>#N/A</v>
      </c>
      <c r="PX218" s="1" t="e">
        <v>#N/A</v>
      </c>
      <c r="PY218" s="1" t="e">
        <v>#N/A</v>
      </c>
      <c r="PZ218" s="1" t="e">
        <v>#N/A</v>
      </c>
      <c r="QA218" s="1" t="e">
        <v>#N/A</v>
      </c>
      <c r="QB218" s="1" t="e">
        <v>#N/A</v>
      </c>
      <c r="QC218" s="1" t="e">
        <v>#N/A</v>
      </c>
      <c r="QD218" s="1" t="e">
        <v>#N/A</v>
      </c>
      <c r="QE218" s="1" t="e">
        <v>#N/A</v>
      </c>
      <c r="QF218" s="1" t="e">
        <v>#N/A</v>
      </c>
      <c r="QG218" s="1" t="e">
        <v>#N/A</v>
      </c>
      <c r="QH218" s="1" t="e">
        <v>#N/A</v>
      </c>
      <c r="QI218" s="1" t="e">
        <v>#N/A</v>
      </c>
      <c r="QJ218" s="1" t="e">
        <v>#N/A</v>
      </c>
      <c r="QK218" s="1" t="e">
        <v>#N/A</v>
      </c>
      <c r="QL218" s="1" t="e">
        <v>#N/A</v>
      </c>
      <c r="QM218" s="1" t="e">
        <v>#N/A</v>
      </c>
      <c r="QN218" s="1" t="e">
        <v>#N/A</v>
      </c>
      <c r="QO218" s="1" t="e">
        <v>#N/A</v>
      </c>
      <c r="QP218" s="1" t="e">
        <v>#N/A</v>
      </c>
    </row>
    <row r="219" spans="1:458" ht="26.25" x14ac:dyDescent="0.4">
      <c r="A219" s="347"/>
      <c r="B219" s="348"/>
      <c r="C219" s="288"/>
      <c r="D219" s="349"/>
      <c r="E219" s="350"/>
      <c r="F219" s="351"/>
      <c r="G219" s="352"/>
      <c r="H219" s="348"/>
      <c r="I219" s="353"/>
      <c r="J219" s="353"/>
      <c r="PJ219" s="1" t="e">
        <v>#N/A</v>
      </c>
      <c r="PK219" s="1" t="e">
        <v>#N/A</v>
      </c>
      <c r="PL219" s="1" t="e">
        <v>#N/A</v>
      </c>
      <c r="PM219" s="1" t="e">
        <v>#N/A</v>
      </c>
      <c r="PN219" s="1" t="e">
        <v>#N/A</v>
      </c>
      <c r="PO219" s="1" t="e">
        <v>#N/A</v>
      </c>
      <c r="PP219" s="1" t="e">
        <v>#N/A</v>
      </c>
      <c r="PQ219" s="1" t="e">
        <v>#N/A</v>
      </c>
      <c r="PR219" s="1" t="e">
        <v>#N/A</v>
      </c>
      <c r="PS219" s="1" t="e">
        <v>#N/A</v>
      </c>
      <c r="PT219" s="1" t="e">
        <v>#N/A</v>
      </c>
      <c r="PU219" s="1" t="e">
        <v>#N/A</v>
      </c>
      <c r="PV219" s="1" t="e">
        <v>#N/A</v>
      </c>
      <c r="PW219" s="1" t="e">
        <v>#N/A</v>
      </c>
      <c r="PX219" s="1" t="e">
        <v>#N/A</v>
      </c>
      <c r="PY219" s="1" t="e">
        <v>#N/A</v>
      </c>
      <c r="PZ219" s="1" t="e">
        <v>#N/A</v>
      </c>
      <c r="QA219" s="1" t="e">
        <v>#N/A</v>
      </c>
      <c r="QB219" s="1" t="e">
        <v>#N/A</v>
      </c>
      <c r="QC219" s="1" t="e">
        <v>#N/A</v>
      </c>
      <c r="QD219" s="1" t="e">
        <v>#N/A</v>
      </c>
      <c r="QE219" s="1" t="e">
        <v>#N/A</v>
      </c>
      <c r="QF219" s="1" t="e">
        <v>#N/A</v>
      </c>
      <c r="QG219" s="1" t="e">
        <v>#N/A</v>
      </c>
      <c r="QH219" s="1" t="e">
        <v>#N/A</v>
      </c>
      <c r="QI219" s="1" t="e">
        <v>#N/A</v>
      </c>
      <c r="QJ219" s="1" t="e">
        <v>#N/A</v>
      </c>
      <c r="QK219" s="1" t="e">
        <v>#N/A</v>
      </c>
      <c r="QL219" s="1" t="e">
        <v>#N/A</v>
      </c>
      <c r="QM219" s="1" t="e">
        <v>#N/A</v>
      </c>
      <c r="QN219" s="1" t="e">
        <v>#N/A</v>
      </c>
      <c r="QO219" s="1" t="e">
        <v>#N/A</v>
      </c>
      <c r="QP219" s="1" t="e">
        <v>#N/A</v>
      </c>
    </row>
    <row r="220" spans="1:458" ht="26.25" x14ac:dyDescent="0.4">
      <c r="A220" s="347"/>
      <c r="B220" s="348"/>
      <c r="C220" s="288"/>
      <c r="D220" s="349"/>
      <c r="E220" s="350"/>
      <c r="F220" s="351"/>
      <c r="G220" s="352"/>
      <c r="H220" s="348"/>
      <c r="I220" s="353"/>
      <c r="J220" s="353"/>
      <c r="PJ220" s="1" t="e">
        <v>#N/A</v>
      </c>
      <c r="PK220" s="1" t="e">
        <v>#N/A</v>
      </c>
      <c r="PL220" s="1" t="e">
        <v>#N/A</v>
      </c>
      <c r="PM220" s="1" t="e">
        <v>#N/A</v>
      </c>
      <c r="PN220" s="1" t="e">
        <v>#N/A</v>
      </c>
      <c r="PO220" s="1" t="e">
        <v>#N/A</v>
      </c>
      <c r="PP220" s="1" t="e">
        <v>#N/A</v>
      </c>
      <c r="PQ220" s="1" t="e">
        <v>#N/A</v>
      </c>
      <c r="PR220" s="1" t="e">
        <v>#N/A</v>
      </c>
      <c r="PS220" s="1" t="e">
        <v>#N/A</v>
      </c>
      <c r="PT220" s="1" t="e">
        <v>#N/A</v>
      </c>
      <c r="PU220" s="1" t="e">
        <v>#N/A</v>
      </c>
      <c r="PV220" s="1" t="e">
        <v>#N/A</v>
      </c>
      <c r="PW220" s="1" t="e">
        <v>#N/A</v>
      </c>
      <c r="PX220" s="1" t="e">
        <v>#N/A</v>
      </c>
      <c r="PY220" s="1" t="e">
        <v>#N/A</v>
      </c>
      <c r="PZ220" s="1" t="e">
        <v>#N/A</v>
      </c>
      <c r="QA220" s="1" t="e">
        <v>#N/A</v>
      </c>
      <c r="QB220" s="1" t="e">
        <v>#N/A</v>
      </c>
      <c r="QC220" s="1" t="e">
        <v>#N/A</v>
      </c>
      <c r="QD220" s="1" t="e">
        <v>#N/A</v>
      </c>
      <c r="QE220" s="1" t="e">
        <v>#N/A</v>
      </c>
      <c r="QF220" s="1" t="e">
        <v>#N/A</v>
      </c>
      <c r="QG220" s="1" t="e">
        <v>#N/A</v>
      </c>
      <c r="QH220" s="1" t="e">
        <v>#N/A</v>
      </c>
      <c r="QI220" s="1" t="e">
        <v>#N/A</v>
      </c>
      <c r="QJ220" s="1" t="e">
        <v>#N/A</v>
      </c>
      <c r="QK220" s="1" t="e">
        <v>#N/A</v>
      </c>
      <c r="QL220" s="1" t="e">
        <v>#N/A</v>
      </c>
      <c r="QM220" s="1" t="e">
        <v>#N/A</v>
      </c>
      <c r="QN220" s="1" t="e">
        <v>#N/A</v>
      </c>
      <c r="QO220" s="1" t="e">
        <v>#N/A</v>
      </c>
      <c r="QP220" s="1" t="e">
        <v>#N/A</v>
      </c>
    </row>
    <row r="221" spans="1:458" ht="26.25" x14ac:dyDescent="0.4">
      <c r="A221" s="347"/>
      <c r="B221" s="348"/>
      <c r="C221" s="288"/>
      <c r="D221" s="349"/>
      <c r="E221" s="350"/>
      <c r="F221" s="351"/>
      <c r="G221" s="352"/>
      <c r="H221" s="348"/>
      <c r="I221" s="353"/>
      <c r="J221" s="353"/>
      <c r="PJ221" s="1" t="e">
        <v>#N/A</v>
      </c>
      <c r="PK221" s="1" t="e">
        <v>#N/A</v>
      </c>
      <c r="PL221" s="1" t="e">
        <v>#N/A</v>
      </c>
      <c r="PM221" s="1" t="e">
        <v>#N/A</v>
      </c>
      <c r="PN221" s="1" t="e">
        <v>#N/A</v>
      </c>
      <c r="PO221" s="1" t="e">
        <v>#N/A</v>
      </c>
      <c r="PP221" s="1" t="e">
        <v>#N/A</v>
      </c>
      <c r="PQ221" s="1" t="e">
        <v>#N/A</v>
      </c>
      <c r="PR221" s="1" t="e">
        <v>#N/A</v>
      </c>
      <c r="PS221" s="1" t="e">
        <v>#N/A</v>
      </c>
      <c r="PT221" s="1" t="e">
        <v>#N/A</v>
      </c>
      <c r="PU221" s="1" t="e">
        <v>#N/A</v>
      </c>
      <c r="PV221" s="1" t="e">
        <v>#N/A</v>
      </c>
      <c r="PW221" s="1" t="e">
        <v>#N/A</v>
      </c>
      <c r="PX221" s="1" t="e">
        <v>#N/A</v>
      </c>
      <c r="PY221" s="1" t="e">
        <v>#N/A</v>
      </c>
      <c r="PZ221" s="1" t="e">
        <v>#N/A</v>
      </c>
      <c r="QA221" s="1" t="e">
        <v>#N/A</v>
      </c>
      <c r="QB221" s="1" t="e">
        <v>#N/A</v>
      </c>
      <c r="QC221" s="1" t="e">
        <v>#N/A</v>
      </c>
      <c r="QD221" s="1" t="e">
        <v>#N/A</v>
      </c>
      <c r="QE221" s="1" t="e">
        <v>#N/A</v>
      </c>
      <c r="QF221" s="1" t="e">
        <v>#N/A</v>
      </c>
      <c r="QG221" s="1" t="e">
        <v>#N/A</v>
      </c>
      <c r="QH221" s="1" t="e">
        <v>#N/A</v>
      </c>
      <c r="QI221" s="1" t="e">
        <v>#N/A</v>
      </c>
      <c r="QJ221" s="1" t="e">
        <v>#N/A</v>
      </c>
      <c r="QK221" s="1" t="e">
        <v>#N/A</v>
      </c>
      <c r="QL221" s="1" t="e">
        <v>#N/A</v>
      </c>
      <c r="QM221" s="1" t="e">
        <v>#N/A</v>
      </c>
      <c r="QN221" s="1" t="e">
        <v>#N/A</v>
      </c>
      <c r="QO221" s="1" t="e">
        <v>#N/A</v>
      </c>
      <c r="QP221" s="1" t="e">
        <v>#N/A</v>
      </c>
    </row>
    <row r="222" spans="1:458" ht="26.25" x14ac:dyDescent="0.4">
      <c r="A222" s="347"/>
      <c r="B222" s="348"/>
      <c r="C222" s="288"/>
      <c r="D222" s="349"/>
      <c r="E222" s="350"/>
      <c r="F222" s="351"/>
      <c r="G222" s="352"/>
      <c r="H222" s="348"/>
      <c r="I222" s="353"/>
      <c r="J222" s="353"/>
      <c r="PJ222" s="1" t="e">
        <v>#N/A</v>
      </c>
      <c r="PK222" s="1" t="e">
        <v>#N/A</v>
      </c>
      <c r="PL222" s="1" t="e">
        <v>#N/A</v>
      </c>
      <c r="PM222" s="1" t="e">
        <v>#N/A</v>
      </c>
      <c r="PN222" s="1" t="e">
        <v>#N/A</v>
      </c>
      <c r="PO222" s="1" t="e">
        <v>#N/A</v>
      </c>
      <c r="PP222" s="1" t="e">
        <v>#N/A</v>
      </c>
      <c r="PQ222" s="1" t="e">
        <v>#N/A</v>
      </c>
      <c r="PR222" s="1" t="e">
        <v>#N/A</v>
      </c>
      <c r="PS222" s="1" t="e">
        <v>#N/A</v>
      </c>
      <c r="PT222" s="1" t="e">
        <v>#N/A</v>
      </c>
      <c r="PU222" s="1" t="e">
        <v>#N/A</v>
      </c>
      <c r="PV222" s="1" t="e">
        <v>#N/A</v>
      </c>
      <c r="PW222" s="1" t="e">
        <v>#N/A</v>
      </c>
      <c r="PX222" s="1" t="e">
        <v>#N/A</v>
      </c>
      <c r="PY222" s="1" t="e">
        <v>#N/A</v>
      </c>
      <c r="PZ222" s="1" t="e">
        <v>#N/A</v>
      </c>
      <c r="QA222" s="1" t="e">
        <v>#N/A</v>
      </c>
      <c r="QB222" s="1" t="e">
        <v>#N/A</v>
      </c>
      <c r="QC222" s="1" t="e">
        <v>#N/A</v>
      </c>
      <c r="QD222" s="1" t="e">
        <v>#N/A</v>
      </c>
      <c r="QE222" s="1" t="e">
        <v>#N/A</v>
      </c>
      <c r="QF222" s="1" t="e">
        <v>#N/A</v>
      </c>
      <c r="QG222" s="1" t="e">
        <v>#N/A</v>
      </c>
      <c r="QH222" s="1" t="e">
        <v>#N/A</v>
      </c>
      <c r="QI222" s="1" t="e">
        <v>#N/A</v>
      </c>
      <c r="QJ222" s="1" t="e">
        <v>#N/A</v>
      </c>
      <c r="QK222" s="1" t="e">
        <v>#N/A</v>
      </c>
      <c r="QL222" s="1" t="e">
        <v>#N/A</v>
      </c>
      <c r="QM222" s="1" t="e">
        <v>#N/A</v>
      </c>
      <c r="QN222" s="1" t="e">
        <v>#N/A</v>
      </c>
      <c r="QO222" s="1" t="e">
        <v>#N/A</v>
      </c>
      <c r="QP222" s="1" t="e">
        <v>#N/A</v>
      </c>
    </row>
    <row r="223" spans="1:458" ht="26.25" x14ac:dyDescent="0.4">
      <c r="A223" s="347"/>
      <c r="B223" s="348"/>
      <c r="C223" s="288"/>
      <c r="D223" s="349"/>
      <c r="E223" s="350"/>
      <c r="F223" s="351"/>
      <c r="G223" s="352"/>
      <c r="H223" s="348"/>
      <c r="I223" s="353"/>
      <c r="J223" s="353"/>
      <c r="PJ223" s="1" t="e">
        <v>#N/A</v>
      </c>
      <c r="PK223" s="1" t="e">
        <v>#N/A</v>
      </c>
      <c r="PL223" s="1" t="e">
        <v>#N/A</v>
      </c>
      <c r="PM223" s="1" t="e">
        <v>#N/A</v>
      </c>
      <c r="PN223" s="1" t="e">
        <v>#N/A</v>
      </c>
      <c r="PO223" s="1" t="e">
        <v>#N/A</v>
      </c>
      <c r="PP223" s="1" t="e">
        <v>#N/A</v>
      </c>
      <c r="PQ223" s="1" t="e">
        <v>#N/A</v>
      </c>
      <c r="PR223" s="1" t="e">
        <v>#N/A</v>
      </c>
      <c r="PS223" s="1" t="e">
        <v>#N/A</v>
      </c>
      <c r="PT223" s="1" t="e">
        <v>#N/A</v>
      </c>
      <c r="PU223" s="1" t="e">
        <v>#N/A</v>
      </c>
      <c r="PV223" s="1" t="e">
        <v>#N/A</v>
      </c>
      <c r="PW223" s="1" t="e">
        <v>#N/A</v>
      </c>
      <c r="PX223" s="1" t="e">
        <v>#N/A</v>
      </c>
      <c r="PY223" s="1" t="e">
        <v>#N/A</v>
      </c>
      <c r="PZ223" s="1" t="e">
        <v>#N/A</v>
      </c>
      <c r="QA223" s="1" t="e">
        <v>#N/A</v>
      </c>
      <c r="QB223" s="1" t="e">
        <v>#N/A</v>
      </c>
      <c r="QC223" s="1" t="e">
        <v>#N/A</v>
      </c>
      <c r="QD223" s="1" t="e">
        <v>#N/A</v>
      </c>
      <c r="QE223" s="1" t="e">
        <v>#N/A</v>
      </c>
      <c r="QF223" s="1" t="e">
        <v>#N/A</v>
      </c>
      <c r="QG223" s="1" t="e">
        <v>#N/A</v>
      </c>
      <c r="QH223" s="1" t="e">
        <v>#N/A</v>
      </c>
      <c r="QI223" s="1" t="e">
        <v>#N/A</v>
      </c>
      <c r="QJ223" s="1" t="e">
        <v>#N/A</v>
      </c>
      <c r="QK223" s="1" t="e">
        <v>#N/A</v>
      </c>
      <c r="QL223" s="1" t="e">
        <v>#N/A</v>
      </c>
      <c r="QM223" s="1" t="e">
        <v>#N/A</v>
      </c>
      <c r="QN223" s="1" t="e">
        <v>#N/A</v>
      </c>
      <c r="QO223" s="1" t="e">
        <v>#N/A</v>
      </c>
      <c r="QP223" s="1" t="e">
        <v>#N/A</v>
      </c>
    </row>
    <row r="224" spans="1:458" ht="26.25" x14ac:dyDescent="0.4">
      <c r="A224" s="347"/>
      <c r="B224" s="348"/>
      <c r="C224" s="288"/>
      <c r="D224" s="349"/>
      <c r="E224" s="350"/>
      <c r="F224" s="351"/>
      <c r="G224" s="352"/>
      <c r="H224" s="348"/>
      <c r="I224" s="353"/>
      <c r="J224" s="353"/>
      <c r="PJ224" s="1" t="e">
        <v>#N/A</v>
      </c>
      <c r="PK224" s="1" t="e">
        <v>#N/A</v>
      </c>
      <c r="PL224" s="1" t="e">
        <v>#N/A</v>
      </c>
      <c r="PM224" s="1" t="e">
        <v>#N/A</v>
      </c>
      <c r="PN224" s="1" t="e">
        <v>#N/A</v>
      </c>
      <c r="PO224" s="1" t="e">
        <v>#N/A</v>
      </c>
      <c r="PP224" s="1" t="e">
        <v>#N/A</v>
      </c>
      <c r="PQ224" s="1" t="e">
        <v>#N/A</v>
      </c>
      <c r="PR224" s="1" t="e">
        <v>#N/A</v>
      </c>
      <c r="PS224" s="1" t="e">
        <v>#N/A</v>
      </c>
      <c r="PT224" s="1" t="e">
        <v>#N/A</v>
      </c>
      <c r="PU224" s="1" t="e">
        <v>#N/A</v>
      </c>
      <c r="PV224" s="1" t="e">
        <v>#N/A</v>
      </c>
      <c r="PW224" s="1" t="e">
        <v>#N/A</v>
      </c>
      <c r="PX224" s="1" t="e">
        <v>#N/A</v>
      </c>
      <c r="PY224" s="1" t="e">
        <v>#N/A</v>
      </c>
      <c r="PZ224" s="1" t="e">
        <v>#N/A</v>
      </c>
      <c r="QA224" s="1" t="e">
        <v>#N/A</v>
      </c>
      <c r="QB224" s="1" t="e">
        <v>#N/A</v>
      </c>
      <c r="QC224" s="1" t="e">
        <v>#N/A</v>
      </c>
      <c r="QD224" s="1" t="e">
        <v>#N/A</v>
      </c>
      <c r="QE224" s="1" t="e">
        <v>#N/A</v>
      </c>
      <c r="QF224" s="1" t="e">
        <v>#N/A</v>
      </c>
      <c r="QG224" s="1" t="e">
        <v>#N/A</v>
      </c>
      <c r="QH224" s="1" t="e">
        <v>#N/A</v>
      </c>
      <c r="QI224" s="1" t="e">
        <v>#N/A</v>
      </c>
      <c r="QJ224" s="1" t="e">
        <v>#N/A</v>
      </c>
      <c r="QK224" s="1" t="e">
        <v>#N/A</v>
      </c>
      <c r="QL224" s="1" t="e">
        <v>#N/A</v>
      </c>
      <c r="QM224" s="1" t="e">
        <v>#N/A</v>
      </c>
      <c r="QN224" s="1" t="e">
        <v>#N/A</v>
      </c>
      <c r="QO224" s="1" t="e">
        <v>#N/A</v>
      </c>
      <c r="QP224" s="1" t="e">
        <v>#N/A</v>
      </c>
    </row>
    <row r="225" spans="1:458" ht="26.25" x14ac:dyDescent="0.4">
      <c r="A225" s="347"/>
      <c r="B225" s="348"/>
      <c r="C225" s="288"/>
      <c r="D225" s="349"/>
      <c r="E225" s="350"/>
      <c r="F225" s="351"/>
      <c r="G225" s="352"/>
      <c r="H225" s="348"/>
      <c r="I225" s="353"/>
      <c r="J225" s="353"/>
      <c r="PJ225" s="1" t="e">
        <v>#N/A</v>
      </c>
      <c r="PK225" s="1" t="e">
        <v>#N/A</v>
      </c>
      <c r="PL225" s="1" t="e">
        <v>#N/A</v>
      </c>
      <c r="PM225" s="1" t="e">
        <v>#N/A</v>
      </c>
      <c r="PN225" s="1" t="e">
        <v>#N/A</v>
      </c>
      <c r="PO225" s="1" t="e">
        <v>#N/A</v>
      </c>
      <c r="PP225" s="1" t="e">
        <v>#N/A</v>
      </c>
      <c r="PQ225" s="1" t="e">
        <v>#N/A</v>
      </c>
      <c r="PR225" s="1" t="e">
        <v>#N/A</v>
      </c>
      <c r="PS225" s="1" t="e">
        <v>#N/A</v>
      </c>
      <c r="PT225" s="1" t="e">
        <v>#N/A</v>
      </c>
      <c r="PU225" s="1" t="e">
        <v>#N/A</v>
      </c>
      <c r="PV225" s="1" t="e">
        <v>#N/A</v>
      </c>
      <c r="PW225" s="1" t="e">
        <v>#N/A</v>
      </c>
      <c r="PX225" s="1" t="e">
        <v>#N/A</v>
      </c>
      <c r="PY225" s="1" t="e">
        <v>#N/A</v>
      </c>
      <c r="PZ225" s="1" t="e">
        <v>#N/A</v>
      </c>
      <c r="QA225" s="1" t="e">
        <v>#N/A</v>
      </c>
      <c r="QB225" s="1" t="e">
        <v>#N/A</v>
      </c>
      <c r="QC225" s="1" t="e">
        <v>#N/A</v>
      </c>
      <c r="QD225" s="1" t="e">
        <v>#N/A</v>
      </c>
      <c r="QE225" s="1" t="e">
        <v>#N/A</v>
      </c>
      <c r="QF225" s="1" t="e">
        <v>#N/A</v>
      </c>
      <c r="QG225" s="1" t="e">
        <v>#N/A</v>
      </c>
      <c r="QH225" s="1" t="e">
        <v>#N/A</v>
      </c>
      <c r="QI225" s="1" t="e">
        <v>#N/A</v>
      </c>
      <c r="QJ225" s="1" t="e">
        <v>#N/A</v>
      </c>
      <c r="QK225" s="1" t="e">
        <v>#N/A</v>
      </c>
      <c r="QL225" s="1" t="e">
        <v>#N/A</v>
      </c>
      <c r="QM225" s="1" t="e">
        <v>#N/A</v>
      </c>
      <c r="QN225" s="1" t="e">
        <v>#N/A</v>
      </c>
      <c r="QO225" s="1" t="e">
        <v>#N/A</v>
      </c>
      <c r="QP225" s="1" t="e">
        <v>#N/A</v>
      </c>
    </row>
    <row r="226" spans="1:458" ht="26.25" x14ac:dyDescent="0.4">
      <c r="A226" s="347"/>
      <c r="B226" s="348"/>
      <c r="C226" s="288"/>
      <c r="D226" s="349"/>
      <c r="E226" s="350"/>
      <c r="F226" s="351"/>
      <c r="G226" s="352"/>
      <c r="H226" s="348"/>
      <c r="I226" s="353"/>
      <c r="J226" s="353"/>
      <c r="PJ226" s="1" t="e">
        <v>#N/A</v>
      </c>
      <c r="PK226" s="1" t="e">
        <v>#N/A</v>
      </c>
      <c r="PL226" s="1" t="e">
        <v>#N/A</v>
      </c>
      <c r="PM226" s="1" t="e">
        <v>#N/A</v>
      </c>
      <c r="PN226" s="1" t="e">
        <v>#N/A</v>
      </c>
      <c r="PO226" s="1" t="e">
        <v>#N/A</v>
      </c>
      <c r="PP226" s="1" t="e">
        <v>#N/A</v>
      </c>
      <c r="PQ226" s="1" t="e">
        <v>#N/A</v>
      </c>
      <c r="PR226" s="1" t="e">
        <v>#N/A</v>
      </c>
      <c r="PS226" s="1" t="e">
        <v>#N/A</v>
      </c>
      <c r="PT226" s="1" t="e">
        <v>#N/A</v>
      </c>
      <c r="PU226" s="1" t="e">
        <v>#N/A</v>
      </c>
      <c r="PV226" s="1" t="e">
        <v>#N/A</v>
      </c>
      <c r="PW226" s="1" t="e">
        <v>#N/A</v>
      </c>
      <c r="PX226" s="1" t="e">
        <v>#N/A</v>
      </c>
      <c r="PY226" s="1" t="e">
        <v>#N/A</v>
      </c>
      <c r="PZ226" s="1" t="e">
        <v>#N/A</v>
      </c>
      <c r="QA226" s="1" t="e">
        <v>#N/A</v>
      </c>
      <c r="QB226" s="1" t="e">
        <v>#N/A</v>
      </c>
      <c r="QC226" s="1" t="e">
        <v>#N/A</v>
      </c>
      <c r="QD226" s="1" t="e">
        <v>#N/A</v>
      </c>
      <c r="QE226" s="1" t="e">
        <v>#N/A</v>
      </c>
      <c r="QF226" s="1" t="e">
        <v>#N/A</v>
      </c>
      <c r="QG226" s="1" t="e">
        <v>#N/A</v>
      </c>
      <c r="QH226" s="1" t="e">
        <v>#N/A</v>
      </c>
      <c r="QI226" s="1" t="e">
        <v>#N/A</v>
      </c>
      <c r="QJ226" s="1" t="e">
        <v>#N/A</v>
      </c>
      <c r="QK226" s="1" t="e">
        <v>#N/A</v>
      </c>
      <c r="QL226" s="1" t="e">
        <v>#N/A</v>
      </c>
      <c r="QM226" s="1" t="e">
        <v>#N/A</v>
      </c>
      <c r="QN226" s="1" t="e">
        <v>#N/A</v>
      </c>
      <c r="QO226" s="1" t="e">
        <v>#N/A</v>
      </c>
      <c r="QP226" s="1" t="e">
        <v>#N/A</v>
      </c>
    </row>
    <row r="227" spans="1:458" ht="26.25" x14ac:dyDescent="0.4">
      <c r="A227" s="347"/>
      <c r="B227" s="348"/>
      <c r="C227" s="288"/>
      <c r="D227" s="349"/>
      <c r="E227" s="350"/>
      <c r="F227" s="351"/>
      <c r="G227" s="352"/>
      <c r="H227" s="348"/>
      <c r="I227" s="353"/>
      <c r="J227" s="353"/>
      <c r="PJ227" s="1" t="e">
        <v>#N/A</v>
      </c>
      <c r="PK227" s="1" t="e">
        <v>#N/A</v>
      </c>
      <c r="PL227" s="1" t="e">
        <v>#N/A</v>
      </c>
      <c r="PM227" s="1" t="e">
        <v>#N/A</v>
      </c>
      <c r="PN227" s="1" t="e">
        <v>#N/A</v>
      </c>
      <c r="PO227" s="1" t="e">
        <v>#N/A</v>
      </c>
      <c r="PP227" s="1" t="e">
        <v>#N/A</v>
      </c>
      <c r="PQ227" s="1" t="e">
        <v>#N/A</v>
      </c>
      <c r="PR227" s="1" t="e">
        <v>#N/A</v>
      </c>
      <c r="PS227" s="1" t="e">
        <v>#N/A</v>
      </c>
      <c r="PT227" s="1" t="e">
        <v>#N/A</v>
      </c>
      <c r="PU227" s="1" t="e">
        <v>#N/A</v>
      </c>
      <c r="PV227" s="1" t="e">
        <v>#N/A</v>
      </c>
      <c r="PW227" s="1" t="e">
        <v>#N/A</v>
      </c>
      <c r="PX227" s="1" t="e">
        <v>#N/A</v>
      </c>
      <c r="PY227" s="1" t="e">
        <v>#N/A</v>
      </c>
      <c r="PZ227" s="1" t="e">
        <v>#N/A</v>
      </c>
      <c r="QA227" s="1" t="e">
        <v>#N/A</v>
      </c>
      <c r="QB227" s="1" t="e">
        <v>#N/A</v>
      </c>
      <c r="QC227" s="1" t="e">
        <v>#N/A</v>
      </c>
      <c r="QD227" s="1" t="e">
        <v>#N/A</v>
      </c>
      <c r="QE227" s="1" t="e">
        <v>#N/A</v>
      </c>
      <c r="QF227" s="1" t="e">
        <v>#N/A</v>
      </c>
      <c r="QG227" s="1" t="e">
        <v>#N/A</v>
      </c>
      <c r="QH227" s="1" t="e">
        <v>#N/A</v>
      </c>
      <c r="QI227" s="1" t="e">
        <v>#N/A</v>
      </c>
      <c r="QJ227" s="1" t="e">
        <v>#N/A</v>
      </c>
      <c r="QK227" s="1" t="e">
        <v>#N/A</v>
      </c>
      <c r="QL227" s="1" t="e">
        <v>#N/A</v>
      </c>
      <c r="QM227" s="1" t="e">
        <v>#N/A</v>
      </c>
      <c r="QN227" s="1" t="e">
        <v>#N/A</v>
      </c>
      <c r="QO227" s="1" t="e">
        <v>#N/A</v>
      </c>
      <c r="QP227" s="1" t="e">
        <v>#N/A</v>
      </c>
    </row>
    <row r="228" spans="1:458" ht="26.25" x14ac:dyDescent="0.4">
      <c r="A228" s="347"/>
      <c r="B228" s="348"/>
      <c r="C228" s="288"/>
      <c r="D228" s="349"/>
      <c r="E228" s="350"/>
      <c r="F228" s="351"/>
      <c r="G228" s="352"/>
      <c r="H228" s="348"/>
      <c r="I228" s="353"/>
      <c r="J228" s="353"/>
      <c r="PJ228" s="1" t="e">
        <v>#N/A</v>
      </c>
      <c r="PK228" s="1" t="e">
        <v>#N/A</v>
      </c>
      <c r="PL228" s="1" t="e">
        <v>#N/A</v>
      </c>
      <c r="PM228" s="1" t="e">
        <v>#N/A</v>
      </c>
      <c r="PN228" s="1" t="e">
        <v>#N/A</v>
      </c>
      <c r="PO228" s="1" t="e">
        <v>#N/A</v>
      </c>
      <c r="PP228" s="1" t="e">
        <v>#N/A</v>
      </c>
      <c r="PQ228" s="1" t="e">
        <v>#N/A</v>
      </c>
      <c r="PR228" s="1" t="e">
        <v>#N/A</v>
      </c>
      <c r="PS228" s="1" t="e">
        <v>#N/A</v>
      </c>
      <c r="PT228" s="1" t="e">
        <v>#N/A</v>
      </c>
      <c r="PU228" s="1" t="e">
        <v>#N/A</v>
      </c>
      <c r="PV228" s="1" t="e">
        <v>#N/A</v>
      </c>
      <c r="PW228" s="1" t="e">
        <v>#N/A</v>
      </c>
      <c r="PX228" s="1" t="e">
        <v>#N/A</v>
      </c>
      <c r="PY228" s="1" t="e">
        <v>#N/A</v>
      </c>
      <c r="PZ228" s="1" t="e">
        <v>#N/A</v>
      </c>
      <c r="QA228" s="1" t="e">
        <v>#N/A</v>
      </c>
      <c r="QB228" s="1" t="e">
        <v>#N/A</v>
      </c>
      <c r="QC228" s="1" t="e">
        <v>#N/A</v>
      </c>
      <c r="QD228" s="1" t="e">
        <v>#N/A</v>
      </c>
      <c r="QE228" s="1" t="e">
        <v>#N/A</v>
      </c>
      <c r="QF228" s="1" t="e">
        <v>#N/A</v>
      </c>
      <c r="QG228" s="1" t="e">
        <v>#N/A</v>
      </c>
      <c r="QH228" s="1" t="e">
        <v>#N/A</v>
      </c>
      <c r="QI228" s="1" t="e">
        <v>#N/A</v>
      </c>
      <c r="QJ228" s="1" t="e">
        <v>#N/A</v>
      </c>
      <c r="QK228" s="1" t="e">
        <v>#N/A</v>
      </c>
      <c r="QL228" s="1" t="e">
        <v>#N/A</v>
      </c>
      <c r="QM228" s="1" t="e">
        <v>#N/A</v>
      </c>
      <c r="QN228" s="1" t="e">
        <v>#N/A</v>
      </c>
      <c r="QO228" s="1" t="e">
        <v>#N/A</v>
      </c>
      <c r="QP228" s="1" t="e">
        <v>#N/A</v>
      </c>
    </row>
    <row r="229" spans="1:458" ht="26.25" x14ac:dyDescent="0.4">
      <c r="A229" s="347"/>
      <c r="B229" s="348"/>
      <c r="C229" s="288"/>
      <c r="D229" s="349"/>
      <c r="E229" s="350"/>
      <c r="F229" s="351"/>
      <c r="G229" s="352"/>
      <c r="H229" s="348"/>
      <c r="I229" s="353"/>
      <c r="J229" s="353"/>
      <c r="PJ229" s="1" t="e">
        <v>#N/A</v>
      </c>
      <c r="PK229" s="1" t="e">
        <v>#N/A</v>
      </c>
      <c r="PL229" s="1" t="e">
        <v>#N/A</v>
      </c>
      <c r="PM229" s="1" t="e">
        <v>#N/A</v>
      </c>
      <c r="PN229" s="1" t="e">
        <v>#N/A</v>
      </c>
      <c r="PO229" s="1" t="e">
        <v>#N/A</v>
      </c>
      <c r="PP229" s="1" t="e">
        <v>#N/A</v>
      </c>
      <c r="PQ229" s="1" t="e">
        <v>#N/A</v>
      </c>
      <c r="PR229" s="1" t="e">
        <v>#N/A</v>
      </c>
      <c r="PS229" s="1" t="e">
        <v>#N/A</v>
      </c>
      <c r="PT229" s="1" t="e">
        <v>#N/A</v>
      </c>
      <c r="PU229" s="1" t="e">
        <v>#N/A</v>
      </c>
      <c r="PV229" s="1" t="e">
        <v>#N/A</v>
      </c>
      <c r="PW229" s="1" t="e">
        <v>#N/A</v>
      </c>
      <c r="PX229" s="1" t="e">
        <v>#N/A</v>
      </c>
      <c r="PY229" s="1" t="e">
        <v>#N/A</v>
      </c>
      <c r="PZ229" s="1" t="e">
        <v>#N/A</v>
      </c>
      <c r="QA229" s="1" t="e">
        <v>#N/A</v>
      </c>
      <c r="QB229" s="1" t="e">
        <v>#N/A</v>
      </c>
      <c r="QC229" s="1" t="e">
        <v>#N/A</v>
      </c>
      <c r="QD229" s="1" t="e">
        <v>#N/A</v>
      </c>
      <c r="QE229" s="1" t="e">
        <v>#N/A</v>
      </c>
      <c r="QF229" s="1" t="e">
        <v>#N/A</v>
      </c>
      <c r="QG229" s="1" t="e">
        <v>#N/A</v>
      </c>
      <c r="QH229" s="1" t="e">
        <v>#N/A</v>
      </c>
      <c r="QI229" s="1" t="e">
        <v>#N/A</v>
      </c>
      <c r="QJ229" s="1" t="e">
        <v>#N/A</v>
      </c>
      <c r="QK229" s="1" t="e">
        <v>#N/A</v>
      </c>
      <c r="QL229" s="1" t="e">
        <v>#N/A</v>
      </c>
      <c r="QM229" s="1" t="e">
        <v>#N/A</v>
      </c>
      <c r="QN229" s="1" t="e">
        <v>#N/A</v>
      </c>
      <c r="QO229" s="1" t="e">
        <v>#N/A</v>
      </c>
      <c r="QP229" s="1" t="e">
        <v>#N/A</v>
      </c>
    </row>
    <row r="230" spans="1:458" ht="26.25" x14ac:dyDescent="0.4">
      <c r="A230" s="347"/>
      <c r="B230" s="348"/>
      <c r="C230" s="288"/>
      <c r="D230" s="349"/>
      <c r="E230" s="350"/>
      <c r="F230" s="351"/>
      <c r="G230" s="352"/>
      <c r="H230" s="348"/>
      <c r="I230" s="353"/>
      <c r="J230" s="353"/>
      <c r="PJ230" s="1" t="e">
        <v>#N/A</v>
      </c>
      <c r="PK230" s="1" t="e">
        <v>#N/A</v>
      </c>
      <c r="PL230" s="1" t="e">
        <v>#N/A</v>
      </c>
      <c r="PM230" s="1" t="e">
        <v>#N/A</v>
      </c>
      <c r="PN230" s="1" t="e">
        <v>#N/A</v>
      </c>
      <c r="PO230" s="1" t="e">
        <v>#N/A</v>
      </c>
      <c r="PP230" s="1" t="e">
        <v>#N/A</v>
      </c>
      <c r="PQ230" s="1" t="e">
        <v>#N/A</v>
      </c>
      <c r="PR230" s="1" t="e">
        <v>#N/A</v>
      </c>
      <c r="PS230" s="1" t="e">
        <v>#N/A</v>
      </c>
      <c r="PT230" s="1" t="e">
        <v>#N/A</v>
      </c>
      <c r="PU230" s="1" t="e">
        <v>#N/A</v>
      </c>
      <c r="PV230" s="1" t="e">
        <v>#N/A</v>
      </c>
      <c r="PW230" s="1" t="e">
        <v>#N/A</v>
      </c>
      <c r="PX230" s="1" t="e">
        <v>#N/A</v>
      </c>
      <c r="PY230" s="1" t="e">
        <v>#N/A</v>
      </c>
      <c r="PZ230" s="1" t="e">
        <v>#N/A</v>
      </c>
      <c r="QA230" s="1" t="e">
        <v>#N/A</v>
      </c>
      <c r="QB230" s="1" t="e">
        <v>#N/A</v>
      </c>
      <c r="QC230" s="1" t="e">
        <v>#N/A</v>
      </c>
      <c r="QD230" s="1" t="e">
        <v>#N/A</v>
      </c>
      <c r="QE230" s="1" t="e">
        <v>#N/A</v>
      </c>
      <c r="QF230" s="1" t="e">
        <v>#N/A</v>
      </c>
      <c r="QG230" s="1" t="e">
        <v>#N/A</v>
      </c>
      <c r="QH230" s="1" t="e">
        <v>#N/A</v>
      </c>
      <c r="QI230" s="1" t="e">
        <v>#N/A</v>
      </c>
      <c r="QJ230" s="1" t="e">
        <v>#N/A</v>
      </c>
      <c r="QK230" s="1" t="e">
        <v>#N/A</v>
      </c>
      <c r="QL230" s="1" t="e">
        <v>#N/A</v>
      </c>
      <c r="QM230" s="1" t="e">
        <v>#N/A</v>
      </c>
      <c r="QN230" s="1" t="e">
        <v>#N/A</v>
      </c>
      <c r="QO230" s="1" t="e">
        <v>#N/A</v>
      </c>
      <c r="QP230" s="1" t="e">
        <v>#N/A</v>
      </c>
    </row>
    <row r="231" spans="1:458" ht="26.25" x14ac:dyDescent="0.4">
      <c r="A231" s="347"/>
      <c r="B231" s="348"/>
      <c r="C231" s="288"/>
      <c r="D231" s="349"/>
      <c r="E231" s="350"/>
      <c r="F231" s="351"/>
      <c r="G231" s="352"/>
      <c r="H231" s="348"/>
      <c r="I231" s="353"/>
      <c r="J231" s="353"/>
      <c r="PJ231" s="1" t="e">
        <v>#N/A</v>
      </c>
      <c r="PK231" s="1" t="e">
        <v>#N/A</v>
      </c>
      <c r="PL231" s="1" t="e">
        <v>#N/A</v>
      </c>
      <c r="PM231" s="1" t="e">
        <v>#N/A</v>
      </c>
      <c r="PN231" s="1" t="e">
        <v>#N/A</v>
      </c>
      <c r="PO231" s="1" t="e">
        <v>#N/A</v>
      </c>
      <c r="PP231" s="1" t="e">
        <v>#N/A</v>
      </c>
      <c r="PQ231" s="1" t="e">
        <v>#N/A</v>
      </c>
      <c r="PR231" s="1" t="e">
        <v>#N/A</v>
      </c>
      <c r="PS231" s="1" t="e">
        <v>#N/A</v>
      </c>
      <c r="PT231" s="1" t="e">
        <v>#N/A</v>
      </c>
      <c r="PU231" s="1" t="e">
        <v>#N/A</v>
      </c>
      <c r="PV231" s="1" t="e">
        <v>#N/A</v>
      </c>
      <c r="PW231" s="1" t="e">
        <v>#N/A</v>
      </c>
      <c r="PX231" s="1" t="e">
        <v>#N/A</v>
      </c>
      <c r="PY231" s="1" t="e">
        <v>#N/A</v>
      </c>
      <c r="PZ231" s="1" t="e">
        <v>#N/A</v>
      </c>
      <c r="QA231" s="1" t="e">
        <v>#N/A</v>
      </c>
      <c r="QB231" s="1" t="e">
        <v>#N/A</v>
      </c>
      <c r="QC231" s="1" t="e">
        <v>#N/A</v>
      </c>
      <c r="QD231" s="1" t="e">
        <v>#N/A</v>
      </c>
      <c r="QE231" s="1" t="e">
        <v>#N/A</v>
      </c>
      <c r="QF231" s="1" t="e">
        <v>#N/A</v>
      </c>
      <c r="QG231" s="1" t="e">
        <v>#N/A</v>
      </c>
      <c r="QH231" s="1" t="e">
        <v>#N/A</v>
      </c>
      <c r="QI231" s="1" t="e">
        <v>#N/A</v>
      </c>
      <c r="QJ231" s="1" t="e">
        <v>#N/A</v>
      </c>
      <c r="QK231" s="1" t="e">
        <v>#N/A</v>
      </c>
      <c r="QL231" s="1" t="e">
        <v>#N/A</v>
      </c>
      <c r="QM231" s="1" t="e">
        <v>#N/A</v>
      </c>
      <c r="QN231" s="1" t="e">
        <v>#N/A</v>
      </c>
      <c r="QO231" s="1" t="e">
        <v>#N/A</v>
      </c>
      <c r="QP231" s="1" t="e">
        <v>#N/A</v>
      </c>
    </row>
    <row r="232" spans="1:458" ht="26.25" x14ac:dyDescent="0.4">
      <c r="A232" s="347"/>
      <c r="B232" s="348"/>
      <c r="C232" s="288"/>
      <c r="D232" s="349"/>
      <c r="E232" s="350"/>
      <c r="F232" s="351"/>
      <c r="G232" s="352"/>
      <c r="H232" s="348"/>
      <c r="I232" s="353"/>
      <c r="J232" s="353"/>
      <c r="PJ232" s="1" t="e">
        <v>#N/A</v>
      </c>
      <c r="PK232" s="1" t="e">
        <v>#N/A</v>
      </c>
      <c r="PL232" s="1" t="e">
        <v>#N/A</v>
      </c>
      <c r="PM232" s="1" t="e">
        <v>#N/A</v>
      </c>
      <c r="PN232" s="1" t="e">
        <v>#N/A</v>
      </c>
      <c r="PO232" s="1" t="e">
        <v>#N/A</v>
      </c>
      <c r="PP232" s="1" t="e">
        <v>#N/A</v>
      </c>
      <c r="PQ232" s="1" t="e">
        <v>#N/A</v>
      </c>
      <c r="PR232" s="1" t="e">
        <v>#N/A</v>
      </c>
      <c r="PS232" s="1" t="e">
        <v>#N/A</v>
      </c>
      <c r="PT232" s="1" t="e">
        <v>#N/A</v>
      </c>
      <c r="PU232" s="1" t="e">
        <v>#N/A</v>
      </c>
      <c r="PV232" s="1" t="e">
        <v>#N/A</v>
      </c>
      <c r="PW232" s="1" t="e">
        <v>#N/A</v>
      </c>
      <c r="PX232" s="1" t="e">
        <v>#N/A</v>
      </c>
      <c r="PY232" s="1" t="e">
        <v>#N/A</v>
      </c>
      <c r="PZ232" s="1" t="e">
        <v>#N/A</v>
      </c>
      <c r="QA232" s="1" t="e">
        <v>#N/A</v>
      </c>
      <c r="QB232" s="1" t="e">
        <v>#N/A</v>
      </c>
      <c r="QC232" s="1" t="e">
        <v>#N/A</v>
      </c>
      <c r="QD232" s="1" t="e">
        <v>#N/A</v>
      </c>
      <c r="QE232" s="1" t="e">
        <v>#N/A</v>
      </c>
      <c r="QF232" s="1" t="e">
        <v>#N/A</v>
      </c>
      <c r="QG232" s="1" t="e">
        <v>#N/A</v>
      </c>
      <c r="QH232" s="1" t="e">
        <v>#N/A</v>
      </c>
      <c r="QI232" s="1" t="e">
        <v>#N/A</v>
      </c>
      <c r="QJ232" s="1" t="e">
        <v>#N/A</v>
      </c>
      <c r="QK232" s="1" t="e">
        <v>#N/A</v>
      </c>
      <c r="QL232" s="1" t="e">
        <v>#N/A</v>
      </c>
      <c r="QM232" s="1" t="e">
        <v>#N/A</v>
      </c>
      <c r="QN232" s="1" t="e">
        <v>#N/A</v>
      </c>
      <c r="QO232" s="1" t="e">
        <v>#N/A</v>
      </c>
      <c r="QP232" s="1" t="e">
        <v>#N/A</v>
      </c>
    </row>
    <row r="233" spans="1:458" ht="26.25" x14ac:dyDescent="0.4">
      <c r="A233" s="347"/>
      <c r="B233" s="348"/>
      <c r="C233" s="288"/>
      <c r="D233" s="349"/>
      <c r="E233" s="350"/>
      <c r="F233" s="351"/>
      <c r="G233" s="352"/>
      <c r="H233" s="348"/>
      <c r="I233" s="353"/>
      <c r="J233" s="353"/>
      <c r="PJ233" s="1" t="e">
        <v>#N/A</v>
      </c>
      <c r="PK233" s="1" t="e">
        <v>#N/A</v>
      </c>
      <c r="PL233" s="1" t="e">
        <v>#N/A</v>
      </c>
      <c r="PM233" s="1" t="e">
        <v>#N/A</v>
      </c>
      <c r="PN233" s="1" t="e">
        <v>#N/A</v>
      </c>
      <c r="PO233" s="1" t="e">
        <v>#N/A</v>
      </c>
      <c r="PP233" s="1" t="e">
        <v>#N/A</v>
      </c>
      <c r="PQ233" s="1" t="e">
        <v>#N/A</v>
      </c>
      <c r="PR233" s="1" t="e">
        <v>#N/A</v>
      </c>
      <c r="PS233" s="1" t="e">
        <v>#N/A</v>
      </c>
      <c r="PT233" s="1" t="e">
        <v>#N/A</v>
      </c>
      <c r="PU233" s="1" t="e">
        <v>#N/A</v>
      </c>
      <c r="PV233" s="1" t="e">
        <v>#N/A</v>
      </c>
      <c r="PW233" s="1" t="e">
        <v>#N/A</v>
      </c>
      <c r="PX233" s="1" t="e">
        <v>#N/A</v>
      </c>
      <c r="PY233" s="1" t="e">
        <v>#N/A</v>
      </c>
      <c r="PZ233" s="1" t="e">
        <v>#N/A</v>
      </c>
      <c r="QA233" s="1" t="e">
        <v>#N/A</v>
      </c>
      <c r="QB233" s="1" t="e">
        <v>#N/A</v>
      </c>
      <c r="QC233" s="1" t="e">
        <v>#N/A</v>
      </c>
      <c r="QD233" s="1" t="e">
        <v>#N/A</v>
      </c>
      <c r="QE233" s="1" t="e">
        <v>#N/A</v>
      </c>
      <c r="QF233" s="1" t="e">
        <v>#N/A</v>
      </c>
      <c r="QG233" s="1" t="e">
        <v>#N/A</v>
      </c>
      <c r="QH233" s="1" t="e">
        <v>#N/A</v>
      </c>
      <c r="QI233" s="1" t="e">
        <v>#N/A</v>
      </c>
      <c r="QJ233" s="1" t="e">
        <v>#N/A</v>
      </c>
      <c r="QK233" s="1" t="e">
        <v>#N/A</v>
      </c>
      <c r="QL233" s="1" t="e">
        <v>#N/A</v>
      </c>
      <c r="QM233" s="1" t="e">
        <v>#N/A</v>
      </c>
      <c r="QN233" s="1" t="e">
        <v>#N/A</v>
      </c>
      <c r="QO233" s="1" t="e">
        <v>#N/A</v>
      </c>
      <c r="QP233" s="1" t="e">
        <v>#N/A</v>
      </c>
    </row>
    <row r="234" spans="1:458" ht="26.25" x14ac:dyDescent="0.4">
      <c r="A234" s="347"/>
      <c r="B234" s="348"/>
      <c r="C234" s="288"/>
      <c r="D234" s="349"/>
      <c r="E234" s="350"/>
      <c r="F234" s="351"/>
      <c r="G234" s="352"/>
      <c r="H234" s="348"/>
      <c r="I234" s="353"/>
      <c r="J234" s="353"/>
      <c r="PJ234" s="1" t="e">
        <v>#N/A</v>
      </c>
      <c r="PK234" s="1" t="e">
        <v>#N/A</v>
      </c>
      <c r="PL234" s="1" t="e">
        <v>#N/A</v>
      </c>
      <c r="PM234" s="1" t="e">
        <v>#N/A</v>
      </c>
      <c r="PN234" s="1" t="e">
        <v>#N/A</v>
      </c>
      <c r="PO234" s="1" t="e">
        <v>#N/A</v>
      </c>
      <c r="PP234" s="1" t="e">
        <v>#N/A</v>
      </c>
      <c r="PQ234" s="1" t="e">
        <v>#N/A</v>
      </c>
      <c r="PR234" s="1" t="e">
        <v>#N/A</v>
      </c>
      <c r="PS234" s="1" t="e">
        <v>#N/A</v>
      </c>
      <c r="PT234" s="1" t="e">
        <v>#N/A</v>
      </c>
      <c r="PU234" s="1" t="e">
        <v>#N/A</v>
      </c>
      <c r="PV234" s="1" t="e">
        <v>#N/A</v>
      </c>
      <c r="PW234" s="1" t="e">
        <v>#N/A</v>
      </c>
      <c r="PX234" s="1" t="e">
        <v>#N/A</v>
      </c>
      <c r="PY234" s="1" t="e">
        <v>#N/A</v>
      </c>
      <c r="PZ234" s="1" t="e">
        <v>#N/A</v>
      </c>
      <c r="QA234" s="1" t="e">
        <v>#N/A</v>
      </c>
      <c r="QB234" s="1" t="e">
        <v>#N/A</v>
      </c>
      <c r="QC234" s="1" t="e">
        <v>#N/A</v>
      </c>
      <c r="QD234" s="1" t="e">
        <v>#N/A</v>
      </c>
      <c r="QE234" s="1" t="e">
        <v>#N/A</v>
      </c>
      <c r="QF234" s="1" t="e">
        <v>#N/A</v>
      </c>
      <c r="QG234" s="1" t="e">
        <v>#N/A</v>
      </c>
      <c r="QH234" s="1" t="e">
        <v>#N/A</v>
      </c>
      <c r="QI234" s="1" t="e">
        <v>#N/A</v>
      </c>
      <c r="QJ234" s="1" t="e">
        <v>#N/A</v>
      </c>
      <c r="QK234" s="1" t="e">
        <v>#N/A</v>
      </c>
      <c r="QL234" s="1" t="e">
        <v>#N/A</v>
      </c>
      <c r="QM234" s="1" t="e">
        <v>#N/A</v>
      </c>
      <c r="QN234" s="1" t="e">
        <v>#N/A</v>
      </c>
      <c r="QO234" s="1" t="e">
        <v>#N/A</v>
      </c>
      <c r="QP234" s="1" t="e">
        <v>#N/A</v>
      </c>
    </row>
    <row r="235" spans="1:458" ht="26.25" x14ac:dyDescent="0.4">
      <c r="A235" s="347"/>
      <c r="B235" s="348"/>
      <c r="C235" s="288"/>
      <c r="D235" s="349"/>
      <c r="E235" s="350"/>
      <c r="F235" s="351"/>
      <c r="G235" s="352"/>
      <c r="H235" s="348"/>
      <c r="I235" s="353"/>
      <c r="J235" s="353"/>
      <c r="PJ235" s="1" t="e">
        <v>#N/A</v>
      </c>
      <c r="PK235" s="1" t="e">
        <v>#N/A</v>
      </c>
      <c r="PL235" s="1" t="e">
        <v>#N/A</v>
      </c>
      <c r="PM235" s="1" t="e">
        <v>#N/A</v>
      </c>
      <c r="PN235" s="1" t="e">
        <v>#N/A</v>
      </c>
      <c r="PO235" s="1" t="e">
        <v>#N/A</v>
      </c>
      <c r="PP235" s="1" t="e">
        <v>#N/A</v>
      </c>
      <c r="PQ235" s="1" t="e">
        <v>#N/A</v>
      </c>
      <c r="PR235" s="1" t="e">
        <v>#N/A</v>
      </c>
      <c r="PS235" s="1" t="e">
        <v>#N/A</v>
      </c>
      <c r="PT235" s="1" t="e">
        <v>#N/A</v>
      </c>
      <c r="PU235" s="1" t="e">
        <v>#N/A</v>
      </c>
      <c r="PV235" s="1" t="e">
        <v>#N/A</v>
      </c>
      <c r="PW235" s="1" t="e">
        <v>#N/A</v>
      </c>
      <c r="PX235" s="1" t="e">
        <v>#N/A</v>
      </c>
      <c r="PY235" s="1" t="e">
        <v>#N/A</v>
      </c>
      <c r="PZ235" s="1" t="e">
        <v>#N/A</v>
      </c>
      <c r="QA235" s="1" t="e">
        <v>#N/A</v>
      </c>
      <c r="QB235" s="1" t="e">
        <v>#N/A</v>
      </c>
      <c r="QC235" s="1" t="e">
        <v>#N/A</v>
      </c>
      <c r="QD235" s="1" t="e">
        <v>#N/A</v>
      </c>
      <c r="QE235" s="1" t="e">
        <v>#N/A</v>
      </c>
      <c r="QF235" s="1" t="e">
        <v>#N/A</v>
      </c>
      <c r="QG235" s="1" t="e">
        <v>#N/A</v>
      </c>
      <c r="QH235" s="1" t="e">
        <v>#N/A</v>
      </c>
      <c r="QI235" s="1" t="e">
        <v>#N/A</v>
      </c>
      <c r="QJ235" s="1" t="e">
        <v>#N/A</v>
      </c>
      <c r="QK235" s="1" t="e">
        <v>#N/A</v>
      </c>
      <c r="QL235" s="1" t="e">
        <v>#N/A</v>
      </c>
      <c r="QM235" s="1" t="e">
        <v>#N/A</v>
      </c>
      <c r="QN235" s="1" t="e">
        <v>#N/A</v>
      </c>
      <c r="QO235" s="1" t="e">
        <v>#N/A</v>
      </c>
      <c r="QP235" s="1" t="e">
        <v>#N/A</v>
      </c>
    </row>
    <row r="236" spans="1:458" ht="26.25" x14ac:dyDescent="0.4">
      <c r="A236" s="347"/>
      <c r="B236" s="348"/>
      <c r="C236" s="288"/>
      <c r="D236" s="349"/>
      <c r="E236" s="350"/>
      <c r="F236" s="351"/>
      <c r="G236" s="352"/>
      <c r="H236" s="348"/>
      <c r="I236" s="353"/>
      <c r="J236" s="353"/>
      <c r="PJ236" s="1" t="e">
        <v>#N/A</v>
      </c>
      <c r="PK236" s="1" t="e">
        <v>#N/A</v>
      </c>
      <c r="PL236" s="1" t="e">
        <v>#N/A</v>
      </c>
      <c r="PM236" s="1" t="e">
        <v>#N/A</v>
      </c>
      <c r="PN236" s="1" t="e">
        <v>#N/A</v>
      </c>
      <c r="PO236" s="1" t="e">
        <v>#N/A</v>
      </c>
      <c r="PP236" s="1" t="e">
        <v>#N/A</v>
      </c>
      <c r="PQ236" s="1" t="e">
        <v>#N/A</v>
      </c>
      <c r="PR236" s="1" t="e">
        <v>#N/A</v>
      </c>
      <c r="PS236" s="1" t="e">
        <v>#N/A</v>
      </c>
      <c r="PT236" s="1" t="e">
        <v>#N/A</v>
      </c>
      <c r="PU236" s="1" t="e">
        <v>#N/A</v>
      </c>
      <c r="PV236" s="1" t="e">
        <v>#N/A</v>
      </c>
      <c r="PW236" s="1" t="e">
        <v>#N/A</v>
      </c>
      <c r="PX236" s="1" t="e">
        <v>#N/A</v>
      </c>
      <c r="PY236" s="1" t="e">
        <v>#N/A</v>
      </c>
      <c r="PZ236" s="1" t="e">
        <v>#N/A</v>
      </c>
      <c r="QA236" s="1" t="e">
        <v>#N/A</v>
      </c>
      <c r="QB236" s="1" t="e">
        <v>#N/A</v>
      </c>
      <c r="QC236" s="1" t="e">
        <v>#N/A</v>
      </c>
      <c r="QD236" s="1" t="e">
        <v>#N/A</v>
      </c>
      <c r="QE236" s="1" t="e">
        <v>#N/A</v>
      </c>
      <c r="QF236" s="1" t="e">
        <v>#N/A</v>
      </c>
      <c r="QG236" s="1" t="e">
        <v>#N/A</v>
      </c>
      <c r="QH236" s="1" t="e">
        <v>#N/A</v>
      </c>
      <c r="QI236" s="1" t="e">
        <v>#N/A</v>
      </c>
      <c r="QJ236" s="1" t="e">
        <v>#N/A</v>
      </c>
      <c r="QK236" s="1" t="e">
        <v>#N/A</v>
      </c>
      <c r="QL236" s="1" t="e">
        <v>#N/A</v>
      </c>
      <c r="QM236" s="1" t="e">
        <v>#N/A</v>
      </c>
      <c r="QN236" s="1" t="e">
        <v>#N/A</v>
      </c>
      <c r="QO236" s="1" t="e">
        <v>#N/A</v>
      </c>
      <c r="QP236" s="1" t="e">
        <v>#N/A</v>
      </c>
    </row>
    <row r="237" spans="1:458" ht="26.25" x14ac:dyDescent="0.4">
      <c r="A237" s="347"/>
      <c r="B237" s="348"/>
      <c r="C237" s="288"/>
      <c r="D237" s="349"/>
      <c r="E237" s="350"/>
      <c r="F237" s="351"/>
      <c r="G237" s="352"/>
      <c r="H237" s="348"/>
      <c r="I237" s="353"/>
      <c r="J237" s="353"/>
      <c r="PJ237" s="1" t="e">
        <v>#N/A</v>
      </c>
      <c r="PK237" s="1" t="e">
        <v>#N/A</v>
      </c>
      <c r="PL237" s="1" t="e">
        <v>#N/A</v>
      </c>
      <c r="PM237" s="1" t="e">
        <v>#N/A</v>
      </c>
      <c r="PN237" s="1" t="e">
        <v>#N/A</v>
      </c>
      <c r="PO237" s="1" t="e">
        <v>#N/A</v>
      </c>
      <c r="PP237" s="1" t="e">
        <v>#N/A</v>
      </c>
      <c r="PQ237" s="1" t="e">
        <v>#N/A</v>
      </c>
      <c r="PR237" s="1" t="e">
        <v>#N/A</v>
      </c>
      <c r="PS237" s="1" t="e">
        <v>#N/A</v>
      </c>
      <c r="PT237" s="1" t="e">
        <v>#N/A</v>
      </c>
      <c r="PU237" s="1" t="e">
        <v>#N/A</v>
      </c>
      <c r="PV237" s="1" t="e">
        <v>#N/A</v>
      </c>
      <c r="PW237" s="1" t="e">
        <v>#N/A</v>
      </c>
      <c r="PX237" s="1" t="e">
        <v>#N/A</v>
      </c>
      <c r="PY237" s="1" t="e">
        <v>#N/A</v>
      </c>
      <c r="PZ237" s="1" t="e">
        <v>#N/A</v>
      </c>
      <c r="QA237" s="1" t="e">
        <v>#N/A</v>
      </c>
      <c r="QB237" s="1" t="e">
        <v>#N/A</v>
      </c>
      <c r="QC237" s="1" t="e">
        <v>#N/A</v>
      </c>
      <c r="QD237" s="1" t="e">
        <v>#N/A</v>
      </c>
      <c r="QE237" s="1" t="e">
        <v>#N/A</v>
      </c>
      <c r="QF237" s="1" t="e">
        <v>#N/A</v>
      </c>
      <c r="QG237" s="1" t="e">
        <v>#N/A</v>
      </c>
      <c r="QH237" s="1" t="e">
        <v>#N/A</v>
      </c>
      <c r="QI237" s="1" t="e">
        <v>#N/A</v>
      </c>
      <c r="QJ237" s="1" t="e">
        <v>#N/A</v>
      </c>
      <c r="QK237" s="1" t="e">
        <v>#N/A</v>
      </c>
      <c r="QL237" s="1" t="e">
        <v>#N/A</v>
      </c>
      <c r="QM237" s="1" t="e">
        <v>#N/A</v>
      </c>
      <c r="QN237" s="1" t="e">
        <v>#N/A</v>
      </c>
      <c r="QO237" s="1" t="e">
        <v>#N/A</v>
      </c>
      <c r="QP237" s="1" t="e">
        <v>#N/A</v>
      </c>
    </row>
    <row r="238" spans="1:458" ht="26.25" x14ac:dyDescent="0.4">
      <c r="A238" s="347"/>
      <c r="B238" s="348"/>
      <c r="C238" s="288"/>
      <c r="D238" s="349"/>
      <c r="E238" s="350"/>
      <c r="F238" s="351"/>
      <c r="G238" s="352"/>
      <c r="H238" s="348"/>
      <c r="I238" s="353"/>
      <c r="J238" s="353"/>
      <c r="PJ238" s="1" t="e">
        <v>#N/A</v>
      </c>
      <c r="PK238" s="1" t="e">
        <v>#N/A</v>
      </c>
      <c r="PL238" s="1" t="e">
        <v>#N/A</v>
      </c>
      <c r="PM238" s="1" t="e">
        <v>#N/A</v>
      </c>
      <c r="PN238" s="1" t="e">
        <v>#N/A</v>
      </c>
      <c r="PO238" s="1" t="e">
        <v>#N/A</v>
      </c>
      <c r="PP238" s="1" t="e">
        <v>#N/A</v>
      </c>
      <c r="PQ238" s="1" t="e">
        <v>#N/A</v>
      </c>
      <c r="PR238" s="1" t="e">
        <v>#N/A</v>
      </c>
      <c r="PS238" s="1" t="e">
        <v>#N/A</v>
      </c>
      <c r="PT238" s="1" t="e">
        <v>#N/A</v>
      </c>
      <c r="PU238" s="1" t="e">
        <v>#N/A</v>
      </c>
      <c r="PV238" s="1" t="e">
        <v>#N/A</v>
      </c>
      <c r="PW238" s="1" t="e">
        <v>#N/A</v>
      </c>
      <c r="PX238" s="1" t="e">
        <v>#N/A</v>
      </c>
      <c r="PY238" s="1" t="e">
        <v>#N/A</v>
      </c>
      <c r="PZ238" s="1" t="e">
        <v>#N/A</v>
      </c>
      <c r="QA238" s="1" t="e">
        <v>#N/A</v>
      </c>
      <c r="QB238" s="1" t="e">
        <v>#N/A</v>
      </c>
      <c r="QC238" s="1" t="e">
        <v>#N/A</v>
      </c>
      <c r="QD238" s="1" t="e">
        <v>#N/A</v>
      </c>
      <c r="QE238" s="1" t="e">
        <v>#N/A</v>
      </c>
      <c r="QF238" s="1" t="e">
        <v>#N/A</v>
      </c>
      <c r="QG238" s="1" t="e">
        <v>#N/A</v>
      </c>
      <c r="QH238" s="1" t="e">
        <v>#N/A</v>
      </c>
      <c r="QI238" s="1" t="e">
        <v>#N/A</v>
      </c>
      <c r="QJ238" s="1" t="e">
        <v>#N/A</v>
      </c>
      <c r="QK238" s="1" t="e">
        <v>#N/A</v>
      </c>
      <c r="QL238" s="1" t="e">
        <v>#N/A</v>
      </c>
      <c r="QM238" s="1" t="e">
        <v>#N/A</v>
      </c>
      <c r="QN238" s="1" t="e">
        <v>#N/A</v>
      </c>
      <c r="QO238" s="1" t="e">
        <v>#N/A</v>
      </c>
      <c r="QP238" s="1" t="e">
        <v>#N/A</v>
      </c>
    </row>
    <row r="239" spans="1:458" ht="26.25" x14ac:dyDescent="0.4">
      <c r="A239" s="347"/>
      <c r="B239" s="348"/>
      <c r="C239" s="288"/>
      <c r="D239" s="349"/>
      <c r="E239" s="350"/>
      <c r="F239" s="351"/>
      <c r="G239" s="352"/>
      <c r="H239" s="348"/>
      <c r="I239" s="353"/>
      <c r="J239" s="353"/>
      <c r="PJ239" s="1" t="e">
        <v>#N/A</v>
      </c>
      <c r="PK239" s="1" t="e">
        <v>#N/A</v>
      </c>
      <c r="PL239" s="1" t="e">
        <v>#N/A</v>
      </c>
      <c r="PM239" s="1" t="e">
        <v>#N/A</v>
      </c>
      <c r="PN239" s="1" t="e">
        <v>#N/A</v>
      </c>
      <c r="PO239" s="1" t="e">
        <v>#N/A</v>
      </c>
      <c r="PP239" s="1" t="e">
        <v>#N/A</v>
      </c>
      <c r="PQ239" s="1" t="e">
        <v>#N/A</v>
      </c>
      <c r="PR239" s="1" t="e">
        <v>#N/A</v>
      </c>
      <c r="PS239" s="1" t="e">
        <v>#N/A</v>
      </c>
      <c r="PT239" s="1" t="e">
        <v>#N/A</v>
      </c>
      <c r="PU239" s="1" t="e">
        <v>#N/A</v>
      </c>
      <c r="PV239" s="1" t="e">
        <v>#N/A</v>
      </c>
      <c r="PW239" s="1" t="e">
        <v>#N/A</v>
      </c>
      <c r="PX239" s="1" t="e">
        <v>#N/A</v>
      </c>
      <c r="PY239" s="1" t="e">
        <v>#N/A</v>
      </c>
      <c r="PZ239" s="1" t="e">
        <v>#N/A</v>
      </c>
      <c r="QA239" s="1" t="e">
        <v>#N/A</v>
      </c>
      <c r="QB239" s="1" t="e">
        <v>#N/A</v>
      </c>
      <c r="QC239" s="1" t="e">
        <v>#N/A</v>
      </c>
      <c r="QD239" s="1" t="e">
        <v>#N/A</v>
      </c>
      <c r="QE239" s="1" t="e">
        <v>#N/A</v>
      </c>
      <c r="QF239" s="1" t="e">
        <v>#N/A</v>
      </c>
      <c r="QG239" s="1" t="e">
        <v>#N/A</v>
      </c>
      <c r="QH239" s="1" t="e">
        <v>#N/A</v>
      </c>
      <c r="QI239" s="1" t="e">
        <v>#N/A</v>
      </c>
      <c r="QJ239" s="1" t="e">
        <v>#N/A</v>
      </c>
      <c r="QK239" s="1" t="e">
        <v>#N/A</v>
      </c>
      <c r="QL239" s="1" t="e">
        <v>#N/A</v>
      </c>
      <c r="QM239" s="1" t="e">
        <v>#N/A</v>
      </c>
      <c r="QN239" s="1" t="e">
        <v>#N/A</v>
      </c>
      <c r="QO239" s="1" t="e">
        <v>#N/A</v>
      </c>
      <c r="QP239" s="1" t="e">
        <v>#N/A</v>
      </c>
    </row>
    <row r="240" spans="1:458" ht="26.25" x14ac:dyDescent="0.4">
      <c r="A240" s="347"/>
      <c r="B240" s="348"/>
      <c r="C240" s="288"/>
      <c r="D240" s="349"/>
      <c r="E240" s="350"/>
      <c r="F240" s="351"/>
      <c r="G240" s="352"/>
      <c r="H240" s="348"/>
      <c r="I240" s="353"/>
      <c r="J240" s="353"/>
      <c r="PJ240" s="1" t="e">
        <v>#N/A</v>
      </c>
      <c r="PK240" s="1" t="e">
        <v>#N/A</v>
      </c>
      <c r="PL240" s="1" t="e">
        <v>#N/A</v>
      </c>
      <c r="PM240" s="1" t="e">
        <v>#N/A</v>
      </c>
      <c r="PN240" s="1" t="e">
        <v>#N/A</v>
      </c>
      <c r="PO240" s="1" t="e">
        <v>#N/A</v>
      </c>
      <c r="PP240" s="1" t="e">
        <v>#N/A</v>
      </c>
      <c r="PQ240" s="1" t="e">
        <v>#N/A</v>
      </c>
      <c r="PR240" s="1" t="e">
        <v>#N/A</v>
      </c>
      <c r="PS240" s="1" t="e">
        <v>#N/A</v>
      </c>
      <c r="PT240" s="1" t="e">
        <v>#N/A</v>
      </c>
      <c r="PU240" s="1" t="e">
        <v>#N/A</v>
      </c>
      <c r="PV240" s="1" t="e">
        <v>#N/A</v>
      </c>
      <c r="PW240" s="1" t="e">
        <v>#N/A</v>
      </c>
      <c r="PX240" s="1" t="e">
        <v>#N/A</v>
      </c>
      <c r="PY240" s="1" t="e">
        <v>#N/A</v>
      </c>
      <c r="PZ240" s="1" t="e">
        <v>#N/A</v>
      </c>
      <c r="QA240" s="1" t="e">
        <v>#N/A</v>
      </c>
      <c r="QB240" s="1" t="e">
        <v>#N/A</v>
      </c>
      <c r="QC240" s="1" t="e">
        <v>#N/A</v>
      </c>
      <c r="QD240" s="1" t="e">
        <v>#N/A</v>
      </c>
      <c r="QE240" s="1" t="e">
        <v>#N/A</v>
      </c>
      <c r="QF240" s="1" t="e">
        <v>#N/A</v>
      </c>
      <c r="QG240" s="1" t="e">
        <v>#N/A</v>
      </c>
      <c r="QH240" s="1" t="e">
        <v>#N/A</v>
      </c>
      <c r="QI240" s="1" t="e">
        <v>#N/A</v>
      </c>
      <c r="QJ240" s="1" t="e">
        <v>#N/A</v>
      </c>
      <c r="QK240" s="1" t="e">
        <v>#N/A</v>
      </c>
      <c r="QL240" s="1" t="e">
        <v>#N/A</v>
      </c>
      <c r="QM240" s="1" t="e">
        <v>#N/A</v>
      </c>
      <c r="QN240" s="1" t="e">
        <v>#N/A</v>
      </c>
      <c r="QO240" s="1" t="e">
        <v>#N/A</v>
      </c>
      <c r="QP240" s="1" t="e">
        <v>#N/A</v>
      </c>
    </row>
    <row r="241" spans="1:458" ht="26.25" x14ac:dyDescent="0.4">
      <c r="A241" s="347"/>
      <c r="B241" s="348"/>
      <c r="C241" s="288"/>
      <c r="D241" s="349"/>
      <c r="E241" s="350"/>
      <c r="F241" s="351"/>
      <c r="G241" s="352"/>
      <c r="H241" s="348"/>
      <c r="I241" s="353"/>
      <c r="J241" s="353"/>
      <c r="PJ241" s="1" t="e">
        <v>#N/A</v>
      </c>
      <c r="PK241" s="1" t="e">
        <v>#N/A</v>
      </c>
      <c r="PL241" s="1" t="e">
        <v>#N/A</v>
      </c>
      <c r="PM241" s="1" t="e">
        <v>#N/A</v>
      </c>
      <c r="PN241" s="1" t="e">
        <v>#N/A</v>
      </c>
      <c r="PO241" s="1" t="e">
        <v>#N/A</v>
      </c>
      <c r="PP241" s="1" t="e">
        <v>#N/A</v>
      </c>
      <c r="PQ241" s="1" t="e">
        <v>#N/A</v>
      </c>
      <c r="PR241" s="1" t="e">
        <v>#N/A</v>
      </c>
      <c r="PS241" s="1" t="e">
        <v>#N/A</v>
      </c>
      <c r="PT241" s="1" t="e">
        <v>#N/A</v>
      </c>
      <c r="PU241" s="1" t="e">
        <v>#N/A</v>
      </c>
      <c r="PV241" s="1" t="e">
        <v>#N/A</v>
      </c>
      <c r="PW241" s="1" t="e">
        <v>#N/A</v>
      </c>
      <c r="PX241" s="1" t="e">
        <v>#N/A</v>
      </c>
      <c r="PY241" s="1" t="e">
        <v>#N/A</v>
      </c>
      <c r="PZ241" s="1" t="e">
        <v>#N/A</v>
      </c>
      <c r="QA241" s="1" t="e">
        <v>#N/A</v>
      </c>
      <c r="QB241" s="1" t="e">
        <v>#N/A</v>
      </c>
      <c r="QC241" s="1" t="e">
        <v>#N/A</v>
      </c>
      <c r="QD241" s="1" t="e">
        <v>#N/A</v>
      </c>
      <c r="QE241" s="1" t="e">
        <v>#N/A</v>
      </c>
      <c r="QF241" s="1" t="e">
        <v>#N/A</v>
      </c>
      <c r="QG241" s="1" t="e">
        <v>#N/A</v>
      </c>
      <c r="QH241" s="1" t="e">
        <v>#N/A</v>
      </c>
      <c r="QI241" s="1" t="e">
        <v>#N/A</v>
      </c>
      <c r="QJ241" s="1" t="e">
        <v>#N/A</v>
      </c>
      <c r="QK241" s="1" t="e">
        <v>#N/A</v>
      </c>
      <c r="QL241" s="1" t="e">
        <v>#N/A</v>
      </c>
      <c r="QM241" s="1" t="e">
        <v>#N/A</v>
      </c>
      <c r="QN241" s="1" t="e">
        <v>#N/A</v>
      </c>
      <c r="QO241" s="1" t="e">
        <v>#N/A</v>
      </c>
      <c r="QP241" s="1" t="e">
        <v>#N/A</v>
      </c>
    </row>
    <row r="242" spans="1:458" ht="26.25" x14ac:dyDescent="0.4">
      <c r="A242" s="347"/>
      <c r="B242" s="348"/>
      <c r="C242" s="288"/>
      <c r="D242" s="349"/>
      <c r="E242" s="350"/>
      <c r="F242" s="351"/>
      <c r="G242" s="352"/>
      <c r="H242" s="348"/>
      <c r="I242" s="353"/>
      <c r="J242" s="353"/>
      <c r="PJ242" s="1" t="e">
        <v>#N/A</v>
      </c>
      <c r="PK242" s="1" t="e">
        <v>#N/A</v>
      </c>
      <c r="PL242" s="1" t="e">
        <v>#N/A</v>
      </c>
      <c r="PM242" s="1" t="e">
        <v>#N/A</v>
      </c>
      <c r="PN242" s="1" t="e">
        <v>#N/A</v>
      </c>
      <c r="PO242" s="1" t="e">
        <v>#N/A</v>
      </c>
      <c r="PP242" s="1" t="e">
        <v>#N/A</v>
      </c>
      <c r="PQ242" s="1" t="e">
        <v>#N/A</v>
      </c>
      <c r="PR242" s="1" t="e">
        <v>#N/A</v>
      </c>
      <c r="PS242" s="1" t="e">
        <v>#N/A</v>
      </c>
      <c r="PT242" s="1" t="e">
        <v>#N/A</v>
      </c>
      <c r="PU242" s="1" t="e">
        <v>#N/A</v>
      </c>
      <c r="PV242" s="1" t="e">
        <v>#N/A</v>
      </c>
      <c r="PW242" s="1" t="e">
        <v>#N/A</v>
      </c>
      <c r="PX242" s="1" t="e">
        <v>#N/A</v>
      </c>
      <c r="PY242" s="1" t="e">
        <v>#N/A</v>
      </c>
      <c r="PZ242" s="1" t="e">
        <v>#N/A</v>
      </c>
      <c r="QA242" s="1" t="e">
        <v>#N/A</v>
      </c>
      <c r="QB242" s="1" t="e">
        <v>#N/A</v>
      </c>
      <c r="QC242" s="1" t="e">
        <v>#N/A</v>
      </c>
      <c r="QD242" s="1" t="e">
        <v>#N/A</v>
      </c>
      <c r="QE242" s="1" t="e">
        <v>#N/A</v>
      </c>
      <c r="QF242" s="1" t="e">
        <v>#N/A</v>
      </c>
      <c r="QG242" s="1" t="e">
        <v>#N/A</v>
      </c>
      <c r="QH242" s="1" t="e">
        <v>#N/A</v>
      </c>
      <c r="QI242" s="1" t="e">
        <v>#N/A</v>
      </c>
      <c r="QJ242" s="1" t="e">
        <v>#N/A</v>
      </c>
      <c r="QK242" s="1" t="e">
        <v>#N/A</v>
      </c>
      <c r="QL242" s="1" t="e">
        <v>#N/A</v>
      </c>
      <c r="QM242" s="1" t="e">
        <v>#N/A</v>
      </c>
      <c r="QN242" s="1" t="e">
        <v>#N/A</v>
      </c>
      <c r="QO242" s="1" t="e">
        <v>#N/A</v>
      </c>
      <c r="QP242" s="1" t="e">
        <v>#N/A</v>
      </c>
    </row>
    <row r="243" spans="1:458" ht="26.25" x14ac:dyDescent="0.4">
      <c r="A243" s="347"/>
      <c r="B243" s="348"/>
      <c r="C243" s="288"/>
      <c r="D243" s="349"/>
      <c r="E243" s="350"/>
      <c r="F243" s="351"/>
      <c r="G243" s="352"/>
      <c r="H243" s="348"/>
      <c r="I243" s="353"/>
      <c r="J243" s="353"/>
      <c r="PJ243" s="1" t="e">
        <v>#N/A</v>
      </c>
      <c r="PK243" s="1" t="e">
        <v>#N/A</v>
      </c>
      <c r="PL243" s="1" t="e">
        <v>#N/A</v>
      </c>
      <c r="PM243" s="1" t="e">
        <v>#N/A</v>
      </c>
      <c r="PN243" s="1" t="e">
        <v>#N/A</v>
      </c>
      <c r="PO243" s="1" t="e">
        <v>#N/A</v>
      </c>
      <c r="PP243" s="1" t="e">
        <v>#N/A</v>
      </c>
      <c r="PQ243" s="1" t="e">
        <v>#N/A</v>
      </c>
      <c r="PR243" s="1" t="e">
        <v>#N/A</v>
      </c>
      <c r="PS243" s="1" t="e">
        <v>#N/A</v>
      </c>
      <c r="PT243" s="1" t="e">
        <v>#N/A</v>
      </c>
      <c r="PU243" s="1" t="e">
        <v>#N/A</v>
      </c>
      <c r="PV243" s="1" t="e">
        <v>#N/A</v>
      </c>
      <c r="PW243" s="1" t="e">
        <v>#N/A</v>
      </c>
      <c r="PX243" s="1" t="e">
        <v>#N/A</v>
      </c>
      <c r="PY243" s="1" t="e">
        <v>#N/A</v>
      </c>
      <c r="PZ243" s="1" t="e">
        <v>#N/A</v>
      </c>
      <c r="QA243" s="1" t="e">
        <v>#N/A</v>
      </c>
      <c r="QB243" s="1" t="e">
        <v>#N/A</v>
      </c>
      <c r="QC243" s="1" t="e">
        <v>#N/A</v>
      </c>
      <c r="QD243" s="1" t="e">
        <v>#N/A</v>
      </c>
      <c r="QE243" s="1" t="e">
        <v>#N/A</v>
      </c>
      <c r="QF243" s="1" t="e">
        <v>#N/A</v>
      </c>
      <c r="QG243" s="1" t="e">
        <v>#N/A</v>
      </c>
      <c r="QH243" s="1" t="e">
        <v>#N/A</v>
      </c>
      <c r="QI243" s="1" t="e">
        <v>#N/A</v>
      </c>
      <c r="QJ243" s="1" t="e">
        <v>#N/A</v>
      </c>
      <c r="QK243" s="1" t="e">
        <v>#N/A</v>
      </c>
      <c r="QL243" s="1" t="e">
        <v>#N/A</v>
      </c>
      <c r="QM243" s="1" t="e">
        <v>#N/A</v>
      </c>
      <c r="QN243" s="1" t="e">
        <v>#N/A</v>
      </c>
      <c r="QO243" s="1" t="e">
        <v>#N/A</v>
      </c>
      <c r="QP243" s="1" t="e">
        <v>#N/A</v>
      </c>
    </row>
    <row r="244" spans="1:458" ht="26.25" x14ac:dyDescent="0.4">
      <c r="A244" s="347"/>
      <c r="B244" s="348"/>
      <c r="C244" s="288"/>
      <c r="D244" s="349"/>
      <c r="E244" s="350"/>
      <c r="F244" s="351"/>
      <c r="G244" s="352"/>
      <c r="H244" s="348"/>
      <c r="I244" s="353"/>
      <c r="J244" s="353"/>
      <c r="PJ244" s="1" t="e">
        <v>#N/A</v>
      </c>
      <c r="PK244" s="1" t="e">
        <v>#N/A</v>
      </c>
      <c r="PL244" s="1" t="e">
        <v>#N/A</v>
      </c>
      <c r="PM244" s="1" t="e">
        <v>#N/A</v>
      </c>
      <c r="PN244" s="1" t="e">
        <v>#N/A</v>
      </c>
      <c r="PO244" s="1" t="e">
        <v>#N/A</v>
      </c>
      <c r="PP244" s="1" t="e">
        <v>#N/A</v>
      </c>
      <c r="PQ244" s="1" t="e">
        <v>#N/A</v>
      </c>
      <c r="PR244" s="1" t="e">
        <v>#N/A</v>
      </c>
      <c r="PS244" s="1" t="e">
        <v>#N/A</v>
      </c>
      <c r="PT244" s="1" t="e">
        <v>#N/A</v>
      </c>
      <c r="PU244" s="1" t="e">
        <v>#N/A</v>
      </c>
      <c r="PV244" s="1" t="e">
        <v>#N/A</v>
      </c>
      <c r="PW244" s="1" t="e">
        <v>#N/A</v>
      </c>
      <c r="PX244" s="1" t="e">
        <v>#N/A</v>
      </c>
      <c r="PY244" s="1" t="e">
        <v>#N/A</v>
      </c>
      <c r="PZ244" s="1" t="e">
        <v>#N/A</v>
      </c>
      <c r="QA244" s="1" t="e">
        <v>#N/A</v>
      </c>
      <c r="QB244" s="1" t="e">
        <v>#N/A</v>
      </c>
      <c r="QC244" s="1" t="e">
        <v>#N/A</v>
      </c>
      <c r="QD244" s="1" t="e">
        <v>#N/A</v>
      </c>
      <c r="QE244" s="1" t="e">
        <v>#N/A</v>
      </c>
      <c r="QF244" s="1" t="e">
        <v>#N/A</v>
      </c>
      <c r="QG244" s="1" t="e">
        <v>#N/A</v>
      </c>
      <c r="QH244" s="1" t="e">
        <v>#N/A</v>
      </c>
      <c r="QI244" s="1" t="e">
        <v>#N/A</v>
      </c>
      <c r="QJ244" s="1" t="e">
        <v>#N/A</v>
      </c>
      <c r="QK244" s="1" t="e">
        <v>#N/A</v>
      </c>
      <c r="QL244" s="1" t="e">
        <v>#N/A</v>
      </c>
      <c r="QM244" s="1" t="e">
        <v>#N/A</v>
      </c>
      <c r="QN244" s="1" t="e">
        <v>#N/A</v>
      </c>
      <c r="QO244" s="1" t="e">
        <v>#N/A</v>
      </c>
      <c r="QP244" s="1" t="e">
        <v>#N/A</v>
      </c>
    </row>
    <row r="245" spans="1:458" ht="26.25" x14ac:dyDescent="0.4">
      <c r="A245" s="347"/>
      <c r="B245" s="348"/>
      <c r="C245" s="288"/>
      <c r="D245" s="349"/>
      <c r="E245" s="350"/>
      <c r="F245" s="351"/>
      <c r="G245" s="352"/>
      <c r="H245" s="348"/>
      <c r="I245" s="353"/>
      <c r="J245" s="353"/>
      <c r="PJ245" s="1" t="e">
        <v>#N/A</v>
      </c>
      <c r="PK245" s="1" t="e">
        <v>#N/A</v>
      </c>
      <c r="PL245" s="1" t="e">
        <v>#N/A</v>
      </c>
      <c r="PM245" s="1" t="e">
        <v>#N/A</v>
      </c>
      <c r="PN245" s="1" t="e">
        <v>#N/A</v>
      </c>
      <c r="PO245" s="1" t="e">
        <v>#N/A</v>
      </c>
      <c r="PP245" s="1" t="e">
        <v>#N/A</v>
      </c>
      <c r="PQ245" s="1" t="e">
        <v>#N/A</v>
      </c>
      <c r="PR245" s="1" t="e">
        <v>#N/A</v>
      </c>
      <c r="PS245" s="1" t="e">
        <v>#N/A</v>
      </c>
      <c r="PT245" s="1" t="e">
        <v>#N/A</v>
      </c>
      <c r="PU245" s="1" t="e">
        <v>#N/A</v>
      </c>
      <c r="PV245" s="1" t="e">
        <v>#N/A</v>
      </c>
      <c r="PW245" s="1" t="e">
        <v>#N/A</v>
      </c>
      <c r="PX245" s="1" t="e">
        <v>#N/A</v>
      </c>
      <c r="PY245" s="1" t="e">
        <v>#N/A</v>
      </c>
      <c r="PZ245" s="1" t="e">
        <v>#N/A</v>
      </c>
      <c r="QA245" s="1" t="e">
        <v>#N/A</v>
      </c>
      <c r="QB245" s="1" t="e">
        <v>#N/A</v>
      </c>
      <c r="QC245" s="1" t="e">
        <v>#N/A</v>
      </c>
      <c r="QD245" s="1" t="e">
        <v>#N/A</v>
      </c>
      <c r="QE245" s="1" t="e">
        <v>#N/A</v>
      </c>
      <c r="QF245" s="1" t="e">
        <v>#N/A</v>
      </c>
      <c r="QG245" s="1" t="e">
        <v>#N/A</v>
      </c>
      <c r="QH245" s="1" t="e">
        <v>#N/A</v>
      </c>
      <c r="QI245" s="1" t="e">
        <v>#N/A</v>
      </c>
      <c r="QJ245" s="1" t="e">
        <v>#N/A</v>
      </c>
      <c r="QK245" s="1" t="e">
        <v>#N/A</v>
      </c>
      <c r="QL245" s="1" t="e">
        <v>#N/A</v>
      </c>
      <c r="QM245" s="1" t="e">
        <v>#N/A</v>
      </c>
      <c r="QN245" s="1" t="e">
        <v>#N/A</v>
      </c>
      <c r="QO245" s="1" t="e">
        <v>#N/A</v>
      </c>
      <c r="QP245" s="1" t="e">
        <v>#N/A</v>
      </c>
    </row>
    <row r="246" spans="1:458" ht="26.25" x14ac:dyDescent="0.4">
      <c r="A246" s="347"/>
      <c r="B246" s="348"/>
      <c r="C246" s="288"/>
      <c r="D246" s="349"/>
      <c r="E246" s="350"/>
      <c r="F246" s="351"/>
      <c r="G246" s="352"/>
      <c r="H246" s="348"/>
      <c r="I246" s="353"/>
      <c r="J246" s="353"/>
      <c r="PJ246" s="1" t="e">
        <v>#N/A</v>
      </c>
      <c r="PK246" s="1" t="e">
        <v>#N/A</v>
      </c>
      <c r="PL246" s="1" t="e">
        <v>#N/A</v>
      </c>
      <c r="PM246" s="1" t="e">
        <v>#N/A</v>
      </c>
      <c r="PN246" s="1" t="e">
        <v>#N/A</v>
      </c>
      <c r="PO246" s="1" t="e">
        <v>#N/A</v>
      </c>
      <c r="PP246" s="1" t="e">
        <v>#N/A</v>
      </c>
      <c r="PQ246" s="1" t="e">
        <v>#N/A</v>
      </c>
      <c r="PR246" s="1" t="e">
        <v>#N/A</v>
      </c>
      <c r="PS246" s="1" t="e">
        <v>#N/A</v>
      </c>
      <c r="PT246" s="1" t="e">
        <v>#N/A</v>
      </c>
      <c r="PU246" s="1" t="e">
        <v>#N/A</v>
      </c>
      <c r="PV246" s="1" t="e">
        <v>#N/A</v>
      </c>
      <c r="PW246" s="1" t="e">
        <v>#N/A</v>
      </c>
      <c r="PX246" s="1" t="e">
        <v>#N/A</v>
      </c>
      <c r="PY246" s="1" t="e">
        <v>#N/A</v>
      </c>
      <c r="PZ246" s="1" t="e">
        <v>#N/A</v>
      </c>
      <c r="QA246" s="1" t="e">
        <v>#N/A</v>
      </c>
      <c r="QB246" s="1" t="e">
        <v>#N/A</v>
      </c>
      <c r="QC246" s="1" t="e">
        <v>#N/A</v>
      </c>
      <c r="QD246" s="1" t="e">
        <v>#N/A</v>
      </c>
      <c r="QE246" s="1" t="e">
        <v>#N/A</v>
      </c>
      <c r="QF246" s="1" t="e">
        <v>#N/A</v>
      </c>
      <c r="QG246" s="1" t="e">
        <v>#N/A</v>
      </c>
      <c r="QH246" s="1" t="e">
        <v>#N/A</v>
      </c>
      <c r="QI246" s="1" t="e">
        <v>#N/A</v>
      </c>
      <c r="QJ246" s="1" t="e">
        <v>#N/A</v>
      </c>
      <c r="QK246" s="1" t="e">
        <v>#N/A</v>
      </c>
      <c r="QL246" s="1" t="e">
        <v>#N/A</v>
      </c>
      <c r="QM246" s="1" t="e">
        <v>#N/A</v>
      </c>
      <c r="QN246" s="1" t="e">
        <v>#N/A</v>
      </c>
      <c r="QO246" s="1" t="e">
        <v>#N/A</v>
      </c>
      <c r="QP246" s="1" t="e">
        <v>#N/A</v>
      </c>
    </row>
    <row r="247" spans="1:458" ht="26.25" x14ac:dyDescent="0.4">
      <c r="A247" s="347"/>
      <c r="B247" s="348"/>
      <c r="C247" s="288"/>
      <c r="D247" s="349"/>
      <c r="E247" s="350"/>
      <c r="F247" s="351"/>
      <c r="G247" s="352"/>
      <c r="H247" s="348"/>
      <c r="I247" s="353"/>
      <c r="J247" s="353"/>
      <c r="PJ247" s="1" t="e">
        <v>#N/A</v>
      </c>
      <c r="PK247" s="1" t="e">
        <v>#N/A</v>
      </c>
      <c r="PL247" s="1" t="e">
        <v>#N/A</v>
      </c>
      <c r="PM247" s="1" t="e">
        <v>#N/A</v>
      </c>
      <c r="PN247" s="1" t="e">
        <v>#N/A</v>
      </c>
      <c r="PO247" s="1" t="e">
        <v>#N/A</v>
      </c>
      <c r="PP247" s="1" t="e">
        <v>#N/A</v>
      </c>
      <c r="PQ247" s="1" t="e">
        <v>#N/A</v>
      </c>
      <c r="PR247" s="1" t="e">
        <v>#N/A</v>
      </c>
      <c r="PS247" s="1" t="e">
        <v>#N/A</v>
      </c>
      <c r="PT247" s="1" t="e">
        <v>#N/A</v>
      </c>
      <c r="PU247" s="1" t="e">
        <v>#N/A</v>
      </c>
      <c r="PV247" s="1" t="e">
        <v>#N/A</v>
      </c>
      <c r="PW247" s="1" t="e">
        <v>#N/A</v>
      </c>
      <c r="PX247" s="1" t="e">
        <v>#N/A</v>
      </c>
      <c r="PY247" s="1" t="e">
        <v>#N/A</v>
      </c>
      <c r="PZ247" s="1" t="e">
        <v>#N/A</v>
      </c>
      <c r="QA247" s="1" t="e">
        <v>#N/A</v>
      </c>
      <c r="QB247" s="1" t="e">
        <v>#N/A</v>
      </c>
      <c r="QC247" s="1" t="e">
        <v>#N/A</v>
      </c>
      <c r="QD247" s="1" t="e">
        <v>#N/A</v>
      </c>
      <c r="QE247" s="1" t="e">
        <v>#N/A</v>
      </c>
      <c r="QF247" s="1" t="e">
        <v>#N/A</v>
      </c>
      <c r="QG247" s="1" t="e">
        <v>#N/A</v>
      </c>
      <c r="QH247" s="1" t="e">
        <v>#N/A</v>
      </c>
      <c r="QI247" s="1" t="e">
        <v>#N/A</v>
      </c>
      <c r="QJ247" s="1" t="e">
        <v>#N/A</v>
      </c>
      <c r="QK247" s="1" t="e">
        <v>#N/A</v>
      </c>
      <c r="QL247" s="1" t="e">
        <v>#N/A</v>
      </c>
      <c r="QM247" s="1" t="e">
        <v>#N/A</v>
      </c>
      <c r="QN247" s="1" t="e">
        <v>#N/A</v>
      </c>
      <c r="QO247" s="1" t="e">
        <v>#N/A</v>
      </c>
      <c r="QP247" s="1" t="e">
        <v>#N/A</v>
      </c>
    </row>
    <row r="248" spans="1:458" ht="26.25" x14ac:dyDescent="0.4">
      <c r="A248" s="347"/>
      <c r="B248" s="348"/>
      <c r="C248" s="288"/>
      <c r="D248" s="349"/>
      <c r="E248" s="350"/>
      <c r="F248" s="351"/>
      <c r="G248" s="352"/>
      <c r="H248" s="348"/>
      <c r="I248" s="353"/>
      <c r="J248" s="353"/>
      <c r="PJ248" s="1" t="e">
        <v>#N/A</v>
      </c>
      <c r="PK248" s="1" t="e">
        <v>#N/A</v>
      </c>
      <c r="PL248" s="1" t="e">
        <v>#N/A</v>
      </c>
      <c r="PM248" s="1" t="e">
        <v>#N/A</v>
      </c>
      <c r="PN248" s="1" t="e">
        <v>#N/A</v>
      </c>
      <c r="PO248" s="1" t="e">
        <v>#N/A</v>
      </c>
      <c r="PP248" s="1" t="e">
        <v>#N/A</v>
      </c>
      <c r="PQ248" s="1" t="e">
        <v>#N/A</v>
      </c>
      <c r="PR248" s="1" t="e">
        <v>#N/A</v>
      </c>
      <c r="PS248" s="1" t="e">
        <v>#N/A</v>
      </c>
      <c r="PT248" s="1" t="e">
        <v>#N/A</v>
      </c>
      <c r="PU248" s="1" t="e">
        <v>#N/A</v>
      </c>
      <c r="PV248" s="1" t="e">
        <v>#N/A</v>
      </c>
      <c r="PW248" s="1" t="e">
        <v>#N/A</v>
      </c>
      <c r="PX248" s="1" t="e">
        <v>#N/A</v>
      </c>
      <c r="PY248" s="1" t="e">
        <v>#N/A</v>
      </c>
      <c r="PZ248" s="1" t="e">
        <v>#N/A</v>
      </c>
      <c r="QA248" s="1" t="e">
        <v>#N/A</v>
      </c>
      <c r="QB248" s="1" t="e">
        <v>#N/A</v>
      </c>
      <c r="QC248" s="1" t="e">
        <v>#N/A</v>
      </c>
      <c r="QD248" s="1" t="e">
        <v>#N/A</v>
      </c>
      <c r="QE248" s="1" t="e">
        <v>#N/A</v>
      </c>
      <c r="QF248" s="1" t="e">
        <v>#N/A</v>
      </c>
      <c r="QG248" s="1" t="e">
        <v>#N/A</v>
      </c>
      <c r="QH248" s="1" t="e">
        <v>#N/A</v>
      </c>
      <c r="QI248" s="1" t="e">
        <v>#N/A</v>
      </c>
      <c r="QJ248" s="1" t="e">
        <v>#N/A</v>
      </c>
      <c r="QK248" s="1" t="e">
        <v>#N/A</v>
      </c>
      <c r="QL248" s="1" t="e">
        <v>#N/A</v>
      </c>
      <c r="QM248" s="1" t="e">
        <v>#N/A</v>
      </c>
      <c r="QN248" s="1" t="e">
        <v>#N/A</v>
      </c>
      <c r="QO248" s="1" t="e">
        <v>#N/A</v>
      </c>
      <c r="QP248" s="1" t="e">
        <v>#N/A</v>
      </c>
    </row>
    <row r="249" spans="1:458" ht="26.25" x14ac:dyDescent="0.4">
      <c r="A249" s="347"/>
      <c r="B249" s="348"/>
      <c r="C249" s="288"/>
      <c r="D249" s="349"/>
      <c r="E249" s="350"/>
      <c r="F249" s="351"/>
      <c r="G249" s="352"/>
      <c r="H249" s="348"/>
      <c r="I249" s="353"/>
      <c r="J249" s="353"/>
      <c r="PJ249" s="1" t="e">
        <v>#N/A</v>
      </c>
      <c r="PK249" s="1" t="e">
        <v>#N/A</v>
      </c>
      <c r="PL249" s="1" t="e">
        <v>#N/A</v>
      </c>
      <c r="PM249" s="1" t="e">
        <v>#N/A</v>
      </c>
      <c r="PN249" s="1" t="e">
        <v>#N/A</v>
      </c>
      <c r="PO249" s="1" t="e">
        <v>#N/A</v>
      </c>
      <c r="PP249" s="1" t="e">
        <v>#N/A</v>
      </c>
      <c r="PQ249" s="1" t="e">
        <v>#N/A</v>
      </c>
      <c r="PR249" s="1" t="e">
        <v>#N/A</v>
      </c>
      <c r="PS249" s="1" t="e">
        <v>#N/A</v>
      </c>
      <c r="PT249" s="1" t="e">
        <v>#N/A</v>
      </c>
      <c r="PU249" s="1" t="e">
        <v>#N/A</v>
      </c>
      <c r="PV249" s="1" t="e">
        <v>#N/A</v>
      </c>
      <c r="PW249" s="1" t="e">
        <v>#N/A</v>
      </c>
      <c r="PX249" s="1" t="e">
        <v>#N/A</v>
      </c>
      <c r="PY249" s="1" t="e">
        <v>#N/A</v>
      </c>
      <c r="PZ249" s="1" t="e">
        <v>#N/A</v>
      </c>
      <c r="QA249" s="1" t="e">
        <v>#N/A</v>
      </c>
      <c r="QB249" s="1" t="e">
        <v>#N/A</v>
      </c>
      <c r="QC249" s="1" t="e">
        <v>#N/A</v>
      </c>
      <c r="QD249" s="1" t="e">
        <v>#N/A</v>
      </c>
      <c r="QE249" s="1" t="e">
        <v>#N/A</v>
      </c>
      <c r="QF249" s="1" t="e">
        <v>#N/A</v>
      </c>
      <c r="QG249" s="1" t="e">
        <v>#N/A</v>
      </c>
      <c r="QH249" s="1" t="e">
        <v>#N/A</v>
      </c>
      <c r="QI249" s="1" t="e">
        <v>#N/A</v>
      </c>
      <c r="QJ249" s="1" t="e">
        <v>#N/A</v>
      </c>
      <c r="QK249" s="1" t="e">
        <v>#N/A</v>
      </c>
      <c r="QL249" s="1" t="e">
        <v>#N/A</v>
      </c>
      <c r="QM249" s="1" t="e">
        <v>#N/A</v>
      </c>
      <c r="QN249" s="1" t="e">
        <v>#N/A</v>
      </c>
      <c r="QO249" s="1" t="e">
        <v>#N/A</v>
      </c>
      <c r="QP249" s="1" t="e">
        <v>#N/A</v>
      </c>
    </row>
    <row r="250" spans="1:458" ht="26.25" x14ac:dyDescent="0.4">
      <c r="A250" s="347"/>
      <c r="B250" s="348"/>
      <c r="C250" s="288"/>
      <c r="D250" s="349"/>
      <c r="E250" s="350"/>
      <c r="F250" s="351"/>
      <c r="G250" s="352"/>
      <c r="H250" s="348"/>
      <c r="I250" s="353"/>
      <c r="J250" s="353"/>
      <c r="PJ250" s="1" t="e">
        <v>#N/A</v>
      </c>
      <c r="PK250" s="1" t="e">
        <v>#N/A</v>
      </c>
      <c r="PL250" s="1" t="e">
        <v>#N/A</v>
      </c>
      <c r="PM250" s="1" t="e">
        <v>#N/A</v>
      </c>
      <c r="PN250" s="1" t="e">
        <v>#N/A</v>
      </c>
      <c r="PO250" s="1" t="e">
        <v>#N/A</v>
      </c>
      <c r="PP250" s="1" t="e">
        <v>#N/A</v>
      </c>
      <c r="PQ250" s="1" t="e">
        <v>#N/A</v>
      </c>
      <c r="PR250" s="1" t="e">
        <v>#N/A</v>
      </c>
      <c r="PS250" s="1" t="e">
        <v>#N/A</v>
      </c>
      <c r="PT250" s="1" t="e">
        <v>#N/A</v>
      </c>
      <c r="PU250" s="1" t="e">
        <v>#N/A</v>
      </c>
      <c r="PV250" s="1" t="e">
        <v>#N/A</v>
      </c>
      <c r="PW250" s="1" t="e">
        <v>#N/A</v>
      </c>
      <c r="PX250" s="1" t="e">
        <v>#N/A</v>
      </c>
      <c r="PY250" s="1" t="e">
        <v>#N/A</v>
      </c>
      <c r="PZ250" s="1" t="e">
        <v>#N/A</v>
      </c>
      <c r="QA250" s="1" t="e">
        <v>#N/A</v>
      </c>
      <c r="QB250" s="1" t="e">
        <v>#N/A</v>
      </c>
      <c r="QC250" s="1" t="e">
        <v>#N/A</v>
      </c>
      <c r="QD250" s="1" t="e">
        <v>#N/A</v>
      </c>
      <c r="QE250" s="1" t="e">
        <v>#N/A</v>
      </c>
      <c r="QF250" s="1" t="e">
        <v>#N/A</v>
      </c>
      <c r="QG250" s="1" t="e">
        <v>#N/A</v>
      </c>
      <c r="QH250" s="1" t="e">
        <v>#N/A</v>
      </c>
      <c r="QI250" s="1" t="e">
        <v>#N/A</v>
      </c>
      <c r="QJ250" s="1" t="e">
        <v>#N/A</v>
      </c>
      <c r="QK250" s="1" t="e">
        <v>#N/A</v>
      </c>
      <c r="QL250" s="1" t="e">
        <v>#N/A</v>
      </c>
      <c r="QM250" s="1" t="e">
        <v>#N/A</v>
      </c>
      <c r="QN250" s="1" t="e">
        <v>#N/A</v>
      </c>
      <c r="QO250" s="1" t="e">
        <v>#N/A</v>
      </c>
      <c r="QP250" s="1" t="e">
        <v>#N/A</v>
      </c>
    </row>
    <row r="251" spans="1:458" ht="26.25" x14ac:dyDescent="0.4">
      <c r="A251" s="347"/>
      <c r="B251" s="348"/>
      <c r="C251" s="288"/>
      <c r="D251" s="349"/>
      <c r="E251" s="350"/>
      <c r="F251" s="351"/>
      <c r="G251" s="352"/>
      <c r="H251" s="348"/>
      <c r="I251" s="353"/>
      <c r="J251" s="353"/>
      <c r="PJ251" s="1" t="e">
        <v>#N/A</v>
      </c>
      <c r="PK251" s="1" t="e">
        <v>#N/A</v>
      </c>
      <c r="PL251" s="1" t="e">
        <v>#N/A</v>
      </c>
      <c r="PM251" s="1" t="e">
        <v>#N/A</v>
      </c>
      <c r="PN251" s="1" t="e">
        <v>#N/A</v>
      </c>
      <c r="PO251" s="1" t="e">
        <v>#N/A</v>
      </c>
      <c r="PP251" s="1" t="e">
        <v>#N/A</v>
      </c>
      <c r="PQ251" s="1" t="e">
        <v>#N/A</v>
      </c>
      <c r="PR251" s="1" t="e">
        <v>#N/A</v>
      </c>
      <c r="PS251" s="1" t="e">
        <v>#N/A</v>
      </c>
      <c r="PT251" s="1" t="e">
        <v>#N/A</v>
      </c>
      <c r="PU251" s="1" t="e">
        <v>#N/A</v>
      </c>
      <c r="PV251" s="1" t="e">
        <v>#N/A</v>
      </c>
      <c r="PW251" s="1" t="e">
        <v>#N/A</v>
      </c>
      <c r="PX251" s="1" t="e">
        <v>#N/A</v>
      </c>
      <c r="PY251" s="1" t="e">
        <v>#N/A</v>
      </c>
      <c r="PZ251" s="1" t="e">
        <v>#N/A</v>
      </c>
      <c r="QA251" s="1" t="e">
        <v>#N/A</v>
      </c>
      <c r="QB251" s="1" t="e">
        <v>#N/A</v>
      </c>
      <c r="QC251" s="1" t="e">
        <v>#N/A</v>
      </c>
      <c r="QD251" s="1" t="e">
        <v>#N/A</v>
      </c>
      <c r="QE251" s="1" t="e">
        <v>#N/A</v>
      </c>
      <c r="QF251" s="1" t="e">
        <v>#N/A</v>
      </c>
      <c r="QG251" s="1" t="e">
        <v>#N/A</v>
      </c>
      <c r="QH251" s="1" t="e">
        <v>#N/A</v>
      </c>
      <c r="QI251" s="1" t="e">
        <v>#N/A</v>
      </c>
      <c r="QJ251" s="1" t="e">
        <v>#N/A</v>
      </c>
      <c r="QK251" s="1" t="e">
        <v>#N/A</v>
      </c>
      <c r="QL251" s="1" t="e">
        <v>#N/A</v>
      </c>
      <c r="QM251" s="1" t="e">
        <v>#N/A</v>
      </c>
      <c r="QN251" s="1" t="e">
        <v>#N/A</v>
      </c>
      <c r="QO251" s="1" t="e">
        <v>#N/A</v>
      </c>
      <c r="QP251" s="1" t="e">
        <v>#N/A</v>
      </c>
    </row>
    <row r="252" spans="1:458" ht="26.25" x14ac:dyDescent="0.4">
      <c r="A252" s="347"/>
      <c r="B252" s="348"/>
      <c r="C252" s="288"/>
      <c r="D252" s="349"/>
      <c r="E252" s="350"/>
      <c r="F252" s="351"/>
      <c r="G252" s="352"/>
      <c r="H252" s="348"/>
      <c r="I252" s="353"/>
      <c r="J252" s="353"/>
      <c r="PJ252" s="1" t="e">
        <v>#N/A</v>
      </c>
      <c r="PK252" s="1" t="e">
        <v>#N/A</v>
      </c>
      <c r="PL252" s="1" t="e">
        <v>#N/A</v>
      </c>
      <c r="PM252" s="1" t="e">
        <v>#N/A</v>
      </c>
      <c r="PN252" s="1" t="e">
        <v>#N/A</v>
      </c>
      <c r="PO252" s="1" t="e">
        <v>#N/A</v>
      </c>
      <c r="PP252" s="1" t="e">
        <v>#N/A</v>
      </c>
      <c r="PQ252" s="1" t="e">
        <v>#N/A</v>
      </c>
      <c r="PR252" s="1" t="e">
        <v>#N/A</v>
      </c>
      <c r="PS252" s="1" t="e">
        <v>#N/A</v>
      </c>
      <c r="PT252" s="1" t="e">
        <v>#N/A</v>
      </c>
      <c r="PU252" s="1" t="e">
        <v>#N/A</v>
      </c>
      <c r="PV252" s="1" t="e">
        <v>#N/A</v>
      </c>
      <c r="PW252" s="1" t="e">
        <v>#N/A</v>
      </c>
      <c r="PX252" s="1" t="e">
        <v>#N/A</v>
      </c>
      <c r="PY252" s="1" t="e">
        <v>#N/A</v>
      </c>
      <c r="PZ252" s="1" t="e">
        <v>#N/A</v>
      </c>
      <c r="QA252" s="1" t="e">
        <v>#N/A</v>
      </c>
      <c r="QB252" s="1" t="e">
        <v>#N/A</v>
      </c>
      <c r="QC252" s="1" t="e">
        <v>#N/A</v>
      </c>
      <c r="QD252" s="1" t="e">
        <v>#N/A</v>
      </c>
      <c r="QE252" s="1" t="e">
        <v>#N/A</v>
      </c>
      <c r="QF252" s="1" t="e">
        <v>#N/A</v>
      </c>
      <c r="QG252" s="1" t="e">
        <v>#N/A</v>
      </c>
      <c r="QH252" s="1" t="e">
        <v>#N/A</v>
      </c>
      <c r="QI252" s="1" t="e">
        <v>#N/A</v>
      </c>
      <c r="QJ252" s="1" t="e">
        <v>#N/A</v>
      </c>
      <c r="QK252" s="1" t="e">
        <v>#N/A</v>
      </c>
      <c r="QL252" s="1" t="e">
        <v>#N/A</v>
      </c>
      <c r="QM252" s="1" t="e">
        <v>#N/A</v>
      </c>
      <c r="QN252" s="1" t="e">
        <v>#N/A</v>
      </c>
      <c r="QO252" s="1" t="e">
        <v>#N/A</v>
      </c>
      <c r="QP252" s="1" t="e">
        <v>#N/A</v>
      </c>
    </row>
    <row r="253" spans="1:458" ht="26.25" x14ac:dyDescent="0.4">
      <c r="A253" s="347"/>
      <c r="B253" s="348"/>
      <c r="C253" s="288"/>
      <c r="D253" s="349"/>
      <c r="E253" s="350"/>
      <c r="F253" s="351"/>
      <c r="G253" s="352"/>
      <c r="H253" s="348"/>
      <c r="I253" s="353"/>
      <c r="J253" s="353"/>
      <c r="PJ253" s="1" t="e">
        <v>#N/A</v>
      </c>
      <c r="PK253" s="1" t="e">
        <v>#N/A</v>
      </c>
      <c r="PL253" s="1" t="e">
        <v>#N/A</v>
      </c>
      <c r="PM253" s="1" t="e">
        <v>#N/A</v>
      </c>
      <c r="PN253" s="1" t="e">
        <v>#N/A</v>
      </c>
      <c r="PO253" s="1" t="e">
        <v>#N/A</v>
      </c>
      <c r="PP253" s="1" t="e">
        <v>#N/A</v>
      </c>
      <c r="PQ253" s="1" t="e">
        <v>#N/A</v>
      </c>
      <c r="PR253" s="1" t="e">
        <v>#N/A</v>
      </c>
      <c r="PS253" s="1" t="e">
        <v>#N/A</v>
      </c>
      <c r="PT253" s="1" t="e">
        <v>#N/A</v>
      </c>
      <c r="PU253" s="1" t="e">
        <v>#N/A</v>
      </c>
      <c r="PV253" s="1" t="e">
        <v>#N/A</v>
      </c>
      <c r="PW253" s="1" t="e">
        <v>#N/A</v>
      </c>
      <c r="PX253" s="1" t="e">
        <v>#N/A</v>
      </c>
      <c r="PY253" s="1" t="e">
        <v>#N/A</v>
      </c>
      <c r="PZ253" s="1" t="e">
        <v>#N/A</v>
      </c>
      <c r="QA253" s="1" t="e">
        <v>#N/A</v>
      </c>
      <c r="QB253" s="1" t="e">
        <v>#N/A</v>
      </c>
      <c r="QC253" s="1" t="e">
        <v>#N/A</v>
      </c>
      <c r="QD253" s="1" t="e">
        <v>#N/A</v>
      </c>
      <c r="QE253" s="1" t="e">
        <v>#N/A</v>
      </c>
      <c r="QF253" s="1" t="e">
        <v>#N/A</v>
      </c>
      <c r="QG253" s="1" t="e">
        <v>#N/A</v>
      </c>
      <c r="QH253" s="1" t="e">
        <v>#N/A</v>
      </c>
      <c r="QI253" s="1" t="e">
        <v>#N/A</v>
      </c>
      <c r="QJ253" s="1" t="e">
        <v>#N/A</v>
      </c>
      <c r="QK253" s="1" t="e">
        <v>#N/A</v>
      </c>
      <c r="QL253" s="1" t="e">
        <v>#N/A</v>
      </c>
      <c r="QM253" s="1" t="e">
        <v>#N/A</v>
      </c>
      <c r="QN253" s="1" t="e">
        <v>#N/A</v>
      </c>
      <c r="QO253" s="1" t="e">
        <v>#N/A</v>
      </c>
      <c r="QP253" s="1" t="e">
        <v>#N/A</v>
      </c>
    </row>
    <row r="254" spans="1:458" ht="26.25" x14ac:dyDescent="0.4">
      <c r="A254" s="347"/>
      <c r="B254" s="348"/>
      <c r="C254" s="288"/>
      <c r="D254" s="349"/>
      <c r="E254" s="350"/>
      <c r="F254" s="351"/>
      <c r="G254" s="352"/>
      <c r="H254" s="348"/>
      <c r="I254" s="353"/>
      <c r="J254" s="353"/>
      <c r="PJ254" s="1" t="e">
        <v>#N/A</v>
      </c>
      <c r="PK254" s="1" t="e">
        <v>#N/A</v>
      </c>
      <c r="PL254" s="1" t="e">
        <v>#N/A</v>
      </c>
      <c r="PM254" s="1" t="e">
        <v>#N/A</v>
      </c>
      <c r="PN254" s="1" t="e">
        <v>#N/A</v>
      </c>
      <c r="PO254" s="1" t="e">
        <v>#N/A</v>
      </c>
      <c r="PP254" s="1" t="e">
        <v>#N/A</v>
      </c>
      <c r="PQ254" s="1" t="e">
        <v>#N/A</v>
      </c>
      <c r="PR254" s="1" t="e">
        <v>#N/A</v>
      </c>
      <c r="PS254" s="1" t="e">
        <v>#N/A</v>
      </c>
      <c r="PT254" s="1" t="e">
        <v>#N/A</v>
      </c>
      <c r="PU254" s="1" t="e">
        <v>#N/A</v>
      </c>
      <c r="PV254" s="1" t="e">
        <v>#N/A</v>
      </c>
      <c r="PW254" s="1" t="e">
        <v>#N/A</v>
      </c>
      <c r="PX254" s="1" t="e">
        <v>#N/A</v>
      </c>
      <c r="PY254" s="1" t="e">
        <v>#N/A</v>
      </c>
      <c r="PZ254" s="1" t="e">
        <v>#N/A</v>
      </c>
      <c r="QA254" s="1" t="e">
        <v>#N/A</v>
      </c>
      <c r="QB254" s="1" t="e">
        <v>#N/A</v>
      </c>
      <c r="QC254" s="1" t="e">
        <v>#N/A</v>
      </c>
      <c r="QD254" s="1" t="e">
        <v>#N/A</v>
      </c>
      <c r="QE254" s="1" t="e">
        <v>#N/A</v>
      </c>
      <c r="QF254" s="1" t="e">
        <v>#N/A</v>
      </c>
      <c r="QG254" s="1" t="e">
        <v>#N/A</v>
      </c>
      <c r="QH254" s="1" t="e">
        <v>#N/A</v>
      </c>
      <c r="QI254" s="1" t="e">
        <v>#N/A</v>
      </c>
      <c r="QJ254" s="1" t="e">
        <v>#N/A</v>
      </c>
      <c r="QK254" s="1" t="e">
        <v>#N/A</v>
      </c>
      <c r="QL254" s="1" t="e">
        <v>#N/A</v>
      </c>
      <c r="QM254" s="1" t="e">
        <v>#N/A</v>
      </c>
      <c r="QN254" s="1" t="e">
        <v>#N/A</v>
      </c>
      <c r="QO254" s="1" t="e">
        <v>#N/A</v>
      </c>
      <c r="QP254" s="1" t="e">
        <v>#N/A</v>
      </c>
    </row>
    <row r="255" spans="1:458" ht="26.25" x14ac:dyDescent="0.4">
      <c r="A255" s="347"/>
      <c r="B255" s="348"/>
      <c r="C255" s="288"/>
      <c r="D255" s="349"/>
      <c r="E255" s="350"/>
      <c r="F255" s="351"/>
      <c r="G255" s="352"/>
      <c r="H255" s="348"/>
      <c r="I255" s="353"/>
      <c r="J255" s="353"/>
      <c r="PJ255" s="1" t="e">
        <v>#N/A</v>
      </c>
      <c r="PK255" s="1" t="e">
        <v>#N/A</v>
      </c>
      <c r="PL255" s="1" t="e">
        <v>#N/A</v>
      </c>
      <c r="PM255" s="1" t="e">
        <v>#N/A</v>
      </c>
      <c r="PN255" s="1" t="e">
        <v>#N/A</v>
      </c>
      <c r="PO255" s="1" t="e">
        <v>#N/A</v>
      </c>
      <c r="PP255" s="1" t="e">
        <v>#N/A</v>
      </c>
      <c r="PQ255" s="1" t="e">
        <v>#N/A</v>
      </c>
      <c r="PR255" s="1" t="e">
        <v>#N/A</v>
      </c>
      <c r="PS255" s="1" t="e">
        <v>#N/A</v>
      </c>
      <c r="PT255" s="1" t="e">
        <v>#N/A</v>
      </c>
      <c r="PU255" s="1" t="e">
        <v>#N/A</v>
      </c>
      <c r="PV255" s="1" t="e">
        <v>#N/A</v>
      </c>
      <c r="PW255" s="1" t="e">
        <v>#N/A</v>
      </c>
      <c r="PX255" s="1" t="e">
        <v>#N/A</v>
      </c>
      <c r="PY255" s="1" t="e">
        <v>#N/A</v>
      </c>
      <c r="PZ255" s="1" t="e">
        <v>#N/A</v>
      </c>
      <c r="QA255" s="1" t="e">
        <v>#N/A</v>
      </c>
      <c r="QB255" s="1" t="e">
        <v>#N/A</v>
      </c>
      <c r="QC255" s="1" t="e">
        <v>#N/A</v>
      </c>
      <c r="QD255" s="1" t="e">
        <v>#N/A</v>
      </c>
      <c r="QE255" s="1" t="e">
        <v>#N/A</v>
      </c>
      <c r="QF255" s="1" t="e">
        <v>#N/A</v>
      </c>
      <c r="QG255" s="1" t="e">
        <v>#N/A</v>
      </c>
      <c r="QH255" s="1" t="e">
        <v>#N/A</v>
      </c>
      <c r="QI255" s="1" t="e">
        <v>#N/A</v>
      </c>
      <c r="QJ255" s="1" t="e">
        <v>#N/A</v>
      </c>
      <c r="QK255" s="1" t="e">
        <v>#N/A</v>
      </c>
      <c r="QL255" s="1" t="e">
        <v>#N/A</v>
      </c>
      <c r="QM255" s="1" t="e">
        <v>#N/A</v>
      </c>
      <c r="QN255" s="1" t="e">
        <v>#N/A</v>
      </c>
      <c r="QO255" s="1" t="e">
        <v>#N/A</v>
      </c>
      <c r="QP255" s="1" t="e">
        <v>#N/A</v>
      </c>
    </row>
    <row r="256" spans="1:458" ht="26.25" x14ac:dyDescent="0.4">
      <c r="A256" s="347"/>
      <c r="B256" s="348"/>
      <c r="C256" s="288"/>
      <c r="D256" s="349"/>
      <c r="E256" s="350"/>
      <c r="F256" s="351"/>
      <c r="G256" s="352"/>
      <c r="H256" s="348"/>
      <c r="I256" s="353"/>
      <c r="J256" s="353"/>
      <c r="PJ256" s="1" t="e">
        <v>#N/A</v>
      </c>
      <c r="PK256" s="1" t="e">
        <v>#N/A</v>
      </c>
      <c r="PL256" s="1" t="e">
        <v>#N/A</v>
      </c>
      <c r="PM256" s="1" t="e">
        <v>#N/A</v>
      </c>
      <c r="PN256" s="1" t="e">
        <v>#N/A</v>
      </c>
      <c r="PO256" s="1" t="e">
        <v>#N/A</v>
      </c>
      <c r="PP256" s="1" t="e">
        <v>#N/A</v>
      </c>
      <c r="PQ256" s="1" t="e">
        <v>#N/A</v>
      </c>
      <c r="PR256" s="1" t="e">
        <v>#N/A</v>
      </c>
      <c r="PS256" s="1" t="e">
        <v>#N/A</v>
      </c>
      <c r="PT256" s="1" t="e">
        <v>#N/A</v>
      </c>
      <c r="PU256" s="1" t="e">
        <v>#N/A</v>
      </c>
      <c r="PV256" s="1" t="e">
        <v>#N/A</v>
      </c>
      <c r="PW256" s="1" t="e">
        <v>#N/A</v>
      </c>
      <c r="PX256" s="1" t="e">
        <v>#N/A</v>
      </c>
      <c r="PY256" s="1" t="e">
        <v>#N/A</v>
      </c>
      <c r="PZ256" s="1" t="e">
        <v>#N/A</v>
      </c>
      <c r="QA256" s="1" t="e">
        <v>#N/A</v>
      </c>
      <c r="QB256" s="1" t="e">
        <v>#N/A</v>
      </c>
      <c r="QC256" s="1" t="e">
        <v>#N/A</v>
      </c>
      <c r="QD256" s="1" t="e">
        <v>#N/A</v>
      </c>
      <c r="QE256" s="1" t="e">
        <v>#N/A</v>
      </c>
      <c r="QF256" s="1" t="e">
        <v>#N/A</v>
      </c>
      <c r="QG256" s="1" t="e">
        <v>#N/A</v>
      </c>
      <c r="QH256" s="1" t="e">
        <v>#N/A</v>
      </c>
      <c r="QI256" s="1" t="e">
        <v>#N/A</v>
      </c>
      <c r="QJ256" s="1" t="e">
        <v>#N/A</v>
      </c>
      <c r="QK256" s="1" t="e">
        <v>#N/A</v>
      </c>
      <c r="QL256" s="1" t="e">
        <v>#N/A</v>
      </c>
      <c r="QM256" s="1" t="e">
        <v>#N/A</v>
      </c>
      <c r="QN256" s="1" t="e">
        <v>#N/A</v>
      </c>
      <c r="QO256" s="1" t="e">
        <v>#N/A</v>
      </c>
      <c r="QP256" s="1" t="e">
        <v>#N/A</v>
      </c>
    </row>
    <row r="257" spans="1:458" ht="26.25" x14ac:dyDescent="0.4">
      <c r="A257" s="347"/>
      <c r="B257" s="348"/>
      <c r="C257" s="288"/>
      <c r="D257" s="349"/>
      <c r="E257" s="350"/>
      <c r="F257" s="351"/>
      <c r="G257" s="352"/>
      <c r="H257" s="348"/>
      <c r="I257" s="353"/>
      <c r="J257" s="353"/>
      <c r="PJ257" s="1" t="e">
        <v>#N/A</v>
      </c>
      <c r="PK257" s="1" t="e">
        <v>#N/A</v>
      </c>
      <c r="PL257" s="1" t="e">
        <v>#N/A</v>
      </c>
      <c r="PM257" s="1" t="e">
        <v>#N/A</v>
      </c>
      <c r="PN257" s="1" t="e">
        <v>#N/A</v>
      </c>
      <c r="PO257" s="1" t="e">
        <v>#N/A</v>
      </c>
      <c r="PP257" s="1" t="e">
        <v>#N/A</v>
      </c>
      <c r="PQ257" s="1" t="e">
        <v>#N/A</v>
      </c>
      <c r="PR257" s="1" t="e">
        <v>#N/A</v>
      </c>
      <c r="PS257" s="1" t="e">
        <v>#N/A</v>
      </c>
      <c r="PT257" s="1" t="e">
        <v>#N/A</v>
      </c>
      <c r="PU257" s="1" t="e">
        <v>#N/A</v>
      </c>
      <c r="PV257" s="1" t="e">
        <v>#N/A</v>
      </c>
      <c r="PW257" s="1" t="e">
        <v>#N/A</v>
      </c>
      <c r="PX257" s="1" t="e">
        <v>#N/A</v>
      </c>
      <c r="PY257" s="1" t="e">
        <v>#N/A</v>
      </c>
      <c r="PZ257" s="1" t="e">
        <v>#N/A</v>
      </c>
      <c r="QA257" s="1" t="e">
        <v>#N/A</v>
      </c>
      <c r="QB257" s="1" t="e">
        <v>#N/A</v>
      </c>
      <c r="QC257" s="1" t="e">
        <v>#N/A</v>
      </c>
      <c r="QD257" s="1" t="e">
        <v>#N/A</v>
      </c>
      <c r="QE257" s="1" t="e">
        <v>#N/A</v>
      </c>
      <c r="QF257" s="1" t="e">
        <v>#N/A</v>
      </c>
      <c r="QG257" s="1" t="e">
        <v>#N/A</v>
      </c>
      <c r="QH257" s="1" t="e">
        <v>#N/A</v>
      </c>
      <c r="QI257" s="1" t="e">
        <v>#N/A</v>
      </c>
      <c r="QJ257" s="1" t="e">
        <v>#N/A</v>
      </c>
      <c r="QK257" s="1" t="e">
        <v>#N/A</v>
      </c>
      <c r="QL257" s="1" t="e">
        <v>#N/A</v>
      </c>
      <c r="QM257" s="1" t="e">
        <v>#N/A</v>
      </c>
      <c r="QN257" s="1" t="e">
        <v>#N/A</v>
      </c>
      <c r="QO257" s="1" t="e">
        <v>#N/A</v>
      </c>
      <c r="QP257" s="1" t="e">
        <v>#N/A</v>
      </c>
    </row>
    <row r="258" spans="1:458" ht="26.25" x14ac:dyDescent="0.4">
      <c r="A258" s="347"/>
      <c r="B258" s="348"/>
      <c r="C258" s="288"/>
      <c r="D258" s="349"/>
      <c r="E258" s="350"/>
      <c r="F258" s="351"/>
      <c r="G258" s="352"/>
      <c r="H258" s="348"/>
      <c r="I258" s="353"/>
      <c r="J258" s="353"/>
      <c r="PJ258" s="1" t="e">
        <v>#N/A</v>
      </c>
      <c r="PK258" s="1" t="e">
        <v>#N/A</v>
      </c>
      <c r="PL258" s="1" t="e">
        <v>#N/A</v>
      </c>
      <c r="PM258" s="1" t="e">
        <v>#N/A</v>
      </c>
      <c r="PN258" s="1" t="e">
        <v>#N/A</v>
      </c>
      <c r="PO258" s="1" t="e">
        <v>#N/A</v>
      </c>
      <c r="PP258" s="1" t="e">
        <v>#N/A</v>
      </c>
      <c r="PQ258" s="1" t="e">
        <v>#N/A</v>
      </c>
      <c r="PR258" s="1" t="e">
        <v>#N/A</v>
      </c>
      <c r="PS258" s="1" t="e">
        <v>#N/A</v>
      </c>
      <c r="PT258" s="1" t="e">
        <v>#N/A</v>
      </c>
      <c r="PU258" s="1" t="e">
        <v>#N/A</v>
      </c>
      <c r="PV258" s="1" t="e">
        <v>#N/A</v>
      </c>
      <c r="PW258" s="1" t="e">
        <v>#N/A</v>
      </c>
      <c r="PX258" s="1" t="e">
        <v>#N/A</v>
      </c>
      <c r="PY258" s="1" t="e">
        <v>#N/A</v>
      </c>
      <c r="PZ258" s="1" t="e">
        <v>#N/A</v>
      </c>
      <c r="QA258" s="1" t="e">
        <v>#N/A</v>
      </c>
      <c r="QB258" s="1" t="e">
        <v>#N/A</v>
      </c>
      <c r="QC258" s="1" t="e">
        <v>#N/A</v>
      </c>
      <c r="QD258" s="1" t="e">
        <v>#N/A</v>
      </c>
      <c r="QE258" s="1" t="e">
        <v>#N/A</v>
      </c>
      <c r="QF258" s="1" t="e">
        <v>#N/A</v>
      </c>
      <c r="QG258" s="1" t="e">
        <v>#N/A</v>
      </c>
      <c r="QH258" s="1" t="e">
        <v>#N/A</v>
      </c>
      <c r="QI258" s="1" t="e">
        <v>#N/A</v>
      </c>
      <c r="QJ258" s="1" t="e">
        <v>#N/A</v>
      </c>
      <c r="QK258" s="1" t="e">
        <v>#N/A</v>
      </c>
      <c r="QL258" s="1" t="e">
        <v>#N/A</v>
      </c>
      <c r="QM258" s="1" t="e">
        <v>#N/A</v>
      </c>
      <c r="QN258" s="1" t="e">
        <v>#N/A</v>
      </c>
      <c r="QO258" s="1" t="e">
        <v>#N/A</v>
      </c>
      <c r="QP258" s="1" t="e">
        <v>#N/A</v>
      </c>
    </row>
    <row r="259" spans="1:458" ht="26.25" x14ac:dyDescent="0.4">
      <c r="A259" s="347"/>
      <c r="B259" s="348"/>
      <c r="C259" s="288"/>
      <c r="D259" s="349"/>
      <c r="E259" s="350"/>
      <c r="F259" s="351"/>
      <c r="G259" s="352"/>
      <c r="H259" s="348"/>
      <c r="I259" s="353"/>
      <c r="J259" s="353"/>
      <c r="PJ259" s="1" t="e">
        <v>#N/A</v>
      </c>
      <c r="PK259" s="1" t="e">
        <v>#N/A</v>
      </c>
      <c r="PL259" s="1" t="e">
        <v>#N/A</v>
      </c>
      <c r="PM259" s="1" t="e">
        <v>#N/A</v>
      </c>
      <c r="PN259" s="1" t="e">
        <v>#N/A</v>
      </c>
      <c r="PO259" s="1" t="e">
        <v>#N/A</v>
      </c>
      <c r="PP259" s="1" t="e">
        <v>#N/A</v>
      </c>
      <c r="PQ259" s="1" t="e">
        <v>#N/A</v>
      </c>
      <c r="PR259" s="1" t="e">
        <v>#N/A</v>
      </c>
      <c r="PS259" s="1" t="e">
        <v>#N/A</v>
      </c>
      <c r="PT259" s="1" t="e">
        <v>#N/A</v>
      </c>
      <c r="PU259" s="1" t="e">
        <v>#N/A</v>
      </c>
      <c r="PV259" s="1" t="e">
        <v>#N/A</v>
      </c>
      <c r="PW259" s="1" t="e">
        <v>#N/A</v>
      </c>
      <c r="PX259" s="1" t="e">
        <v>#N/A</v>
      </c>
      <c r="PY259" s="1" t="e">
        <v>#N/A</v>
      </c>
      <c r="PZ259" s="1" t="e">
        <v>#N/A</v>
      </c>
      <c r="QA259" s="1" t="e">
        <v>#N/A</v>
      </c>
      <c r="QB259" s="1" t="e">
        <v>#N/A</v>
      </c>
      <c r="QC259" s="1" t="e">
        <v>#N/A</v>
      </c>
      <c r="QD259" s="1" t="e">
        <v>#N/A</v>
      </c>
      <c r="QE259" s="1" t="e">
        <v>#N/A</v>
      </c>
      <c r="QF259" s="1" t="e">
        <v>#N/A</v>
      </c>
      <c r="QG259" s="1" t="e">
        <v>#N/A</v>
      </c>
      <c r="QH259" s="1" t="e">
        <v>#N/A</v>
      </c>
      <c r="QI259" s="1" t="e">
        <v>#N/A</v>
      </c>
      <c r="QJ259" s="1" t="e">
        <v>#N/A</v>
      </c>
      <c r="QK259" s="1" t="e">
        <v>#N/A</v>
      </c>
      <c r="QL259" s="1" t="e">
        <v>#N/A</v>
      </c>
      <c r="QM259" s="1" t="e">
        <v>#N/A</v>
      </c>
      <c r="QN259" s="1" t="e">
        <v>#N/A</v>
      </c>
      <c r="QO259" s="1" t="e">
        <v>#N/A</v>
      </c>
      <c r="QP259" s="1" t="e">
        <v>#N/A</v>
      </c>
    </row>
    <row r="260" spans="1:458" ht="26.25" x14ac:dyDescent="0.4">
      <c r="A260" s="347"/>
      <c r="B260" s="348"/>
      <c r="C260" s="288"/>
      <c r="D260" s="349"/>
      <c r="E260" s="350"/>
      <c r="F260" s="351"/>
      <c r="G260" s="352"/>
      <c r="H260" s="348"/>
      <c r="I260" s="353"/>
      <c r="J260" s="353"/>
      <c r="PJ260" s="1" t="e">
        <v>#N/A</v>
      </c>
      <c r="PK260" s="1" t="e">
        <v>#N/A</v>
      </c>
      <c r="PL260" s="1" t="e">
        <v>#N/A</v>
      </c>
      <c r="PM260" s="1" t="e">
        <v>#N/A</v>
      </c>
      <c r="PN260" s="1" t="e">
        <v>#N/A</v>
      </c>
      <c r="PO260" s="1" t="e">
        <v>#N/A</v>
      </c>
      <c r="PP260" s="1" t="e">
        <v>#N/A</v>
      </c>
      <c r="PQ260" s="1" t="e">
        <v>#N/A</v>
      </c>
      <c r="PR260" s="1" t="e">
        <v>#N/A</v>
      </c>
      <c r="PS260" s="1" t="e">
        <v>#N/A</v>
      </c>
      <c r="PT260" s="1" t="e">
        <v>#N/A</v>
      </c>
      <c r="PU260" s="1" t="e">
        <v>#N/A</v>
      </c>
      <c r="PV260" s="1" t="e">
        <v>#N/A</v>
      </c>
      <c r="PW260" s="1" t="e">
        <v>#N/A</v>
      </c>
      <c r="PX260" s="1" t="e">
        <v>#N/A</v>
      </c>
      <c r="PY260" s="1" t="e">
        <v>#N/A</v>
      </c>
      <c r="PZ260" s="1" t="e">
        <v>#N/A</v>
      </c>
      <c r="QA260" s="1" t="e">
        <v>#N/A</v>
      </c>
      <c r="QB260" s="1" t="e">
        <v>#N/A</v>
      </c>
      <c r="QC260" s="1" t="e">
        <v>#N/A</v>
      </c>
      <c r="QD260" s="1" t="e">
        <v>#N/A</v>
      </c>
      <c r="QE260" s="1" t="e">
        <v>#N/A</v>
      </c>
      <c r="QF260" s="1" t="e">
        <v>#N/A</v>
      </c>
      <c r="QG260" s="1" t="e">
        <v>#N/A</v>
      </c>
      <c r="QH260" s="1" t="e">
        <v>#N/A</v>
      </c>
      <c r="QI260" s="1" t="e">
        <v>#N/A</v>
      </c>
      <c r="QJ260" s="1" t="e">
        <v>#N/A</v>
      </c>
      <c r="QK260" s="1" t="e">
        <v>#N/A</v>
      </c>
      <c r="QL260" s="1" t="e">
        <v>#N/A</v>
      </c>
      <c r="QM260" s="1" t="e">
        <v>#N/A</v>
      </c>
      <c r="QN260" s="1" t="e">
        <v>#N/A</v>
      </c>
      <c r="QO260" s="1" t="e">
        <v>#N/A</v>
      </c>
      <c r="QP260" s="1" t="e">
        <v>#N/A</v>
      </c>
    </row>
    <row r="261" spans="1:458" ht="26.25" x14ac:dyDescent="0.4">
      <c r="A261" s="347"/>
      <c r="B261" s="348"/>
      <c r="C261" s="288"/>
      <c r="D261" s="349"/>
      <c r="E261" s="350"/>
      <c r="F261" s="351"/>
      <c r="G261" s="352"/>
      <c r="H261" s="348"/>
      <c r="I261" s="353"/>
      <c r="J261" s="353"/>
      <c r="PJ261" s="1" t="e">
        <v>#N/A</v>
      </c>
      <c r="PK261" s="1" t="e">
        <v>#N/A</v>
      </c>
      <c r="PL261" s="1" t="e">
        <v>#N/A</v>
      </c>
      <c r="PM261" s="1" t="e">
        <v>#N/A</v>
      </c>
      <c r="PN261" s="1" t="e">
        <v>#N/A</v>
      </c>
      <c r="PO261" s="1" t="e">
        <v>#N/A</v>
      </c>
      <c r="PP261" s="1" t="e">
        <v>#N/A</v>
      </c>
      <c r="PQ261" s="1" t="e">
        <v>#N/A</v>
      </c>
      <c r="PR261" s="1" t="e">
        <v>#N/A</v>
      </c>
      <c r="PS261" s="1" t="e">
        <v>#N/A</v>
      </c>
      <c r="PT261" s="1" t="e">
        <v>#N/A</v>
      </c>
      <c r="PU261" s="1" t="e">
        <v>#N/A</v>
      </c>
      <c r="PV261" s="1" t="e">
        <v>#N/A</v>
      </c>
      <c r="PW261" s="1" t="e">
        <v>#N/A</v>
      </c>
      <c r="PX261" s="1" t="e">
        <v>#N/A</v>
      </c>
      <c r="PY261" s="1" t="e">
        <v>#N/A</v>
      </c>
      <c r="PZ261" s="1" t="e">
        <v>#N/A</v>
      </c>
      <c r="QA261" s="1" t="e">
        <v>#N/A</v>
      </c>
      <c r="QB261" s="1" t="e">
        <v>#N/A</v>
      </c>
      <c r="QC261" s="1" t="e">
        <v>#N/A</v>
      </c>
      <c r="QD261" s="1" t="e">
        <v>#N/A</v>
      </c>
      <c r="QE261" s="1" t="e">
        <v>#N/A</v>
      </c>
      <c r="QF261" s="1" t="e">
        <v>#N/A</v>
      </c>
      <c r="QG261" s="1" t="e">
        <v>#N/A</v>
      </c>
      <c r="QH261" s="1" t="e">
        <v>#N/A</v>
      </c>
      <c r="QI261" s="1" t="e">
        <v>#N/A</v>
      </c>
      <c r="QJ261" s="1" t="e">
        <v>#N/A</v>
      </c>
      <c r="QK261" s="1" t="e">
        <v>#N/A</v>
      </c>
      <c r="QL261" s="1" t="e">
        <v>#N/A</v>
      </c>
      <c r="QM261" s="1" t="e">
        <v>#N/A</v>
      </c>
      <c r="QN261" s="1" t="e">
        <v>#N/A</v>
      </c>
      <c r="QO261" s="1" t="e">
        <v>#N/A</v>
      </c>
      <c r="QP261" s="1" t="e">
        <v>#N/A</v>
      </c>
    </row>
    <row r="262" spans="1:458" ht="26.25" x14ac:dyDescent="0.4">
      <c r="A262" s="347"/>
      <c r="B262" s="348"/>
      <c r="C262" s="288"/>
      <c r="D262" s="349"/>
      <c r="E262" s="350"/>
      <c r="F262" s="351"/>
      <c r="G262" s="352"/>
      <c r="H262" s="348"/>
      <c r="I262" s="353"/>
      <c r="J262" s="353"/>
      <c r="PJ262" s="1" t="e">
        <v>#N/A</v>
      </c>
      <c r="PK262" s="1" t="e">
        <v>#N/A</v>
      </c>
      <c r="PL262" s="1" t="e">
        <v>#N/A</v>
      </c>
      <c r="PM262" s="1" t="e">
        <v>#N/A</v>
      </c>
      <c r="PN262" s="1" t="e">
        <v>#N/A</v>
      </c>
      <c r="PO262" s="1" t="e">
        <v>#N/A</v>
      </c>
      <c r="PP262" s="1" t="e">
        <v>#N/A</v>
      </c>
      <c r="PQ262" s="1" t="e">
        <v>#N/A</v>
      </c>
      <c r="PR262" s="1" t="e">
        <v>#N/A</v>
      </c>
      <c r="PS262" s="1" t="e">
        <v>#N/A</v>
      </c>
      <c r="PT262" s="1" t="e">
        <v>#N/A</v>
      </c>
      <c r="PU262" s="1" t="e">
        <v>#N/A</v>
      </c>
      <c r="PV262" s="1" t="e">
        <v>#N/A</v>
      </c>
      <c r="PW262" s="1" t="e">
        <v>#N/A</v>
      </c>
      <c r="PX262" s="1" t="e">
        <v>#N/A</v>
      </c>
      <c r="PY262" s="1" t="e">
        <v>#N/A</v>
      </c>
      <c r="PZ262" s="1" t="e">
        <v>#N/A</v>
      </c>
      <c r="QA262" s="1" t="e">
        <v>#N/A</v>
      </c>
      <c r="QB262" s="1" t="e">
        <v>#N/A</v>
      </c>
      <c r="QC262" s="1" t="e">
        <v>#N/A</v>
      </c>
      <c r="QD262" s="1" t="e">
        <v>#N/A</v>
      </c>
      <c r="QE262" s="1" t="e">
        <v>#N/A</v>
      </c>
      <c r="QF262" s="1" t="e">
        <v>#N/A</v>
      </c>
      <c r="QG262" s="1" t="e">
        <v>#N/A</v>
      </c>
      <c r="QH262" s="1" t="e">
        <v>#N/A</v>
      </c>
      <c r="QI262" s="1" t="e">
        <v>#N/A</v>
      </c>
      <c r="QJ262" s="1" t="e">
        <v>#N/A</v>
      </c>
      <c r="QK262" s="1" t="e">
        <v>#N/A</v>
      </c>
      <c r="QL262" s="1" t="e">
        <v>#N/A</v>
      </c>
      <c r="QM262" s="1" t="e">
        <v>#N/A</v>
      </c>
      <c r="QN262" s="1" t="e">
        <v>#N/A</v>
      </c>
      <c r="QO262" s="1" t="e">
        <v>#N/A</v>
      </c>
      <c r="QP262" s="1" t="e">
        <v>#N/A</v>
      </c>
    </row>
    <row r="263" spans="1:458" ht="26.25" x14ac:dyDescent="0.4">
      <c r="A263" s="347"/>
      <c r="B263" s="348"/>
      <c r="C263" s="288"/>
      <c r="D263" s="349"/>
      <c r="E263" s="350"/>
      <c r="F263" s="351"/>
      <c r="G263" s="352"/>
      <c r="H263" s="348"/>
      <c r="I263" s="353"/>
      <c r="J263" s="353"/>
      <c r="PJ263" s="1" t="e">
        <v>#N/A</v>
      </c>
      <c r="PK263" s="1" t="e">
        <v>#N/A</v>
      </c>
      <c r="PL263" s="1" t="e">
        <v>#N/A</v>
      </c>
      <c r="PM263" s="1" t="e">
        <v>#N/A</v>
      </c>
      <c r="PN263" s="1" t="e">
        <v>#N/A</v>
      </c>
      <c r="PO263" s="1" t="e">
        <v>#N/A</v>
      </c>
      <c r="PP263" s="1" t="e">
        <v>#N/A</v>
      </c>
      <c r="PQ263" s="1" t="e">
        <v>#N/A</v>
      </c>
      <c r="PR263" s="1" t="e">
        <v>#N/A</v>
      </c>
      <c r="PS263" s="1" t="e">
        <v>#N/A</v>
      </c>
      <c r="PT263" s="1" t="e">
        <v>#N/A</v>
      </c>
      <c r="PU263" s="1" t="e">
        <v>#N/A</v>
      </c>
      <c r="PV263" s="1" t="e">
        <v>#N/A</v>
      </c>
      <c r="PW263" s="1" t="e">
        <v>#N/A</v>
      </c>
      <c r="PX263" s="1" t="e">
        <v>#N/A</v>
      </c>
      <c r="PY263" s="1" t="e">
        <v>#N/A</v>
      </c>
      <c r="PZ263" s="1" t="e">
        <v>#N/A</v>
      </c>
      <c r="QA263" s="1" t="e">
        <v>#N/A</v>
      </c>
      <c r="QB263" s="1" t="e">
        <v>#N/A</v>
      </c>
      <c r="QC263" s="1" t="e">
        <v>#N/A</v>
      </c>
      <c r="QD263" s="1" t="e">
        <v>#N/A</v>
      </c>
      <c r="QE263" s="1" t="e">
        <v>#N/A</v>
      </c>
      <c r="QF263" s="1" t="e">
        <v>#N/A</v>
      </c>
      <c r="QG263" s="1" t="e">
        <v>#N/A</v>
      </c>
      <c r="QH263" s="1" t="e">
        <v>#N/A</v>
      </c>
      <c r="QI263" s="1" t="e">
        <v>#N/A</v>
      </c>
      <c r="QJ263" s="1" t="e">
        <v>#N/A</v>
      </c>
      <c r="QK263" s="1" t="e">
        <v>#N/A</v>
      </c>
      <c r="QL263" s="1" t="e">
        <v>#N/A</v>
      </c>
      <c r="QM263" s="1" t="e">
        <v>#N/A</v>
      </c>
      <c r="QN263" s="1" t="e">
        <v>#N/A</v>
      </c>
      <c r="QO263" s="1" t="e">
        <v>#N/A</v>
      </c>
      <c r="QP263" s="1" t="e">
        <v>#N/A</v>
      </c>
    </row>
    <row r="264" spans="1:458" ht="26.25" x14ac:dyDescent="0.4">
      <c r="A264" s="347"/>
      <c r="B264" s="348"/>
      <c r="C264" s="288"/>
      <c r="D264" s="349"/>
      <c r="E264" s="350"/>
      <c r="F264" s="351"/>
      <c r="G264" s="352"/>
      <c r="H264" s="348"/>
      <c r="I264" s="353"/>
      <c r="J264" s="353"/>
      <c r="PJ264" s="1" t="e">
        <v>#N/A</v>
      </c>
      <c r="PK264" s="1" t="e">
        <v>#N/A</v>
      </c>
      <c r="PL264" s="1" t="e">
        <v>#N/A</v>
      </c>
      <c r="PM264" s="1" t="e">
        <v>#N/A</v>
      </c>
      <c r="PN264" s="1" t="e">
        <v>#N/A</v>
      </c>
      <c r="PO264" s="1" t="e">
        <v>#N/A</v>
      </c>
      <c r="PP264" s="1" t="e">
        <v>#N/A</v>
      </c>
      <c r="PQ264" s="1" t="e">
        <v>#N/A</v>
      </c>
      <c r="PR264" s="1" t="e">
        <v>#N/A</v>
      </c>
      <c r="PS264" s="1" t="e">
        <v>#N/A</v>
      </c>
      <c r="PT264" s="1" t="e">
        <v>#N/A</v>
      </c>
      <c r="PU264" s="1" t="e">
        <v>#N/A</v>
      </c>
      <c r="PV264" s="1" t="e">
        <v>#N/A</v>
      </c>
      <c r="PW264" s="1" t="e">
        <v>#N/A</v>
      </c>
      <c r="PX264" s="1" t="e">
        <v>#N/A</v>
      </c>
      <c r="PY264" s="1" t="e">
        <v>#N/A</v>
      </c>
      <c r="PZ264" s="1" t="e">
        <v>#N/A</v>
      </c>
      <c r="QA264" s="1" t="e">
        <v>#N/A</v>
      </c>
      <c r="QB264" s="1" t="e">
        <v>#N/A</v>
      </c>
      <c r="QC264" s="1" t="e">
        <v>#N/A</v>
      </c>
      <c r="QD264" s="1" t="e">
        <v>#N/A</v>
      </c>
      <c r="QE264" s="1" t="e">
        <v>#N/A</v>
      </c>
      <c r="QF264" s="1" t="e">
        <v>#N/A</v>
      </c>
      <c r="QG264" s="1" t="e">
        <v>#N/A</v>
      </c>
      <c r="QH264" s="1" t="e">
        <v>#N/A</v>
      </c>
      <c r="QI264" s="1" t="e">
        <v>#N/A</v>
      </c>
      <c r="QJ264" s="1" t="e">
        <v>#N/A</v>
      </c>
      <c r="QK264" s="1" t="e">
        <v>#N/A</v>
      </c>
      <c r="QL264" s="1" t="e">
        <v>#N/A</v>
      </c>
      <c r="QM264" s="1" t="e">
        <v>#N/A</v>
      </c>
      <c r="QN264" s="1" t="e">
        <v>#N/A</v>
      </c>
      <c r="QO264" s="1" t="e">
        <v>#N/A</v>
      </c>
      <c r="QP264" s="1" t="e">
        <v>#N/A</v>
      </c>
    </row>
    <row r="265" spans="1:458" ht="26.25" x14ac:dyDescent="0.4">
      <c r="A265" s="347"/>
      <c r="B265" s="348"/>
      <c r="C265" s="288"/>
      <c r="D265" s="349"/>
      <c r="E265" s="350"/>
      <c r="F265" s="351"/>
      <c r="G265" s="352"/>
      <c r="H265" s="348"/>
      <c r="I265" s="353"/>
      <c r="J265" s="353"/>
      <c r="PJ265" s="1" t="e">
        <v>#N/A</v>
      </c>
      <c r="PK265" s="1" t="e">
        <v>#N/A</v>
      </c>
      <c r="PL265" s="1" t="e">
        <v>#N/A</v>
      </c>
      <c r="PM265" s="1" t="e">
        <v>#N/A</v>
      </c>
      <c r="PN265" s="1" t="e">
        <v>#N/A</v>
      </c>
      <c r="PO265" s="1" t="e">
        <v>#N/A</v>
      </c>
      <c r="PP265" s="1" t="e">
        <v>#N/A</v>
      </c>
      <c r="PQ265" s="1" t="e">
        <v>#N/A</v>
      </c>
      <c r="PR265" s="1" t="e">
        <v>#N/A</v>
      </c>
      <c r="PS265" s="1" t="e">
        <v>#N/A</v>
      </c>
      <c r="PT265" s="1" t="e">
        <v>#N/A</v>
      </c>
      <c r="PU265" s="1" t="e">
        <v>#N/A</v>
      </c>
      <c r="PV265" s="1" t="e">
        <v>#N/A</v>
      </c>
      <c r="PW265" s="1" t="e">
        <v>#N/A</v>
      </c>
      <c r="PX265" s="1" t="e">
        <v>#N/A</v>
      </c>
      <c r="PY265" s="1" t="e">
        <v>#N/A</v>
      </c>
      <c r="PZ265" s="1" t="e">
        <v>#N/A</v>
      </c>
      <c r="QA265" s="1" t="e">
        <v>#N/A</v>
      </c>
      <c r="QB265" s="1" t="e">
        <v>#N/A</v>
      </c>
      <c r="QC265" s="1" t="e">
        <v>#N/A</v>
      </c>
      <c r="QD265" s="1" t="e">
        <v>#N/A</v>
      </c>
      <c r="QE265" s="1" t="e">
        <v>#N/A</v>
      </c>
      <c r="QF265" s="1" t="e">
        <v>#N/A</v>
      </c>
      <c r="QG265" s="1" t="e">
        <v>#N/A</v>
      </c>
      <c r="QH265" s="1" t="e">
        <v>#N/A</v>
      </c>
      <c r="QI265" s="1" t="e">
        <v>#N/A</v>
      </c>
      <c r="QJ265" s="1" t="e">
        <v>#N/A</v>
      </c>
      <c r="QK265" s="1" t="e">
        <v>#N/A</v>
      </c>
      <c r="QL265" s="1" t="e">
        <v>#N/A</v>
      </c>
      <c r="QM265" s="1" t="e">
        <v>#N/A</v>
      </c>
      <c r="QN265" s="1" t="e">
        <v>#N/A</v>
      </c>
      <c r="QO265" s="1" t="e">
        <v>#N/A</v>
      </c>
      <c r="QP265" s="1" t="e">
        <v>#N/A</v>
      </c>
    </row>
    <row r="266" spans="1:458" ht="26.25" x14ac:dyDescent="0.4">
      <c r="A266" s="347"/>
      <c r="B266" s="348"/>
      <c r="C266" s="288"/>
      <c r="D266" s="349"/>
      <c r="E266" s="350"/>
      <c r="F266" s="351"/>
      <c r="G266" s="352"/>
      <c r="H266" s="348"/>
      <c r="I266" s="353"/>
      <c r="J266" s="353"/>
      <c r="PJ266" s="1" t="e">
        <v>#N/A</v>
      </c>
      <c r="PK266" s="1" t="e">
        <v>#N/A</v>
      </c>
      <c r="PL266" s="1" t="e">
        <v>#N/A</v>
      </c>
      <c r="PM266" s="1" t="e">
        <v>#N/A</v>
      </c>
      <c r="PN266" s="1" t="e">
        <v>#N/A</v>
      </c>
      <c r="PO266" s="1" t="e">
        <v>#N/A</v>
      </c>
      <c r="PP266" s="1" t="e">
        <v>#N/A</v>
      </c>
      <c r="PQ266" s="1" t="e">
        <v>#N/A</v>
      </c>
      <c r="PR266" s="1" t="e">
        <v>#N/A</v>
      </c>
      <c r="PS266" s="1" t="e">
        <v>#N/A</v>
      </c>
      <c r="PT266" s="1" t="e">
        <v>#N/A</v>
      </c>
      <c r="PU266" s="1" t="e">
        <v>#N/A</v>
      </c>
      <c r="PV266" s="1" t="e">
        <v>#N/A</v>
      </c>
      <c r="PW266" s="1" t="e">
        <v>#N/A</v>
      </c>
      <c r="PX266" s="1" t="e">
        <v>#N/A</v>
      </c>
      <c r="PY266" s="1" t="e">
        <v>#N/A</v>
      </c>
      <c r="PZ266" s="1" t="e">
        <v>#N/A</v>
      </c>
      <c r="QA266" s="1" t="e">
        <v>#N/A</v>
      </c>
      <c r="QB266" s="1" t="e">
        <v>#N/A</v>
      </c>
      <c r="QC266" s="1" t="e">
        <v>#N/A</v>
      </c>
      <c r="QD266" s="1" t="e">
        <v>#N/A</v>
      </c>
      <c r="QE266" s="1" t="e">
        <v>#N/A</v>
      </c>
      <c r="QF266" s="1" t="e">
        <v>#N/A</v>
      </c>
      <c r="QG266" s="1" t="e">
        <v>#N/A</v>
      </c>
      <c r="QH266" s="1" t="e">
        <v>#N/A</v>
      </c>
      <c r="QI266" s="1" t="e">
        <v>#N/A</v>
      </c>
      <c r="QJ266" s="1" t="e">
        <v>#N/A</v>
      </c>
      <c r="QK266" s="1" t="e">
        <v>#N/A</v>
      </c>
      <c r="QL266" s="1" t="e">
        <v>#N/A</v>
      </c>
      <c r="QM266" s="1" t="e">
        <v>#N/A</v>
      </c>
      <c r="QN266" s="1" t="e">
        <v>#N/A</v>
      </c>
      <c r="QO266" s="1" t="e">
        <v>#N/A</v>
      </c>
      <c r="QP266" s="1" t="e">
        <v>#N/A</v>
      </c>
    </row>
    <row r="267" spans="1:458" ht="26.25" x14ac:dyDescent="0.4">
      <c r="A267" s="347"/>
      <c r="B267" s="348"/>
      <c r="C267" s="288"/>
      <c r="D267" s="349"/>
      <c r="E267" s="350"/>
      <c r="F267" s="351"/>
      <c r="G267" s="352"/>
      <c r="H267" s="348"/>
      <c r="I267" s="353"/>
      <c r="J267" s="353"/>
      <c r="PJ267" s="1" t="e">
        <v>#N/A</v>
      </c>
      <c r="PK267" s="1" t="e">
        <v>#N/A</v>
      </c>
      <c r="PL267" s="1" t="e">
        <v>#N/A</v>
      </c>
      <c r="PM267" s="1" t="e">
        <v>#N/A</v>
      </c>
      <c r="PN267" s="1" t="e">
        <v>#N/A</v>
      </c>
      <c r="PO267" s="1" t="e">
        <v>#N/A</v>
      </c>
      <c r="PP267" s="1" t="e">
        <v>#N/A</v>
      </c>
      <c r="PQ267" s="1" t="e">
        <v>#N/A</v>
      </c>
      <c r="PR267" s="1" t="e">
        <v>#N/A</v>
      </c>
      <c r="PS267" s="1" t="e">
        <v>#N/A</v>
      </c>
      <c r="PT267" s="1" t="e">
        <v>#N/A</v>
      </c>
      <c r="PU267" s="1" t="e">
        <v>#N/A</v>
      </c>
      <c r="PV267" s="1" t="e">
        <v>#N/A</v>
      </c>
      <c r="PW267" s="1" t="e">
        <v>#N/A</v>
      </c>
      <c r="PX267" s="1" t="e">
        <v>#N/A</v>
      </c>
      <c r="PY267" s="1" t="e">
        <v>#N/A</v>
      </c>
      <c r="PZ267" s="1" t="e">
        <v>#N/A</v>
      </c>
      <c r="QA267" s="1" t="e">
        <v>#N/A</v>
      </c>
      <c r="QB267" s="1" t="e">
        <v>#N/A</v>
      </c>
      <c r="QC267" s="1" t="e">
        <v>#N/A</v>
      </c>
      <c r="QD267" s="1" t="e">
        <v>#N/A</v>
      </c>
      <c r="QE267" s="1" t="e">
        <v>#N/A</v>
      </c>
      <c r="QF267" s="1" t="e">
        <v>#N/A</v>
      </c>
      <c r="QG267" s="1" t="e">
        <v>#N/A</v>
      </c>
      <c r="QH267" s="1" t="e">
        <v>#N/A</v>
      </c>
      <c r="QI267" s="1" t="e">
        <v>#N/A</v>
      </c>
      <c r="QJ267" s="1" t="e">
        <v>#N/A</v>
      </c>
      <c r="QK267" s="1" t="e">
        <v>#N/A</v>
      </c>
      <c r="QL267" s="1" t="e">
        <v>#N/A</v>
      </c>
      <c r="QM267" s="1" t="e">
        <v>#N/A</v>
      </c>
      <c r="QN267" s="1" t="e">
        <v>#N/A</v>
      </c>
      <c r="QO267" s="1" t="e">
        <v>#N/A</v>
      </c>
      <c r="QP267" s="1" t="e">
        <v>#N/A</v>
      </c>
    </row>
    <row r="268" spans="1:458" ht="26.25" x14ac:dyDescent="0.4">
      <c r="A268" s="347"/>
      <c r="B268" s="348"/>
      <c r="C268" s="288"/>
      <c r="D268" s="349"/>
      <c r="E268" s="350"/>
      <c r="F268" s="351"/>
      <c r="G268" s="352"/>
      <c r="H268" s="348"/>
      <c r="I268" s="353"/>
      <c r="J268" s="353"/>
      <c r="PJ268" s="1" t="e">
        <v>#N/A</v>
      </c>
      <c r="PK268" s="1" t="e">
        <v>#N/A</v>
      </c>
      <c r="PL268" s="1" t="e">
        <v>#N/A</v>
      </c>
      <c r="PM268" s="1" t="e">
        <v>#N/A</v>
      </c>
      <c r="PN268" s="1" t="e">
        <v>#N/A</v>
      </c>
      <c r="PO268" s="1" t="e">
        <v>#N/A</v>
      </c>
      <c r="PP268" s="1" t="e">
        <v>#N/A</v>
      </c>
      <c r="PQ268" s="1" t="e">
        <v>#N/A</v>
      </c>
      <c r="PR268" s="1" t="e">
        <v>#N/A</v>
      </c>
      <c r="PS268" s="1" t="e">
        <v>#N/A</v>
      </c>
      <c r="PT268" s="1" t="e">
        <v>#N/A</v>
      </c>
      <c r="PU268" s="1" t="e">
        <v>#N/A</v>
      </c>
      <c r="PV268" s="1" t="e">
        <v>#N/A</v>
      </c>
      <c r="PW268" s="1" t="e">
        <v>#N/A</v>
      </c>
      <c r="PX268" s="1" t="e">
        <v>#N/A</v>
      </c>
      <c r="PY268" s="1" t="e">
        <v>#N/A</v>
      </c>
      <c r="PZ268" s="1" t="e">
        <v>#N/A</v>
      </c>
      <c r="QA268" s="1" t="e">
        <v>#N/A</v>
      </c>
      <c r="QB268" s="1" t="e">
        <v>#N/A</v>
      </c>
      <c r="QC268" s="1" t="e">
        <v>#N/A</v>
      </c>
      <c r="QD268" s="1" t="e">
        <v>#N/A</v>
      </c>
      <c r="QE268" s="1" t="e">
        <v>#N/A</v>
      </c>
      <c r="QF268" s="1" t="e">
        <v>#N/A</v>
      </c>
      <c r="QG268" s="1" t="e">
        <v>#N/A</v>
      </c>
      <c r="QH268" s="1" t="e">
        <v>#N/A</v>
      </c>
      <c r="QI268" s="1" t="e">
        <v>#N/A</v>
      </c>
      <c r="QJ268" s="1" t="e">
        <v>#N/A</v>
      </c>
      <c r="QK268" s="1" t="e">
        <v>#N/A</v>
      </c>
      <c r="QL268" s="1" t="e">
        <v>#N/A</v>
      </c>
      <c r="QM268" s="1" t="e">
        <v>#N/A</v>
      </c>
      <c r="QN268" s="1" t="e">
        <v>#N/A</v>
      </c>
      <c r="QO268" s="1" t="e">
        <v>#N/A</v>
      </c>
      <c r="QP268" s="1" t="e">
        <v>#N/A</v>
      </c>
    </row>
    <row r="269" spans="1:458" ht="26.25" x14ac:dyDescent="0.4">
      <c r="A269" s="347"/>
      <c r="B269" s="348"/>
      <c r="C269" s="288"/>
      <c r="D269" s="349"/>
      <c r="E269" s="350"/>
      <c r="F269" s="351"/>
      <c r="G269" s="352"/>
      <c r="H269" s="348"/>
      <c r="I269" s="353"/>
      <c r="J269" s="353"/>
      <c r="PJ269" s="1" t="e">
        <v>#N/A</v>
      </c>
      <c r="PK269" s="1" t="e">
        <v>#N/A</v>
      </c>
      <c r="PL269" s="1" t="e">
        <v>#N/A</v>
      </c>
      <c r="PM269" s="1" t="e">
        <v>#N/A</v>
      </c>
      <c r="PN269" s="1" t="e">
        <v>#N/A</v>
      </c>
      <c r="PO269" s="1" t="e">
        <v>#N/A</v>
      </c>
      <c r="PP269" s="1" t="e">
        <v>#N/A</v>
      </c>
      <c r="PQ269" s="1" t="e">
        <v>#N/A</v>
      </c>
      <c r="PR269" s="1" t="e">
        <v>#N/A</v>
      </c>
      <c r="PS269" s="1" t="e">
        <v>#N/A</v>
      </c>
      <c r="PT269" s="1" t="e">
        <v>#N/A</v>
      </c>
      <c r="PU269" s="1" t="e">
        <v>#N/A</v>
      </c>
      <c r="PV269" s="1" t="e">
        <v>#N/A</v>
      </c>
      <c r="PW269" s="1" t="e">
        <v>#N/A</v>
      </c>
      <c r="PX269" s="1" t="e">
        <v>#N/A</v>
      </c>
      <c r="PY269" s="1" t="e">
        <v>#N/A</v>
      </c>
      <c r="PZ269" s="1" t="e">
        <v>#N/A</v>
      </c>
      <c r="QA269" s="1" t="e">
        <v>#N/A</v>
      </c>
      <c r="QB269" s="1" t="e">
        <v>#N/A</v>
      </c>
      <c r="QC269" s="1" t="e">
        <v>#N/A</v>
      </c>
      <c r="QD269" s="1" t="e">
        <v>#N/A</v>
      </c>
      <c r="QE269" s="1" t="e">
        <v>#N/A</v>
      </c>
      <c r="QF269" s="1" t="e">
        <v>#N/A</v>
      </c>
      <c r="QG269" s="1" t="e">
        <v>#N/A</v>
      </c>
      <c r="QH269" s="1" t="e">
        <v>#N/A</v>
      </c>
      <c r="QI269" s="1" t="e">
        <v>#N/A</v>
      </c>
      <c r="QJ269" s="1" t="e">
        <v>#N/A</v>
      </c>
      <c r="QK269" s="1" t="e">
        <v>#N/A</v>
      </c>
      <c r="QL269" s="1" t="e">
        <v>#N/A</v>
      </c>
      <c r="QM269" s="1" t="e">
        <v>#N/A</v>
      </c>
      <c r="QN269" s="1" t="e">
        <v>#N/A</v>
      </c>
      <c r="QO269" s="1" t="e">
        <v>#N/A</v>
      </c>
      <c r="QP269" s="1" t="e">
        <v>#N/A</v>
      </c>
    </row>
    <row r="270" spans="1:458" ht="26.25" x14ac:dyDescent="0.4">
      <c r="A270" s="347"/>
      <c r="B270" s="348"/>
      <c r="C270" s="288"/>
      <c r="D270" s="349"/>
      <c r="E270" s="350"/>
      <c r="F270" s="351"/>
      <c r="G270" s="352"/>
      <c r="H270" s="348"/>
      <c r="I270" s="353"/>
      <c r="J270" s="353"/>
      <c r="PJ270" s="1" t="e">
        <v>#N/A</v>
      </c>
      <c r="PK270" s="1" t="e">
        <v>#N/A</v>
      </c>
      <c r="PL270" s="1" t="e">
        <v>#N/A</v>
      </c>
      <c r="PM270" s="1" t="e">
        <v>#N/A</v>
      </c>
      <c r="PN270" s="1" t="e">
        <v>#N/A</v>
      </c>
      <c r="PO270" s="1" t="e">
        <v>#N/A</v>
      </c>
      <c r="PP270" s="1" t="e">
        <v>#N/A</v>
      </c>
      <c r="PQ270" s="1" t="e">
        <v>#N/A</v>
      </c>
      <c r="PR270" s="1" t="e">
        <v>#N/A</v>
      </c>
      <c r="PS270" s="1" t="e">
        <v>#N/A</v>
      </c>
      <c r="PT270" s="1" t="e">
        <v>#N/A</v>
      </c>
      <c r="PU270" s="1" t="e">
        <v>#N/A</v>
      </c>
      <c r="PV270" s="1" t="e">
        <v>#N/A</v>
      </c>
      <c r="PW270" s="1" t="e">
        <v>#N/A</v>
      </c>
      <c r="PX270" s="1" t="e">
        <v>#N/A</v>
      </c>
      <c r="PY270" s="1" t="e">
        <v>#N/A</v>
      </c>
      <c r="PZ270" s="1" t="e">
        <v>#N/A</v>
      </c>
      <c r="QA270" s="1" t="e">
        <v>#N/A</v>
      </c>
      <c r="QB270" s="1" t="e">
        <v>#N/A</v>
      </c>
      <c r="QC270" s="1" t="e">
        <v>#N/A</v>
      </c>
      <c r="QD270" s="1" t="e">
        <v>#N/A</v>
      </c>
      <c r="QE270" s="1" t="e">
        <v>#N/A</v>
      </c>
      <c r="QF270" s="1" t="e">
        <v>#N/A</v>
      </c>
      <c r="QG270" s="1" t="e">
        <v>#N/A</v>
      </c>
      <c r="QH270" s="1" t="e">
        <v>#N/A</v>
      </c>
      <c r="QI270" s="1" t="e">
        <v>#N/A</v>
      </c>
      <c r="QJ270" s="1" t="e">
        <v>#N/A</v>
      </c>
      <c r="QK270" s="1" t="e">
        <v>#N/A</v>
      </c>
      <c r="QL270" s="1" t="e">
        <v>#N/A</v>
      </c>
      <c r="QM270" s="1" t="e">
        <v>#N/A</v>
      </c>
      <c r="QN270" s="1" t="e">
        <v>#N/A</v>
      </c>
      <c r="QO270" s="1" t="e">
        <v>#N/A</v>
      </c>
      <c r="QP270" s="1" t="e">
        <v>#N/A</v>
      </c>
    </row>
    <row r="271" spans="1:458" ht="26.25" x14ac:dyDescent="0.4">
      <c r="A271" s="347"/>
      <c r="B271" s="348"/>
      <c r="C271" s="288"/>
      <c r="D271" s="349"/>
      <c r="E271" s="350"/>
      <c r="F271" s="351"/>
      <c r="G271" s="352"/>
      <c r="H271" s="348"/>
      <c r="I271" s="353"/>
      <c r="J271" s="353"/>
      <c r="PJ271" s="1" t="e">
        <v>#N/A</v>
      </c>
      <c r="PK271" s="1" t="e">
        <v>#N/A</v>
      </c>
      <c r="PL271" s="1" t="e">
        <v>#N/A</v>
      </c>
      <c r="PM271" s="1" t="e">
        <v>#N/A</v>
      </c>
      <c r="PN271" s="1" t="e">
        <v>#N/A</v>
      </c>
      <c r="PO271" s="1" t="e">
        <v>#N/A</v>
      </c>
      <c r="PP271" s="1" t="e">
        <v>#N/A</v>
      </c>
      <c r="PQ271" s="1" t="e">
        <v>#N/A</v>
      </c>
      <c r="PR271" s="1" t="e">
        <v>#N/A</v>
      </c>
      <c r="PS271" s="1" t="e">
        <v>#N/A</v>
      </c>
      <c r="PT271" s="1" t="e">
        <v>#N/A</v>
      </c>
      <c r="PU271" s="1" t="e">
        <v>#N/A</v>
      </c>
      <c r="PV271" s="1" t="e">
        <v>#N/A</v>
      </c>
      <c r="PW271" s="1" t="e">
        <v>#N/A</v>
      </c>
      <c r="PX271" s="1" t="e">
        <v>#N/A</v>
      </c>
      <c r="PY271" s="1" t="e">
        <v>#N/A</v>
      </c>
      <c r="PZ271" s="1" t="e">
        <v>#N/A</v>
      </c>
      <c r="QA271" s="1" t="e">
        <v>#N/A</v>
      </c>
      <c r="QB271" s="1" t="e">
        <v>#N/A</v>
      </c>
      <c r="QC271" s="1" t="e">
        <v>#N/A</v>
      </c>
      <c r="QD271" s="1" t="e">
        <v>#N/A</v>
      </c>
      <c r="QE271" s="1" t="e">
        <v>#N/A</v>
      </c>
      <c r="QF271" s="1" t="e">
        <v>#N/A</v>
      </c>
      <c r="QG271" s="1" t="e">
        <v>#N/A</v>
      </c>
      <c r="QH271" s="1" t="e">
        <v>#N/A</v>
      </c>
      <c r="QI271" s="1" t="e">
        <v>#N/A</v>
      </c>
      <c r="QJ271" s="1" t="e">
        <v>#N/A</v>
      </c>
      <c r="QK271" s="1" t="e">
        <v>#N/A</v>
      </c>
      <c r="QL271" s="1" t="e">
        <v>#N/A</v>
      </c>
      <c r="QM271" s="1" t="e">
        <v>#N/A</v>
      </c>
      <c r="QN271" s="1" t="e">
        <v>#N/A</v>
      </c>
      <c r="QO271" s="1" t="e">
        <v>#N/A</v>
      </c>
      <c r="QP271" s="1" t="e">
        <v>#N/A</v>
      </c>
    </row>
    <row r="272" spans="1:458" ht="26.25" x14ac:dyDescent="0.4">
      <c r="A272" s="347"/>
      <c r="B272" s="348"/>
      <c r="C272" s="288"/>
      <c r="D272" s="349"/>
      <c r="E272" s="350"/>
      <c r="F272" s="351"/>
      <c r="G272" s="352"/>
      <c r="H272" s="348"/>
      <c r="I272" s="353"/>
      <c r="J272" s="353"/>
      <c r="PJ272" s="1" t="e">
        <v>#N/A</v>
      </c>
      <c r="PK272" s="1" t="e">
        <v>#N/A</v>
      </c>
      <c r="PL272" s="1" t="e">
        <v>#N/A</v>
      </c>
      <c r="PM272" s="1" t="e">
        <v>#N/A</v>
      </c>
      <c r="PN272" s="1" t="e">
        <v>#N/A</v>
      </c>
      <c r="PO272" s="1" t="e">
        <v>#N/A</v>
      </c>
      <c r="PP272" s="1" t="e">
        <v>#N/A</v>
      </c>
      <c r="PQ272" s="1" t="e">
        <v>#N/A</v>
      </c>
      <c r="PR272" s="1" t="e">
        <v>#N/A</v>
      </c>
      <c r="PS272" s="1" t="e">
        <v>#N/A</v>
      </c>
      <c r="PT272" s="1" t="e">
        <v>#N/A</v>
      </c>
      <c r="PU272" s="1" t="e">
        <v>#N/A</v>
      </c>
      <c r="PV272" s="1" t="e">
        <v>#N/A</v>
      </c>
      <c r="PW272" s="1" t="e">
        <v>#N/A</v>
      </c>
      <c r="PX272" s="1" t="e">
        <v>#N/A</v>
      </c>
      <c r="PY272" s="1" t="e">
        <v>#N/A</v>
      </c>
      <c r="PZ272" s="1" t="e">
        <v>#N/A</v>
      </c>
      <c r="QA272" s="1" t="e">
        <v>#N/A</v>
      </c>
      <c r="QB272" s="1" t="e">
        <v>#N/A</v>
      </c>
      <c r="QC272" s="1" t="e">
        <v>#N/A</v>
      </c>
      <c r="QD272" s="1" t="e">
        <v>#N/A</v>
      </c>
      <c r="QE272" s="1" t="e">
        <v>#N/A</v>
      </c>
      <c r="QF272" s="1" t="e">
        <v>#N/A</v>
      </c>
      <c r="QG272" s="1" t="e">
        <v>#N/A</v>
      </c>
      <c r="QH272" s="1" t="e">
        <v>#N/A</v>
      </c>
      <c r="QI272" s="1" t="e">
        <v>#N/A</v>
      </c>
      <c r="QJ272" s="1" t="e">
        <v>#N/A</v>
      </c>
      <c r="QK272" s="1" t="e">
        <v>#N/A</v>
      </c>
      <c r="QL272" s="1" t="e">
        <v>#N/A</v>
      </c>
      <c r="QM272" s="1" t="e">
        <v>#N/A</v>
      </c>
      <c r="QN272" s="1" t="e">
        <v>#N/A</v>
      </c>
      <c r="QO272" s="1" t="e">
        <v>#N/A</v>
      </c>
      <c r="QP272" s="1" t="e">
        <v>#N/A</v>
      </c>
    </row>
    <row r="273" spans="1:458" ht="26.25" x14ac:dyDescent="0.4">
      <c r="A273" s="347"/>
      <c r="B273" s="348"/>
      <c r="C273" s="288"/>
      <c r="D273" s="349"/>
      <c r="E273" s="350"/>
      <c r="F273" s="351"/>
      <c r="G273" s="352"/>
      <c r="H273" s="348"/>
      <c r="I273" s="353"/>
      <c r="J273" s="353"/>
      <c r="PJ273" s="1" t="e">
        <v>#N/A</v>
      </c>
      <c r="PK273" s="1" t="e">
        <v>#N/A</v>
      </c>
      <c r="PL273" s="1" t="e">
        <v>#N/A</v>
      </c>
      <c r="PM273" s="1" t="e">
        <v>#N/A</v>
      </c>
      <c r="PN273" s="1" t="e">
        <v>#N/A</v>
      </c>
      <c r="PO273" s="1" t="e">
        <v>#N/A</v>
      </c>
      <c r="PP273" s="1" t="e">
        <v>#N/A</v>
      </c>
      <c r="PQ273" s="1" t="e">
        <v>#N/A</v>
      </c>
      <c r="PR273" s="1" t="e">
        <v>#N/A</v>
      </c>
      <c r="PS273" s="1" t="e">
        <v>#N/A</v>
      </c>
      <c r="PT273" s="1" t="e">
        <v>#N/A</v>
      </c>
      <c r="PU273" s="1" t="e">
        <v>#N/A</v>
      </c>
      <c r="PV273" s="1" t="e">
        <v>#N/A</v>
      </c>
      <c r="PW273" s="1" t="e">
        <v>#N/A</v>
      </c>
      <c r="PX273" s="1" t="e">
        <v>#N/A</v>
      </c>
      <c r="PY273" s="1" t="e">
        <v>#N/A</v>
      </c>
      <c r="PZ273" s="1" t="e">
        <v>#N/A</v>
      </c>
      <c r="QA273" s="1" t="e">
        <v>#N/A</v>
      </c>
      <c r="QB273" s="1" t="e">
        <v>#N/A</v>
      </c>
      <c r="QC273" s="1" t="e">
        <v>#N/A</v>
      </c>
      <c r="QD273" s="1" t="e">
        <v>#N/A</v>
      </c>
      <c r="QE273" s="1" t="e">
        <v>#N/A</v>
      </c>
      <c r="QF273" s="1" t="e">
        <v>#N/A</v>
      </c>
      <c r="QG273" s="1" t="e">
        <v>#N/A</v>
      </c>
      <c r="QH273" s="1" t="e">
        <v>#N/A</v>
      </c>
      <c r="QI273" s="1" t="e">
        <v>#N/A</v>
      </c>
      <c r="QJ273" s="1" t="e">
        <v>#N/A</v>
      </c>
      <c r="QK273" s="1" t="e">
        <v>#N/A</v>
      </c>
      <c r="QL273" s="1" t="e">
        <v>#N/A</v>
      </c>
      <c r="QM273" s="1" t="e">
        <v>#N/A</v>
      </c>
      <c r="QN273" s="1" t="e">
        <v>#N/A</v>
      </c>
      <c r="QO273" s="1" t="e">
        <v>#N/A</v>
      </c>
      <c r="QP273" s="1" t="e">
        <v>#N/A</v>
      </c>
    </row>
    <row r="274" spans="1:458" ht="26.25" x14ac:dyDescent="0.4">
      <c r="A274" s="347"/>
      <c r="B274" s="348"/>
      <c r="C274" s="288"/>
      <c r="D274" s="349"/>
      <c r="E274" s="350"/>
      <c r="F274" s="351"/>
      <c r="G274" s="352"/>
      <c r="H274" s="348"/>
      <c r="I274" s="353"/>
      <c r="J274" s="353"/>
      <c r="PJ274" s="1" t="e">
        <v>#N/A</v>
      </c>
      <c r="PK274" s="1" t="e">
        <v>#N/A</v>
      </c>
      <c r="PL274" s="1" t="e">
        <v>#N/A</v>
      </c>
      <c r="PM274" s="1" t="e">
        <v>#N/A</v>
      </c>
      <c r="PN274" s="1" t="e">
        <v>#N/A</v>
      </c>
      <c r="PO274" s="1" t="e">
        <v>#N/A</v>
      </c>
      <c r="PP274" s="1" t="e">
        <v>#N/A</v>
      </c>
      <c r="PQ274" s="1" t="e">
        <v>#N/A</v>
      </c>
      <c r="PR274" s="1" t="e">
        <v>#N/A</v>
      </c>
      <c r="PS274" s="1" t="e">
        <v>#N/A</v>
      </c>
      <c r="PT274" s="1" t="e">
        <v>#N/A</v>
      </c>
      <c r="PU274" s="1" t="e">
        <v>#N/A</v>
      </c>
      <c r="PV274" s="1" t="e">
        <v>#N/A</v>
      </c>
      <c r="PW274" s="1" t="e">
        <v>#N/A</v>
      </c>
      <c r="PX274" s="1" t="e">
        <v>#N/A</v>
      </c>
      <c r="PY274" s="1" t="e">
        <v>#N/A</v>
      </c>
      <c r="PZ274" s="1" t="e">
        <v>#N/A</v>
      </c>
      <c r="QA274" s="1" t="e">
        <v>#N/A</v>
      </c>
      <c r="QB274" s="1" t="e">
        <v>#N/A</v>
      </c>
      <c r="QC274" s="1" t="e">
        <v>#N/A</v>
      </c>
      <c r="QD274" s="1" t="e">
        <v>#N/A</v>
      </c>
      <c r="QE274" s="1" t="e">
        <v>#N/A</v>
      </c>
      <c r="QF274" s="1" t="e">
        <v>#N/A</v>
      </c>
      <c r="QG274" s="1" t="e">
        <v>#N/A</v>
      </c>
      <c r="QH274" s="1" t="e">
        <v>#N/A</v>
      </c>
      <c r="QI274" s="1" t="e">
        <v>#N/A</v>
      </c>
      <c r="QJ274" s="1" t="e">
        <v>#N/A</v>
      </c>
      <c r="QK274" s="1" t="e">
        <v>#N/A</v>
      </c>
      <c r="QL274" s="1" t="e">
        <v>#N/A</v>
      </c>
      <c r="QM274" s="1" t="e">
        <v>#N/A</v>
      </c>
      <c r="QN274" s="1" t="e">
        <v>#N/A</v>
      </c>
      <c r="QO274" s="1" t="e">
        <v>#N/A</v>
      </c>
      <c r="QP274" s="1" t="e">
        <v>#N/A</v>
      </c>
    </row>
    <row r="275" spans="1:458" ht="26.25" x14ac:dyDescent="0.4">
      <c r="A275" s="347"/>
      <c r="B275" s="348"/>
      <c r="C275" s="288"/>
      <c r="D275" s="349"/>
      <c r="E275" s="350"/>
      <c r="F275" s="351"/>
      <c r="G275" s="352"/>
      <c r="H275" s="348"/>
      <c r="I275" s="353"/>
      <c r="J275" s="353"/>
      <c r="PJ275" s="1" t="e">
        <v>#N/A</v>
      </c>
      <c r="PK275" s="1" t="e">
        <v>#N/A</v>
      </c>
      <c r="PL275" s="1" t="e">
        <v>#N/A</v>
      </c>
      <c r="PM275" s="1" t="e">
        <v>#N/A</v>
      </c>
      <c r="PN275" s="1" t="e">
        <v>#N/A</v>
      </c>
      <c r="PO275" s="1" t="e">
        <v>#N/A</v>
      </c>
      <c r="PP275" s="1" t="e">
        <v>#N/A</v>
      </c>
      <c r="PQ275" s="1" t="e">
        <v>#N/A</v>
      </c>
      <c r="PR275" s="1" t="e">
        <v>#N/A</v>
      </c>
      <c r="PS275" s="1" t="e">
        <v>#N/A</v>
      </c>
      <c r="PT275" s="1" t="e">
        <v>#N/A</v>
      </c>
      <c r="PU275" s="1" t="e">
        <v>#N/A</v>
      </c>
      <c r="PV275" s="1" t="e">
        <v>#N/A</v>
      </c>
      <c r="PW275" s="1" t="e">
        <v>#N/A</v>
      </c>
      <c r="PX275" s="1" t="e">
        <v>#N/A</v>
      </c>
      <c r="PY275" s="1" t="e">
        <v>#N/A</v>
      </c>
      <c r="PZ275" s="1" t="e">
        <v>#N/A</v>
      </c>
      <c r="QA275" s="1" t="e">
        <v>#N/A</v>
      </c>
      <c r="QB275" s="1" t="e">
        <v>#N/A</v>
      </c>
      <c r="QC275" s="1" t="e">
        <v>#N/A</v>
      </c>
      <c r="QD275" s="1" t="e">
        <v>#N/A</v>
      </c>
      <c r="QE275" s="1" t="e">
        <v>#N/A</v>
      </c>
      <c r="QF275" s="1" t="e">
        <v>#N/A</v>
      </c>
      <c r="QG275" s="1" t="e">
        <v>#N/A</v>
      </c>
      <c r="QH275" s="1" t="e">
        <v>#N/A</v>
      </c>
      <c r="QI275" s="1" t="e">
        <v>#N/A</v>
      </c>
      <c r="QJ275" s="1" t="e">
        <v>#N/A</v>
      </c>
      <c r="QK275" s="1" t="e">
        <v>#N/A</v>
      </c>
      <c r="QL275" s="1" t="e">
        <v>#N/A</v>
      </c>
      <c r="QM275" s="1" t="e">
        <v>#N/A</v>
      </c>
      <c r="QN275" s="1" t="e">
        <v>#N/A</v>
      </c>
      <c r="QO275" s="1" t="e">
        <v>#N/A</v>
      </c>
      <c r="QP275" s="1" t="e">
        <v>#N/A</v>
      </c>
    </row>
    <row r="276" spans="1:458" ht="26.25" x14ac:dyDescent="0.4">
      <c r="A276" s="347"/>
      <c r="B276" s="348"/>
      <c r="C276" s="288"/>
      <c r="D276" s="349"/>
      <c r="E276" s="350"/>
      <c r="F276" s="351"/>
      <c r="G276" s="352"/>
      <c r="H276" s="348"/>
      <c r="I276" s="353"/>
      <c r="J276" s="353"/>
      <c r="PJ276" s="1" t="e">
        <v>#N/A</v>
      </c>
      <c r="PK276" s="1" t="e">
        <v>#N/A</v>
      </c>
      <c r="PL276" s="1" t="e">
        <v>#N/A</v>
      </c>
      <c r="PM276" s="1" t="e">
        <v>#N/A</v>
      </c>
      <c r="PN276" s="1" t="e">
        <v>#N/A</v>
      </c>
      <c r="PO276" s="1" t="e">
        <v>#N/A</v>
      </c>
      <c r="PP276" s="1" t="e">
        <v>#N/A</v>
      </c>
      <c r="PQ276" s="1" t="e">
        <v>#N/A</v>
      </c>
      <c r="PR276" s="1" t="e">
        <v>#N/A</v>
      </c>
      <c r="PS276" s="1" t="e">
        <v>#N/A</v>
      </c>
      <c r="PT276" s="1" t="e">
        <v>#N/A</v>
      </c>
      <c r="PU276" s="1" t="e">
        <v>#N/A</v>
      </c>
      <c r="PV276" s="1" t="e">
        <v>#N/A</v>
      </c>
      <c r="PW276" s="1" t="e">
        <v>#N/A</v>
      </c>
      <c r="PX276" s="1" t="e">
        <v>#N/A</v>
      </c>
      <c r="PY276" s="1" t="e">
        <v>#N/A</v>
      </c>
      <c r="PZ276" s="1" t="e">
        <v>#N/A</v>
      </c>
      <c r="QA276" s="1" t="e">
        <v>#N/A</v>
      </c>
      <c r="QB276" s="1" t="e">
        <v>#N/A</v>
      </c>
      <c r="QC276" s="1" t="e">
        <v>#N/A</v>
      </c>
      <c r="QD276" s="1" t="e">
        <v>#N/A</v>
      </c>
      <c r="QE276" s="1" t="e">
        <v>#N/A</v>
      </c>
      <c r="QF276" s="1" t="e">
        <v>#N/A</v>
      </c>
      <c r="QG276" s="1" t="e">
        <v>#N/A</v>
      </c>
      <c r="QH276" s="1" t="e">
        <v>#N/A</v>
      </c>
      <c r="QI276" s="1" t="e">
        <v>#N/A</v>
      </c>
      <c r="QJ276" s="1" t="e">
        <v>#N/A</v>
      </c>
      <c r="QK276" s="1" t="e">
        <v>#N/A</v>
      </c>
      <c r="QL276" s="1" t="e">
        <v>#N/A</v>
      </c>
      <c r="QM276" s="1" t="e">
        <v>#N/A</v>
      </c>
      <c r="QN276" s="1" t="e">
        <v>#N/A</v>
      </c>
      <c r="QO276" s="1" t="e">
        <v>#N/A</v>
      </c>
      <c r="QP276" s="1" t="e">
        <v>#N/A</v>
      </c>
    </row>
    <row r="277" spans="1:458" ht="26.25" x14ac:dyDescent="0.4">
      <c r="A277" s="347"/>
      <c r="B277" s="348"/>
      <c r="C277" s="288"/>
      <c r="D277" s="349"/>
      <c r="E277" s="350"/>
      <c r="F277" s="351"/>
      <c r="G277" s="352"/>
      <c r="H277" s="348"/>
      <c r="I277" s="353"/>
      <c r="J277" s="353"/>
      <c r="PJ277" s="1" t="e">
        <v>#N/A</v>
      </c>
      <c r="PK277" s="1" t="e">
        <v>#N/A</v>
      </c>
      <c r="PL277" s="1" t="e">
        <v>#N/A</v>
      </c>
      <c r="PM277" s="1" t="e">
        <v>#N/A</v>
      </c>
      <c r="PN277" s="1" t="e">
        <v>#N/A</v>
      </c>
      <c r="PO277" s="1" t="e">
        <v>#N/A</v>
      </c>
      <c r="PP277" s="1" t="e">
        <v>#N/A</v>
      </c>
      <c r="PQ277" s="1" t="e">
        <v>#N/A</v>
      </c>
      <c r="PR277" s="1" t="e">
        <v>#N/A</v>
      </c>
      <c r="PS277" s="1" t="e">
        <v>#N/A</v>
      </c>
      <c r="PT277" s="1" t="e">
        <v>#N/A</v>
      </c>
      <c r="PU277" s="1" t="e">
        <v>#N/A</v>
      </c>
      <c r="PV277" s="1" t="e">
        <v>#N/A</v>
      </c>
      <c r="PW277" s="1" t="e">
        <v>#N/A</v>
      </c>
      <c r="PX277" s="1" t="e">
        <v>#N/A</v>
      </c>
      <c r="PY277" s="1" t="e">
        <v>#N/A</v>
      </c>
      <c r="PZ277" s="1" t="e">
        <v>#N/A</v>
      </c>
      <c r="QA277" s="1" t="e">
        <v>#N/A</v>
      </c>
      <c r="QB277" s="1" t="e">
        <v>#N/A</v>
      </c>
      <c r="QC277" s="1" t="e">
        <v>#N/A</v>
      </c>
      <c r="QD277" s="1" t="e">
        <v>#N/A</v>
      </c>
      <c r="QE277" s="1" t="e">
        <v>#N/A</v>
      </c>
      <c r="QF277" s="1" t="e">
        <v>#N/A</v>
      </c>
      <c r="QG277" s="1" t="e">
        <v>#N/A</v>
      </c>
      <c r="QH277" s="1" t="e">
        <v>#N/A</v>
      </c>
      <c r="QI277" s="1" t="e">
        <v>#N/A</v>
      </c>
      <c r="QJ277" s="1" t="e">
        <v>#N/A</v>
      </c>
      <c r="QK277" s="1" t="e">
        <v>#N/A</v>
      </c>
      <c r="QL277" s="1" t="e">
        <v>#N/A</v>
      </c>
      <c r="QM277" s="1" t="e">
        <v>#N/A</v>
      </c>
      <c r="QN277" s="1" t="e">
        <v>#N/A</v>
      </c>
      <c r="QO277" s="1" t="e">
        <v>#N/A</v>
      </c>
      <c r="QP277" s="1" t="e">
        <v>#N/A</v>
      </c>
    </row>
    <row r="278" spans="1:458" ht="26.25" x14ac:dyDescent="0.4">
      <c r="A278" s="347"/>
      <c r="B278" s="348"/>
      <c r="C278" s="288"/>
      <c r="D278" s="349"/>
      <c r="E278" s="350"/>
      <c r="F278" s="351"/>
      <c r="G278" s="352"/>
      <c r="H278" s="348"/>
      <c r="I278" s="353"/>
      <c r="J278" s="353"/>
      <c r="PJ278" s="1" t="e">
        <v>#N/A</v>
      </c>
      <c r="PK278" s="1" t="e">
        <v>#N/A</v>
      </c>
      <c r="PL278" s="1" t="e">
        <v>#N/A</v>
      </c>
      <c r="PM278" s="1" t="e">
        <v>#N/A</v>
      </c>
      <c r="PN278" s="1" t="e">
        <v>#N/A</v>
      </c>
      <c r="PO278" s="1" t="e">
        <v>#N/A</v>
      </c>
      <c r="PP278" s="1" t="e">
        <v>#N/A</v>
      </c>
      <c r="PQ278" s="1" t="e">
        <v>#N/A</v>
      </c>
      <c r="PR278" s="1" t="e">
        <v>#N/A</v>
      </c>
      <c r="PS278" s="1" t="e">
        <v>#N/A</v>
      </c>
      <c r="PT278" s="1" t="e">
        <v>#N/A</v>
      </c>
      <c r="PU278" s="1" t="e">
        <v>#N/A</v>
      </c>
      <c r="PV278" s="1" t="e">
        <v>#N/A</v>
      </c>
      <c r="PW278" s="1" t="e">
        <v>#N/A</v>
      </c>
      <c r="PX278" s="1" t="e">
        <v>#N/A</v>
      </c>
      <c r="PY278" s="1" t="e">
        <v>#N/A</v>
      </c>
      <c r="PZ278" s="1" t="e">
        <v>#N/A</v>
      </c>
      <c r="QA278" s="1" t="e">
        <v>#N/A</v>
      </c>
      <c r="QB278" s="1" t="e">
        <v>#N/A</v>
      </c>
      <c r="QC278" s="1" t="e">
        <v>#N/A</v>
      </c>
      <c r="QD278" s="1" t="e">
        <v>#N/A</v>
      </c>
      <c r="QE278" s="1" t="e">
        <v>#N/A</v>
      </c>
      <c r="QF278" s="1" t="e">
        <v>#N/A</v>
      </c>
      <c r="QG278" s="1" t="e">
        <v>#N/A</v>
      </c>
      <c r="QH278" s="1" t="e">
        <v>#N/A</v>
      </c>
      <c r="QI278" s="1" t="e">
        <v>#N/A</v>
      </c>
      <c r="QJ278" s="1" t="e">
        <v>#N/A</v>
      </c>
      <c r="QK278" s="1" t="e">
        <v>#N/A</v>
      </c>
      <c r="QL278" s="1" t="e">
        <v>#N/A</v>
      </c>
      <c r="QM278" s="1" t="e">
        <v>#N/A</v>
      </c>
      <c r="QN278" s="1" t="e">
        <v>#N/A</v>
      </c>
      <c r="QO278" s="1" t="e">
        <v>#N/A</v>
      </c>
      <c r="QP278" s="1" t="e">
        <v>#N/A</v>
      </c>
    </row>
    <row r="279" spans="1:458" ht="26.25" x14ac:dyDescent="0.4">
      <c r="A279" s="347"/>
      <c r="B279" s="348"/>
      <c r="C279" s="288"/>
      <c r="D279" s="349"/>
      <c r="E279" s="350"/>
      <c r="F279" s="351"/>
      <c r="G279" s="352"/>
      <c r="H279" s="348"/>
      <c r="I279" s="353"/>
      <c r="J279" s="353"/>
      <c r="PJ279" s="1" t="e">
        <v>#N/A</v>
      </c>
      <c r="PK279" s="1" t="e">
        <v>#N/A</v>
      </c>
      <c r="PL279" s="1" t="e">
        <v>#N/A</v>
      </c>
      <c r="PM279" s="1" t="e">
        <v>#N/A</v>
      </c>
      <c r="PN279" s="1" t="e">
        <v>#N/A</v>
      </c>
      <c r="PO279" s="1" t="e">
        <v>#N/A</v>
      </c>
      <c r="PP279" s="1" t="e">
        <v>#N/A</v>
      </c>
      <c r="PQ279" s="1" t="e">
        <v>#N/A</v>
      </c>
      <c r="PR279" s="1" t="e">
        <v>#N/A</v>
      </c>
      <c r="PS279" s="1" t="e">
        <v>#N/A</v>
      </c>
      <c r="PT279" s="1" t="e">
        <v>#N/A</v>
      </c>
      <c r="PU279" s="1" t="e">
        <v>#N/A</v>
      </c>
      <c r="PV279" s="1" t="e">
        <v>#N/A</v>
      </c>
      <c r="PW279" s="1" t="e">
        <v>#N/A</v>
      </c>
      <c r="PX279" s="1" t="e">
        <v>#N/A</v>
      </c>
      <c r="PY279" s="1" t="e">
        <v>#N/A</v>
      </c>
      <c r="PZ279" s="1" t="e">
        <v>#N/A</v>
      </c>
      <c r="QA279" s="1" t="e">
        <v>#N/A</v>
      </c>
      <c r="QB279" s="1" t="e">
        <v>#N/A</v>
      </c>
      <c r="QC279" s="1" t="e">
        <v>#N/A</v>
      </c>
      <c r="QD279" s="1" t="e">
        <v>#N/A</v>
      </c>
      <c r="QE279" s="1" t="e">
        <v>#N/A</v>
      </c>
      <c r="QF279" s="1" t="e">
        <v>#N/A</v>
      </c>
      <c r="QG279" s="1" t="e">
        <v>#N/A</v>
      </c>
      <c r="QH279" s="1" t="e">
        <v>#N/A</v>
      </c>
      <c r="QI279" s="1" t="e">
        <v>#N/A</v>
      </c>
      <c r="QJ279" s="1" t="e">
        <v>#N/A</v>
      </c>
      <c r="QK279" s="1" t="e">
        <v>#N/A</v>
      </c>
      <c r="QL279" s="1" t="e">
        <v>#N/A</v>
      </c>
      <c r="QM279" s="1" t="e">
        <v>#N/A</v>
      </c>
      <c r="QN279" s="1" t="e">
        <v>#N/A</v>
      </c>
      <c r="QO279" s="1" t="e">
        <v>#N/A</v>
      </c>
      <c r="QP279" s="1" t="e">
        <v>#N/A</v>
      </c>
    </row>
    <row r="280" spans="1:458" ht="26.25" x14ac:dyDescent="0.4">
      <c r="A280" s="347"/>
      <c r="B280" s="348"/>
      <c r="C280" s="288"/>
      <c r="D280" s="349"/>
      <c r="E280" s="350"/>
      <c r="F280" s="351"/>
      <c r="G280" s="352"/>
      <c r="H280" s="348"/>
      <c r="I280" s="353"/>
      <c r="J280" s="353"/>
      <c r="PJ280" s="1" t="e">
        <v>#N/A</v>
      </c>
      <c r="PK280" s="1" t="e">
        <v>#N/A</v>
      </c>
      <c r="PL280" s="1" t="e">
        <v>#N/A</v>
      </c>
      <c r="PM280" s="1" t="e">
        <v>#N/A</v>
      </c>
      <c r="PN280" s="1" t="e">
        <v>#N/A</v>
      </c>
      <c r="PO280" s="1" t="e">
        <v>#N/A</v>
      </c>
      <c r="PP280" s="1" t="e">
        <v>#N/A</v>
      </c>
      <c r="PQ280" s="1" t="e">
        <v>#N/A</v>
      </c>
      <c r="PR280" s="1" t="e">
        <v>#N/A</v>
      </c>
      <c r="PS280" s="1" t="e">
        <v>#N/A</v>
      </c>
      <c r="PT280" s="1" t="e">
        <v>#N/A</v>
      </c>
      <c r="PU280" s="1" t="e">
        <v>#N/A</v>
      </c>
      <c r="PV280" s="1" t="e">
        <v>#N/A</v>
      </c>
      <c r="PW280" s="1" t="e">
        <v>#N/A</v>
      </c>
      <c r="PX280" s="1" t="e">
        <v>#N/A</v>
      </c>
      <c r="PY280" s="1" t="e">
        <v>#N/A</v>
      </c>
      <c r="PZ280" s="1" t="e">
        <v>#N/A</v>
      </c>
      <c r="QA280" s="1" t="e">
        <v>#N/A</v>
      </c>
      <c r="QB280" s="1" t="e">
        <v>#N/A</v>
      </c>
      <c r="QC280" s="1" t="e">
        <v>#N/A</v>
      </c>
      <c r="QD280" s="1" t="e">
        <v>#N/A</v>
      </c>
      <c r="QE280" s="1" t="e">
        <v>#N/A</v>
      </c>
      <c r="QF280" s="1" t="e">
        <v>#N/A</v>
      </c>
      <c r="QG280" s="1" t="e">
        <v>#N/A</v>
      </c>
      <c r="QH280" s="1" t="e">
        <v>#N/A</v>
      </c>
      <c r="QI280" s="1" t="e">
        <v>#N/A</v>
      </c>
      <c r="QJ280" s="1" t="e">
        <v>#N/A</v>
      </c>
      <c r="QK280" s="1" t="e">
        <v>#N/A</v>
      </c>
      <c r="QL280" s="1" t="e">
        <v>#N/A</v>
      </c>
      <c r="QM280" s="1" t="e">
        <v>#N/A</v>
      </c>
      <c r="QN280" s="1" t="e">
        <v>#N/A</v>
      </c>
      <c r="QO280" s="1" t="e">
        <v>#N/A</v>
      </c>
      <c r="QP280" s="1" t="e">
        <v>#N/A</v>
      </c>
    </row>
    <row r="281" spans="1:458" ht="26.25" x14ac:dyDescent="0.4">
      <c r="A281" s="347"/>
      <c r="B281" s="348"/>
      <c r="C281" s="288"/>
      <c r="D281" s="349"/>
      <c r="E281" s="350"/>
      <c r="F281" s="351"/>
      <c r="G281" s="352"/>
      <c r="H281" s="348"/>
      <c r="I281" s="353"/>
      <c r="J281" s="353"/>
      <c r="PJ281" s="1" t="e">
        <v>#N/A</v>
      </c>
      <c r="PK281" s="1" t="e">
        <v>#N/A</v>
      </c>
      <c r="PL281" s="1" t="e">
        <v>#N/A</v>
      </c>
      <c r="PM281" s="1" t="e">
        <v>#N/A</v>
      </c>
      <c r="PN281" s="1" t="e">
        <v>#N/A</v>
      </c>
      <c r="PO281" s="1" t="e">
        <v>#N/A</v>
      </c>
      <c r="PP281" s="1" t="e">
        <v>#N/A</v>
      </c>
      <c r="PQ281" s="1" t="e">
        <v>#N/A</v>
      </c>
      <c r="PR281" s="1" t="e">
        <v>#N/A</v>
      </c>
      <c r="PS281" s="1" t="e">
        <v>#N/A</v>
      </c>
      <c r="PT281" s="1" t="e">
        <v>#N/A</v>
      </c>
      <c r="PU281" s="1" t="e">
        <v>#N/A</v>
      </c>
      <c r="PV281" s="1" t="e">
        <v>#N/A</v>
      </c>
      <c r="PW281" s="1" t="e">
        <v>#N/A</v>
      </c>
      <c r="PX281" s="1" t="e">
        <v>#N/A</v>
      </c>
      <c r="PY281" s="1" t="e">
        <v>#N/A</v>
      </c>
      <c r="PZ281" s="1" t="e">
        <v>#N/A</v>
      </c>
      <c r="QA281" s="1" t="e">
        <v>#N/A</v>
      </c>
      <c r="QB281" s="1" t="e">
        <v>#N/A</v>
      </c>
      <c r="QC281" s="1" t="e">
        <v>#N/A</v>
      </c>
      <c r="QD281" s="1" t="e">
        <v>#N/A</v>
      </c>
      <c r="QE281" s="1" t="e">
        <v>#N/A</v>
      </c>
      <c r="QF281" s="1" t="e">
        <v>#N/A</v>
      </c>
      <c r="QG281" s="1" t="e">
        <v>#N/A</v>
      </c>
      <c r="QH281" s="1" t="e">
        <v>#N/A</v>
      </c>
      <c r="QI281" s="1" t="e">
        <v>#N/A</v>
      </c>
      <c r="QJ281" s="1" t="e">
        <v>#N/A</v>
      </c>
      <c r="QK281" s="1" t="e">
        <v>#N/A</v>
      </c>
      <c r="QL281" s="1" t="e">
        <v>#N/A</v>
      </c>
      <c r="QM281" s="1" t="e">
        <v>#N/A</v>
      </c>
      <c r="QN281" s="1" t="e">
        <v>#N/A</v>
      </c>
      <c r="QO281" s="1" t="e">
        <v>#N/A</v>
      </c>
      <c r="QP281" s="1" t="e">
        <v>#N/A</v>
      </c>
    </row>
    <row r="282" spans="1:458" ht="26.25" x14ac:dyDescent="0.4">
      <c r="A282" s="347"/>
      <c r="B282" s="348"/>
      <c r="C282" s="288"/>
      <c r="D282" s="349"/>
      <c r="E282" s="350"/>
      <c r="F282" s="351"/>
      <c r="G282" s="352"/>
      <c r="H282" s="348"/>
      <c r="I282" s="353"/>
      <c r="J282" s="353"/>
      <c r="PJ282" s="1" t="e">
        <v>#N/A</v>
      </c>
      <c r="PK282" s="1" t="e">
        <v>#N/A</v>
      </c>
      <c r="PL282" s="1" t="e">
        <v>#N/A</v>
      </c>
      <c r="PM282" s="1" t="e">
        <v>#N/A</v>
      </c>
      <c r="PN282" s="1" t="e">
        <v>#N/A</v>
      </c>
      <c r="PO282" s="1" t="e">
        <v>#N/A</v>
      </c>
      <c r="PP282" s="1" t="e">
        <v>#N/A</v>
      </c>
      <c r="PQ282" s="1" t="e">
        <v>#N/A</v>
      </c>
      <c r="PR282" s="1" t="e">
        <v>#N/A</v>
      </c>
      <c r="PS282" s="1" t="e">
        <v>#N/A</v>
      </c>
      <c r="PT282" s="1" t="e">
        <v>#N/A</v>
      </c>
      <c r="PU282" s="1" t="e">
        <v>#N/A</v>
      </c>
      <c r="PV282" s="1" t="e">
        <v>#N/A</v>
      </c>
      <c r="PW282" s="1" t="e">
        <v>#N/A</v>
      </c>
      <c r="PX282" s="1" t="e">
        <v>#N/A</v>
      </c>
      <c r="PY282" s="1" t="e">
        <v>#N/A</v>
      </c>
      <c r="PZ282" s="1" t="e">
        <v>#N/A</v>
      </c>
      <c r="QA282" s="1" t="e">
        <v>#N/A</v>
      </c>
      <c r="QB282" s="1" t="e">
        <v>#N/A</v>
      </c>
      <c r="QC282" s="1" t="e">
        <v>#N/A</v>
      </c>
      <c r="QD282" s="1" t="e">
        <v>#N/A</v>
      </c>
      <c r="QE282" s="1" t="e">
        <v>#N/A</v>
      </c>
      <c r="QF282" s="1" t="e">
        <v>#N/A</v>
      </c>
      <c r="QG282" s="1" t="e">
        <v>#N/A</v>
      </c>
      <c r="QH282" s="1" t="e">
        <v>#N/A</v>
      </c>
      <c r="QI282" s="1" t="e">
        <v>#N/A</v>
      </c>
      <c r="QJ282" s="1" t="e">
        <v>#N/A</v>
      </c>
      <c r="QK282" s="1" t="e">
        <v>#N/A</v>
      </c>
      <c r="QL282" s="1" t="e">
        <v>#N/A</v>
      </c>
      <c r="QM282" s="1" t="e">
        <v>#N/A</v>
      </c>
      <c r="QN282" s="1" t="e">
        <v>#N/A</v>
      </c>
      <c r="QO282" s="1" t="e">
        <v>#N/A</v>
      </c>
      <c r="QP282" s="1" t="e">
        <v>#N/A</v>
      </c>
    </row>
    <row r="283" spans="1:458" ht="26.25" x14ac:dyDescent="0.4">
      <c r="A283" s="347"/>
      <c r="B283" s="348"/>
      <c r="C283" s="288"/>
      <c r="D283" s="349"/>
      <c r="E283" s="350"/>
      <c r="F283" s="351"/>
      <c r="G283" s="352"/>
      <c r="H283" s="348"/>
      <c r="I283" s="353"/>
      <c r="J283" s="353"/>
      <c r="PJ283" s="1" t="e">
        <v>#N/A</v>
      </c>
      <c r="PK283" s="1" t="e">
        <v>#N/A</v>
      </c>
      <c r="PL283" s="1" t="e">
        <v>#N/A</v>
      </c>
      <c r="PM283" s="1" t="e">
        <v>#N/A</v>
      </c>
      <c r="PN283" s="1" t="e">
        <v>#N/A</v>
      </c>
      <c r="PO283" s="1" t="e">
        <v>#N/A</v>
      </c>
      <c r="PP283" s="1" t="e">
        <v>#N/A</v>
      </c>
      <c r="PQ283" s="1" t="e">
        <v>#N/A</v>
      </c>
      <c r="PR283" s="1" t="e">
        <v>#N/A</v>
      </c>
      <c r="PS283" s="1" t="e">
        <v>#N/A</v>
      </c>
      <c r="PT283" s="1" t="e">
        <v>#N/A</v>
      </c>
      <c r="PU283" s="1" t="e">
        <v>#N/A</v>
      </c>
      <c r="PV283" s="1" t="e">
        <v>#N/A</v>
      </c>
      <c r="PW283" s="1" t="e">
        <v>#N/A</v>
      </c>
      <c r="PX283" s="1" t="e">
        <v>#N/A</v>
      </c>
      <c r="PY283" s="1" t="e">
        <v>#N/A</v>
      </c>
      <c r="PZ283" s="1" t="e">
        <v>#N/A</v>
      </c>
      <c r="QA283" s="1" t="e">
        <v>#N/A</v>
      </c>
      <c r="QB283" s="1" t="e">
        <v>#N/A</v>
      </c>
      <c r="QC283" s="1" t="e">
        <v>#N/A</v>
      </c>
      <c r="QD283" s="1" t="e">
        <v>#N/A</v>
      </c>
      <c r="QE283" s="1" t="e">
        <v>#N/A</v>
      </c>
      <c r="QF283" s="1" t="e">
        <v>#N/A</v>
      </c>
      <c r="QG283" s="1" t="e">
        <v>#N/A</v>
      </c>
      <c r="QH283" s="1" t="e">
        <v>#N/A</v>
      </c>
      <c r="QI283" s="1" t="e">
        <v>#N/A</v>
      </c>
      <c r="QJ283" s="1" t="e">
        <v>#N/A</v>
      </c>
      <c r="QK283" s="1" t="e">
        <v>#N/A</v>
      </c>
      <c r="QL283" s="1" t="e">
        <v>#N/A</v>
      </c>
      <c r="QM283" s="1" t="e">
        <v>#N/A</v>
      </c>
      <c r="QN283" s="1" t="e">
        <v>#N/A</v>
      </c>
      <c r="QO283" s="1" t="e">
        <v>#N/A</v>
      </c>
      <c r="QP283" s="1" t="e">
        <v>#N/A</v>
      </c>
    </row>
    <row r="284" spans="1:458" ht="26.25" x14ac:dyDescent="0.4">
      <c r="A284" s="347"/>
      <c r="B284" s="348"/>
      <c r="C284" s="288"/>
      <c r="D284" s="349"/>
      <c r="E284" s="350"/>
      <c r="F284" s="351"/>
      <c r="G284" s="352"/>
      <c r="H284" s="348"/>
      <c r="I284" s="353"/>
      <c r="J284" s="353"/>
      <c r="PJ284" s="1" t="e">
        <v>#N/A</v>
      </c>
      <c r="PK284" s="1" t="e">
        <v>#N/A</v>
      </c>
      <c r="PL284" s="1" t="e">
        <v>#N/A</v>
      </c>
      <c r="PM284" s="1" t="e">
        <v>#N/A</v>
      </c>
      <c r="PN284" s="1" t="e">
        <v>#N/A</v>
      </c>
      <c r="PO284" s="1" t="e">
        <v>#N/A</v>
      </c>
      <c r="PP284" s="1" t="e">
        <v>#N/A</v>
      </c>
      <c r="PQ284" s="1" t="e">
        <v>#N/A</v>
      </c>
      <c r="PR284" s="1" t="e">
        <v>#N/A</v>
      </c>
      <c r="PS284" s="1" t="e">
        <v>#N/A</v>
      </c>
      <c r="PT284" s="1" t="e">
        <v>#N/A</v>
      </c>
      <c r="PU284" s="1" t="e">
        <v>#N/A</v>
      </c>
      <c r="PV284" s="1" t="e">
        <v>#N/A</v>
      </c>
      <c r="PW284" s="1" t="e">
        <v>#N/A</v>
      </c>
      <c r="PX284" s="1" t="e">
        <v>#N/A</v>
      </c>
      <c r="PY284" s="1" t="e">
        <v>#N/A</v>
      </c>
      <c r="PZ284" s="1" t="e">
        <v>#N/A</v>
      </c>
      <c r="QA284" s="1" t="e">
        <v>#N/A</v>
      </c>
      <c r="QB284" s="1" t="e">
        <v>#N/A</v>
      </c>
      <c r="QC284" s="1" t="e">
        <v>#N/A</v>
      </c>
      <c r="QD284" s="1" t="e">
        <v>#N/A</v>
      </c>
      <c r="QE284" s="1" t="e">
        <v>#N/A</v>
      </c>
      <c r="QF284" s="1" t="e">
        <v>#N/A</v>
      </c>
      <c r="QG284" s="1" t="e">
        <v>#N/A</v>
      </c>
      <c r="QH284" s="1" t="e">
        <v>#N/A</v>
      </c>
      <c r="QI284" s="1" t="e">
        <v>#N/A</v>
      </c>
      <c r="QJ284" s="1" t="e">
        <v>#N/A</v>
      </c>
      <c r="QK284" s="1" t="e">
        <v>#N/A</v>
      </c>
      <c r="QL284" s="1" t="e">
        <v>#N/A</v>
      </c>
      <c r="QM284" s="1" t="e">
        <v>#N/A</v>
      </c>
      <c r="QN284" s="1" t="e">
        <v>#N/A</v>
      </c>
      <c r="QO284" s="1" t="e">
        <v>#N/A</v>
      </c>
      <c r="QP284" s="1" t="e">
        <v>#N/A</v>
      </c>
    </row>
    <row r="285" spans="1:458" ht="26.25" x14ac:dyDescent="0.4">
      <c r="A285" s="347"/>
      <c r="B285" s="348"/>
      <c r="C285" s="288"/>
      <c r="D285" s="349"/>
      <c r="E285" s="350"/>
      <c r="F285" s="351"/>
      <c r="G285" s="352"/>
      <c r="H285" s="348"/>
      <c r="I285" s="353"/>
      <c r="J285" s="353"/>
      <c r="PJ285" s="1" t="e">
        <v>#N/A</v>
      </c>
      <c r="PK285" s="1" t="e">
        <v>#N/A</v>
      </c>
      <c r="PL285" s="1" t="e">
        <v>#N/A</v>
      </c>
      <c r="PM285" s="1" t="e">
        <v>#N/A</v>
      </c>
      <c r="PN285" s="1" t="e">
        <v>#N/A</v>
      </c>
      <c r="PO285" s="1" t="e">
        <v>#N/A</v>
      </c>
      <c r="PP285" s="1" t="e">
        <v>#N/A</v>
      </c>
      <c r="PQ285" s="1" t="e">
        <v>#N/A</v>
      </c>
      <c r="PR285" s="1" t="e">
        <v>#N/A</v>
      </c>
      <c r="PS285" s="1" t="e">
        <v>#N/A</v>
      </c>
      <c r="PT285" s="1" t="e">
        <v>#N/A</v>
      </c>
      <c r="PU285" s="1" t="e">
        <v>#N/A</v>
      </c>
      <c r="PV285" s="1" t="e">
        <v>#N/A</v>
      </c>
      <c r="PW285" s="1" t="e">
        <v>#N/A</v>
      </c>
      <c r="PX285" s="1" t="e">
        <v>#N/A</v>
      </c>
      <c r="PY285" s="1" t="e">
        <v>#N/A</v>
      </c>
      <c r="PZ285" s="1" t="e">
        <v>#N/A</v>
      </c>
      <c r="QA285" s="1" t="e">
        <v>#N/A</v>
      </c>
      <c r="QB285" s="1" t="e">
        <v>#N/A</v>
      </c>
      <c r="QC285" s="1" t="e">
        <v>#N/A</v>
      </c>
      <c r="QD285" s="1" t="e">
        <v>#N/A</v>
      </c>
      <c r="QE285" s="1" t="e">
        <v>#N/A</v>
      </c>
      <c r="QF285" s="1" t="e">
        <v>#N/A</v>
      </c>
      <c r="QG285" s="1" t="e">
        <v>#N/A</v>
      </c>
      <c r="QH285" s="1" t="e">
        <v>#N/A</v>
      </c>
      <c r="QI285" s="1" t="e">
        <v>#N/A</v>
      </c>
      <c r="QJ285" s="1" t="e">
        <v>#N/A</v>
      </c>
      <c r="QK285" s="1" t="e">
        <v>#N/A</v>
      </c>
      <c r="QL285" s="1" t="e">
        <v>#N/A</v>
      </c>
      <c r="QM285" s="1" t="e">
        <v>#N/A</v>
      </c>
      <c r="QN285" s="1" t="e">
        <v>#N/A</v>
      </c>
      <c r="QO285" s="1" t="e">
        <v>#N/A</v>
      </c>
      <c r="QP285" s="1" t="e">
        <v>#N/A</v>
      </c>
    </row>
    <row r="286" spans="1:458" ht="26.25" x14ac:dyDescent="0.4">
      <c r="A286" s="347"/>
      <c r="B286" s="348"/>
      <c r="C286" s="288"/>
      <c r="D286" s="349"/>
      <c r="E286" s="350"/>
      <c r="F286" s="351"/>
      <c r="G286" s="352"/>
      <c r="H286" s="348"/>
      <c r="I286" s="353"/>
      <c r="J286" s="353"/>
      <c r="PJ286" s="1" t="e">
        <v>#N/A</v>
      </c>
      <c r="PK286" s="1" t="e">
        <v>#N/A</v>
      </c>
      <c r="PL286" s="1" t="e">
        <v>#N/A</v>
      </c>
      <c r="PM286" s="1" t="e">
        <v>#N/A</v>
      </c>
      <c r="PN286" s="1" t="e">
        <v>#N/A</v>
      </c>
      <c r="PO286" s="1" t="e">
        <v>#N/A</v>
      </c>
      <c r="PP286" s="1" t="e">
        <v>#N/A</v>
      </c>
      <c r="PQ286" s="1" t="e">
        <v>#N/A</v>
      </c>
      <c r="PR286" s="1" t="e">
        <v>#N/A</v>
      </c>
      <c r="PS286" s="1" t="e">
        <v>#N/A</v>
      </c>
      <c r="PT286" s="1" t="e">
        <v>#N/A</v>
      </c>
      <c r="PU286" s="1" t="e">
        <v>#N/A</v>
      </c>
      <c r="PV286" s="1" t="e">
        <v>#N/A</v>
      </c>
      <c r="PW286" s="1" t="e">
        <v>#N/A</v>
      </c>
      <c r="PX286" s="1" t="e">
        <v>#N/A</v>
      </c>
      <c r="PY286" s="1" t="e">
        <v>#N/A</v>
      </c>
      <c r="PZ286" s="1" t="e">
        <v>#N/A</v>
      </c>
      <c r="QA286" s="1" t="e">
        <v>#N/A</v>
      </c>
      <c r="QB286" s="1" t="e">
        <v>#N/A</v>
      </c>
      <c r="QC286" s="1" t="e">
        <v>#N/A</v>
      </c>
      <c r="QD286" s="1" t="e">
        <v>#N/A</v>
      </c>
      <c r="QE286" s="1" t="e">
        <v>#N/A</v>
      </c>
      <c r="QF286" s="1" t="e">
        <v>#N/A</v>
      </c>
      <c r="QG286" s="1" t="e">
        <v>#N/A</v>
      </c>
      <c r="QH286" s="1" t="e">
        <v>#N/A</v>
      </c>
      <c r="QI286" s="1" t="e">
        <v>#N/A</v>
      </c>
      <c r="QJ286" s="1" t="e">
        <v>#N/A</v>
      </c>
      <c r="QK286" s="1" t="e">
        <v>#N/A</v>
      </c>
      <c r="QL286" s="1" t="e">
        <v>#N/A</v>
      </c>
      <c r="QM286" s="1" t="e">
        <v>#N/A</v>
      </c>
      <c r="QN286" s="1" t="e">
        <v>#N/A</v>
      </c>
      <c r="QO286" s="1" t="e">
        <v>#N/A</v>
      </c>
      <c r="QP286" s="1" t="e">
        <v>#N/A</v>
      </c>
    </row>
    <row r="287" spans="1:458" ht="26.25" x14ac:dyDescent="0.4">
      <c r="A287" s="347"/>
      <c r="B287" s="348"/>
      <c r="C287" s="288"/>
      <c r="D287" s="349"/>
      <c r="E287" s="350"/>
      <c r="F287" s="351"/>
      <c r="G287" s="352"/>
      <c r="H287" s="348"/>
      <c r="I287" s="353"/>
      <c r="J287" s="353"/>
      <c r="PJ287" s="1" t="e">
        <v>#N/A</v>
      </c>
      <c r="PK287" s="1" t="e">
        <v>#N/A</v>
      </c>
      <c r="PL287" s="1" t="e">
        <v>#N/A</v>
      </c>
      <c r="PM287" s="1" t="e">
        <v>#N/A</v>
      </c>
      <c r="PN287" s="1" t="e">
        <v>#N/A</v>
      </c>
      <c r="PO287" s="1" t="e">
        <v>#N/A</v>
      </c>
      <c r="PP287" s="1" t="e">
        <v>#N/A</v>
      </c>
      <c r="PQ287" s="1" t="e">
        <v>#N/A</v>
      </c>
      <c r="PR287" s="1" t="e">
        <v>#N/A</v>
      </c>
      <c r="PS287" s="1" t="e">
        <v>#N/A</v>
      </c>
      <c r="PT287" s="1" t="e">
        <v>#N/A</v>
      </c>
      <c r="PU287" s="1" t="e">
        <v>#N/A</v>
      </c>
      <c r="PV287" s="1" t="e">
        <v>#N/A</v>
      </c>
      <c r="PW287" s="1" t="e">
        <v>#N/A</v>
      </c>
      <c r="PX287" s="1" t="e">
        <v>#N/A</v>
      </c>
      <c r="PY287" s="1" t="e">
        <v>#N/A</v>
      </c>
      <c r="PZ287" s="1" t="e">
        <v>#N/A</v>
      </c>
      <c r="QA287" s="1" t="e">
        <v>#N/A</v>
      </c>
      <c r="QB287" s="1" t="e">
        <v>#N/A</v>
      </c>
      <c r="QC287" s="1" t="e">
        <v>#N/A</v>
      </c>
      <c r="QD287" s="1" t="e">
        <v>#N/A</v>
      </c>
      <c r="QE287" s="1" t="e">
        <v>#N/A</v>
      </c>
      <c r="QF287" s="1" t="e">
        <v>#N/A</v>
      </c>
      <c r="QG287" s="1" t="e">
        <v>#N/A</v>
      </c>
      <c r="QH287" s="1" t="e">
        <v>#N/A</v>
      </c>
      <c r="QI287" s="1" t="e">
        <v>#N/A</v>
      </c>
      <c r="QJ287" s="1" t="e">
        <v>#N/A</v>
      </c>
      <c r="QK287" s="1" t="e">
        <v>#N/A</v>
      </c>
      <c r="QL287" s="1" t="e">
        <v>#N/A</v>
      </c>
      <c r="QM287" s="1" t="e">
        <v>#N/A</v>
      </c>
      <c r="QN287" s="1" t="e">
        <v>#N/A</v>
      </c>
      <c r="QO287" s="1" t="e">
        <v>#N/A</v>
      </c>
      <c r="QP287" s="1" t="e">
        <v>#N/A</v>
      </c>
    </row>
    <row r="288" spans="1:458" ht="26.25" x14ac:dyDescent="0.4">
      <c r="A288" s="347"/>
      <c r="B288" s="348"/>
      <c r="C288" s="288"/>
      <c r="D288" s="349"/>
      <c r="E288" s="350"/>
      <c r="F288" s="351"/>
      <c r="G288" s="352"/>
      <c r="H288" s="348"/>
      <c r="I288" s="353"/>
      <c r="J288" s="353"/>
      <c r="PJ288" s="1" t="e">
        <v>#N/A</v>
      </c>
      <c r="PK288" s="1" t="e">
        <v>#N/A</v>
      </c>
      <c r="PL288" s="1" t="e">
        <v>#N/A</v>
      </c>
      <c r="PM288" s="1" t="e">
        <v>#N/A</v>
      </c>
      <c r="PN288" s="1" t="e">
        <v>#N/A</v>
      </c>
      <c r="PO288" s="1" t="e">
        <v>#N/A</v>
      </c>
      <c r="PP288" s="1" t="e">
        <v>#N/A</v>
      </c>
      <c r="PQ288" s="1" t="e">
        <v>#N/A</v>
      </c>
      <c r="PR288" s="1" t="e">
        <v>#N/A</v>
      </c>
      <c r="PS288" s="1" t="e">
        <v>#N/A</v>
      </c>
      <c r="PT288" s="1" t="e">
        <v>#N/A</v>
      </c>
      <c r="PU288" s="1" t="e">
        <v>#N/A</v>
      </c>
      <c r="PV288" s="1" t="e">
        <v>#N/A</v>
      </c>
      <c r="PW288" s="1" t="e">
        <v>#N/A</v>
      </c>
      <c r="PX288" s="1" t="e">
        <v>#N/A</v>
      </c>
      <c r="PY288" s="1" t="e">
        <v>#N/A</v>
      </c>
      <c r="PZ288" s="1" t="e">
        <v>#N/A</v>
      </c>
      <c r="QA288" s="1" t="e">
        <v>#N/A</v>
      </c>
      <c r="QB288" s="1" t="e">
        <v>#N/A</v>
      </c>
      <c r="QC288" s="1" t="e">
        <v>#N/A</v>
      </c>
      <c r="QD288" s="1" t="e">
        <v>#N/A</v>
      </c>
      <c r="QE288" s="1" t="e">
        <v>#N/A</v>
      </c>
      <c r="QF288" s="1" t="e">
        <v>#N/A</v>
      </c>
      <c r="QG288" s="1" t="e">
        <v>#N/A</v>
      </c>
      <c r="QH288" s="1" t="e">
        <v>#N/A</v>
      </c>
      <c r="QI288" s="1" t="e">
        <v>#N/A</v>
      </c>
      <c r="QJ288" s="1" t="e">
        <v>#N/A</v>
      </c>
      <c r="QK288" s="1" t="e">
        <v>#N/A</v>
      </c>
      <c r="QL288" s="1" t="e">
        <v>#N/A</v>
      </c>
      <c r="QM288" s="1" t="e">
        <v>#N/A</v>
      </c>
      <c r="QN288" s="1" t="e">
        <v>#N/A</v>
      </c>
      <c r="QO288" s="1" t="e">
        <v>#N/A</v>
      </c>
      <c r="QP288" s="1" t="e">
        <v>#N/A</v>
      </c>
    </row>
    <row r="289" spans="1:458" ht="26.25" x14ac:dyDescent="0.4">
      <c r="A289" s="347"/>
      <c r="B289" s="348"/>
      <c r="C289" s="288"/>
      <c r="D289" s="349"/>
      <c r="E289" s="350"/>
      <c r="F289" s="351"/>
      <c r="G289" s="352"/>
      <c r="H289" s="348"/>
      <c r="I289" s="353"/>
      <c r="J289" s="353"/>
      <c r="PJ289" s="1" t="e">
        <v>#N/A</v>
      </c>
      <c r="PK289" s="1" t="e">
        <v>#N/A</v>
      </c>
      <c r="PL289" s="1" t="e">
        <v>#N/A</v>
      </c>
      <c r="PM289" s="1" t="e">
        <v>#N/A</v>
      </c>
      <c r="PN289" s="1" t="e">
        <v>#N/A</v>
      </c>
      <c r="PO289" s="1" t="e">
        <v>#N/A</v>
      </c>
      <c r="PP289" s="1" t="e">
        <v>#N/A</v>
      </c>
      <c r="PQ289" s="1" t="e">
        <v>#N/A</v>
      </c>
      <c r="PR289" s="1" t="e">
        <v>#N/A</v>
      </c>
      <c r="PS289" s="1" t="e">
        <v>#N/A</v>
      </c>
      <c r="PT289" s="1" t="e">
        <v>#N/A</v>
      </c>
      <c r="PU289" s="1" t="e">
        <v>#N/A</v>
      </c>
      <c r="PV289" s="1" t="e">
        <v>#N/A</v>
      </c>
      <c r="PW289" s="1" t="e">
        <v>#N/A</v>
      </c>
      <c r="PX289" s="1" t="e">
        <v>#N/A</v>
      </c>
      <c r="PY289" s="1" t="e">
        <v>#N/A</v>
      </c>
      <c r="PZ289" s="1" t="e">
        <v>#N/A</v>
      </c>
      <c r="QA289" s="1" t="e">
        <v>#N/A</v>
      </c>
      <c r="QB289" s="1" t="e">
        <v>#N/A</v>
      </c>
      <c r="QC289" s="1" t="e">
        <v>#N/A</v>
      </c>
      <c r="QD289" s="1" t="e">
        <v>#N/A</v>
      </c>
      <c r="QE289" s="1" t="e">
        <v>#N/A</v>
      </c>
      <c r="QF289" s="1" t="e">
        <v>#N/A</v>
      </c>
      <c r="QG289" s="1" t="e">
        <v>#N/A</v>
      </c>
      <c r="QH289" s="1" t="e">
        <v>#N/A</v>
      </c>
      <c r="QI289" s="1" t="e">
        <v>#N/A</v>
      </c>
      <c r="QJ289" s="1" t="e">
        <v>#N/A</v>
      </c>
      <c r="QK289" s="1" t="e">
        <v>#N/A</v>
      </c>
      <c r="QL289" s="1" t="e">
        <v>#N/A</v>
      </c>
      <c r="QM289" s="1" t="e">
        <v>#N/A</v>
      </c>
      <c r="QN289" s="1" t="e">
        <v>#N/A</v>
      </c>
      <c r="QO289" s="1" t="e">
        <v>#N/A</v>
      </c>
      <c r="QP289" s="1" t="e">
        <v>#N/A</v>
      </c>
    </row>
    <row r="290" spans="1:458" ht="26.25" x14ac:dyDescent="0.4">
      <c r="A290" s="347"/>
      <c r="B290" s="348"/>
      <c r="C290" s="288"/>
      <c r="D290" s="349"/>
      <c r="E290" s="350"/>
      <c r="F290" s="351"/>
      <c r="G290" s="352"/>
      <c r="H290" s="348"/>
      <c r="I290" s="353"/>
      <c r="J290" s="353"/>
      <c r="PJ290" s="1" t="e">
        <v>#N/A</v>
      </c>
      <c r="PK290" s="1" t="e">
        <v>#N/A</v>
      </c>
      <c r="PL290" s="1" t="e">
        <v>#N/A</v>
      </c>
      <c r="PM290" s="1" t="e">
        <v>#N/A</v>
      </c>
      <c r="PN290" s="1" t="e">
        <v>#N/A</v>
      </c>
      <c r="PO290" s="1" t="e">
        <v>#N/A</v>
      </c>
      <c r="PP290" s="1" t="e">
        <v>#N/A</v>
      </c>
      <c r="PQ290" s="1" t="e">
        <v>#N/A</v>
      </c>
      <c r="PR290" s="1" t="e">
        <v>#N/A</v>
      </c>
      <c r="PS290" s="1" t="e">
        <v>#N/A</v>
      </c>
      <c r="PT290" s="1" t="e">
        <v>#N/A</v>
      </c>
      <c r="PU290" s="1" t="e">
        <v>#N/A</v>
      </c>
      <c r="PV290" s="1" t="e">
        <v>#N/A</v>
      </c>
      <c r="PW290" s="1" t="e">
        <v>#N/A</v>
      </c>
      <c r="PX290" s="1" t="e">
        <v>#N/A</v>
      </c>
      <c r="PY290" s="1" t="e">
        <v>#N/A</v>
      </c>
      <c r="PZ290" s="1" t="e">
        <v>#N/A</v>
      </c>
      <c r="QA290" s="1" t="e">
        <v>#N/A</v>
      </c>
      <c r="QB290" s="1" t="e">
        <v>#N/A</v>
      </c>
      <c r="QC290" s="1" t="e">
        <v>#N/A</v>
      </c>
      <c r="QD290" s="1" t="e">
        <v>#N/A</v>
      </c>
      <c r="QE290" s="1" t="e">
        <v>#N/A</v>
      </c>
      <c r="QF290" s="1" t="e">
        <v>#N/A</v>
      </c>
      <c r="QG290" s="1" t="e">
        <v>#N/A</v>
      </c>
      <c r="QH290" s="1" t="e">
        <v>#N/A</v>
      </c>
      <c r="QI290" s="1" t="e">
        <v>#N/A</v>
      </c>
      <c r="QJ290" s="1" t="e">
        <v>#N/A</v>
      </c>
      <c r="QK290" s="1" t="e">
        <v>#N/A</v>
      </c>
      <c r="QL290" s="1" t="e">
        <v>#N/A</v>
      </c>
      <c r="QM290" s="1" t="e">
        <v>#N/A</v>
      </c>
      <c r="QN290" s="1" t="e">
        <v>#N/A</v>
      </c>
      <c r="QO290" s="1" t="e">
        <v>#N/A</v>
      </c>
      <c r="QP290" s="1" t="e">
        <v>#N/A</v>
      </c>
    </row>
    <row r="291" spans="1:458" ht="26.25" x14ac:dyDescent="0.4">
      <c r="A291" s="347"/>
      <c r="B291" s="348"/>
      <c r="C291" s="288"/>
      <c r="D291" s="349"/>
      <c r="E291" s="350"/>
      <c r="F291" s="351"/>
      <c r="G291" s="352"/>
      <c r="H291" s="348"/>
      <c r="I291" s="353"/>
      <c r="J291" s="353"/>
      <c r="PJ291" s="1" t="e">
        <v>#N/A</v>
      </c>
      <c r="PK291" s="1" t="e">
        <v>#N/A</v>
      </c>
      <c r="PL291" s="1" t="e">
        <v>#N/A</v>
      </c>
      <c r="PM291" s="1" t="e">
        <v>#N/A</v>
      </c>
      <c r="PN291" s="1" t="e">
        <v>#N/A</v>
      </c>
      <c r="PO291" s="1" t="e">
        <v>#N/A</v>
      </c>
      <c r="PP291" s="1" t="e">
        <v>#N/A</v>
      </c>
      <c r="PQ291" s="1" t="e">
        <v>#N/A</v>
      </c>
      <c r="PR291" s="1" t="e">
        <v>#N/A</v>
      </c>
      <c r="PS291" s="1" t="e">
        <v>#N/A</v>
      </c>
      <c r="PT291" s="1" t="e">
        <v>#N/A</v>
      </c>
      <c r="PU291" s="1" t="e">
        <v>#N/A</v>
      </c>
      <c r="PV291" s="1" t="e">
        <v>#N/A</v>
      </c>
      <c r="PW291" s="1" t="e">
        <v>#N/A</v>
      </c>
      <c r="PX291" s="1" t="e">
        <v>#N/A</v>
      </c>
      <c r="PY291" s="1" t="e">
        <v>#N/A</v>
      </c>
      <c r="PZ291" s="1" t="e">
        <v>#N/A</v>
      </c>
      <c r="QA291" s="1" t="e">
        <v>#N/A</v>
      </c>
      <c r="QB291" s="1" t="e">
        <v>#N/A</v>
      </c>
      <c r="QC291" s="1" t="e">
        <v>#N/A</v>
      </c>
      <c r="QD291" s="1" t="e">
        <v>#N/A</v>
      </c>
      <c r="QE291" s="1" t="e">
        <v>#N/A</v>
      </c>
      <c r="QF291" s="1" t="e">
        <v>#N/A</v>
      </c>
      <c r="QG291" s="1" t="e">
        <v>#N/A</v>
      </c>
      <c r="QH291" s="1" t="e">
        <v>#N/A</v>
      </c>
      <c r="QI291" s="1" t="e">
        <v>#N/A</v>
      </c>
      <c r="QJ291" s="1" t="e">
        <v>#N/A</v>
      </c>
      <c r="QK291" s="1" t="e">
        <v>#N/A</v>
      </c>
      <c r="QL291" s="1" t="e">
        <v>#N/A</v>
      </c>
      <c r="QM291" s="1" t="e">
        <v>#N/A</v>
      </c>
      <c r="QN291" s="1" t="e">
        <v>#N/A</v>
      </c>
      <c r="QO291" s="1" t="e">
        <v>#N/A</v>
      </c>
      <c r="QP291" s="1" t="e">
        <v>#N/A</v>
      </c>
    </row>
    <row r="292" spans="1:458" ht="26.25" x14ac:dyDescent="0.4">
      <c r="A292" s="347"/>
      <c r="B292" s="348"/>
      <c r="C292" s="288"/>
      <c r="D292" s="349"/>
      <c r="E292" s="350"/>
      <c r="F292" s="351"/>
      <c r="G292" s="352"/>
      <c r="H292" s="348"/>
      <c r="I292" s="353"/>
      <c r="J292" s="353"/>
      <c r="PJ292" s="1" t="e">
        <v>#N/A</v>
      </c>
      <c r="PK292" s="1" t="e">
        <v>#N/A</v>
      </c>
      <c r="PL292" s="1" t="e">
        <v>#N/A</v>
      </c>
      <c r="PM292" s="1" t="e">
        <v>#N/A</v>
      </c>
      <c r="PN292" s="1" t="e">
        <v>#N/A</v>
      </c>
      <c r="PO292" s="1" t="e">
        <v>#N/A</v>
      </c>
      <c r="PP292" s="1" t="e">
        <v>#N/A</v>
      </c>
      <c r="PQ292" s="1" t="e">
        <v>#N/A</v>
      </c>
      <c r="PR292" s="1" t="e">
        <v>#N/A</v>
      </c>
      <c r="PS292" s="1" t="e">
        <v>#N/A</v>
      </c>
      <c r="PT292" s="1" t="e">
        <v>#N/A</v>
      </c>
      <c r="PU292" s="1" t="e">
        <v>#N/A</v>
      </c>
      <c r="PV292" s="1" t="e">
        <v>#N/A</v>
      </c>
      <c r="PW292" s="1" t="e">
        <v>#N/A</v>
      </c>
      <c r="PX292" s="1" t="e">
        <v>#N/A</v>
      </c>
      <c r="PY292" s="1" t="e">
        <v>#N/A</v>
      </c>
      <c r="PZ292" s="1" t="e">
        <v>#N/A</v>
      </c>
      <c r="QA292" s="1" t="e">
        <v>#N/A</v>
      </c>
      <c r="QB292" s="1" t="e">
        <v>#N/A</v>
      </c>
      <c r="QC292" s="1" t="e">
        <v>#N/A</v>
      </c>
      <c r="QD292" s="1" t="e">
        <v>#N/A</v>
      </c>
      <c r="QE292" s="1" t="e">
        <v>#N/A</v>
      </c>
      <c r="QF292" s="1" t="e">
        <v>#N/A</v>
      </c>
      <c r="QG292" s="1" t="e">
        <v>#N/A</v>
      </c>
      <c r="QH292" s="1" t="e">
        <v>#N/A</v>
      </c>
      <c r="QI292" s="1" t="e">
        <v>#N/A</v>
      </c>
      <c r="QJ292" s="1" t="e">
        <v>#N/A</v>
      </c>
      <c r="QK292" s="1" t="e">
        <v>#N/A</v>
      </c>
      <c r="QL292" s="1" t="e">
        <v>#N/A</v>
      </c>
      <c r="QM292" s="1" t="e">
        <v>#N/A</v>
      </c>
      <c r="QN292" s="1" t="e">
        <v>#N/A</v>
      </c>
      <c r="QO292" s="1" t="e">
        <v>#N/A</v>
      </c>
      <c r="QP292" s="1" t="e">
        <v>#N/A</v>
      </c>
    </row>
    <row r="293" spans="1:458" ht="26.25" x14ac:dyDescent="0.4">
      <c r="A293" s="347"/>
      <c r="B293" s="348"/>
      <c r="C293" s="288"/>
      <c r="D293" s="349"/>
      <c r="E293" s="350"/>
      <c r="F293" s="351"/>
      <c r="G293" s="352"/>
      <c r="H293" s="348"/>
      <c r="I293" s="353"/>
      <c r="J293" s="353"/>
      <c r="PJ293" s="1" t="e">
        <v>#N/A</v>
      </c>
      <c r="PK293" s="1" t="e">
        <v>#N/A</v>
      </c>
      <c r="PL293" s="1" t="e">
        <v>#N/A</v>
      </c>
      <c r="PM293" s="1" t="e">
        <v>#N/A</v>
      </c>
      <c r="PN293" s="1" t="e">
        <v>#N/A</v>
      </c>
      <c r="PO293" s="1" t="e">
        <v>#N/A</v>
      </c>
      <c r="PP293" s="1" t="e">
        <v>#N/A</v>
      </c>
      <c r="PQ293" s="1" t="e">
        <v>#N/A</v>
      </c>
      <c r="PR293" s="1" t="e">
        <v>#N/A</v>
      </c>
      <c r="PS293" s="1" t="e">
        <v>#N/A</v>
      </c>
      <c r="PT293" s="1" t="e">
        <v>#N/A</v>
      </c>
      <c r="PU293" s="1" t="e">
        <v>#N/A</v>
      </c>
      <c r="PV293" s="1" t="e">
        <v>#N/A</v>
      </c>
      <c r="PW293" s="1" t="e">
        <v>#N/A</v>
      </c>
      <c r="PX293" s="1" t="e">
        <v>#N/A</v>
      </c>
      <c r="PY293" s="1" t="e">
        <v>#N/A</v>
      </c>
      <c r="PZ293" s="1" t="e">
        <v>#N/A</v>
      </c>
      <c r="QA293" s="1" t="e">
        <v>#N/A</v>
      </c>
      <c r="QB293" s="1" t="e">
        <v>#N/A</v>
      </c>
      <c r="QC293" s="1" t="e">
        <v>#N/A</v>
      </c>
      <c r="QD293" s="1" t="e">
        <v>#N/A</v>
      </c>
      <c r="QE293" s="1" t="e">
        <v>#N/A</v>
      </c>
      <c r="QF293" s="1" t="e">
        <v>#N/A</v>
      </c>
      <c r="QG293" s="1" t="e">
        <v>#N/A</v>
      </c>
      <c r="QH293" s="1" t="e">
        <v>#N/A</v>
      </c>
      <c r="QI293" s="1" t="e">
        <v>#N/A</v>
      </c>
      <c r="QJ293" s="1" t="e">
        <v>#N/A</v>
      </c>
      <c r="QK293" s="1" t="e">
        <v>#N/A</v>
      </c>
      <c r="QL293" s="1" t="e">
        <v>#N/A</v>
      </c>
      <c r="QM293" s="1" t="e">
        <v>#N/A</v>
      </c>
      <c r="QN293" s="1" t="e">
        <v>#N/A</v>
      </c>
      <c r="QO293" s="1" t="e">
        <v>#N/A</v>
      </c>
      <c r="QP293" s="1" t="e">
        <v>#N/A</v>
      </c>
    </row>
    <row r="294" spans="1:458" ht="26.25" x14ac:dyDescent="0.4">
      <c r="A294" s="347"/>
      <c r="B294" s="348"/>
      <c r="C294" s="288"/>
      <c r="D294" s="349"/>
      <c r="E294" s="350"/>
      <c r="F294" s="351"/>
      <c r="G294" s="352"/>
      <c r="H294" s="348"/>
      <c r="I294" s="353"/>
      <c r="J294" s="353"/>
      <c r="PJ294" s="1" t="e">
        <v>#N/A</v>
      </c>
      <c r="PK294" s="1" t="e">
        <v>#N/A</v>
      </c>
      <c r="PL294" s="1" t="e">
        <v>#N/A</v>
      </c>
      <c r="PM294" s="1" t="e">
        <v>#N/A</v>
      </c>
      <c r="PN294" s="1" t="e">
        <v>#N/A</v>
      </c>
      <c r="PO294" s="1" t="e">
        <v>#N/A</v>
      </c>
      <c r="PP294" s="1" t="e">
        <v>#N/A</v>
      </c>
      <c r="PQ294" s="1" t="e">
        <v>#N/A</v>
      </c>
      <c r="PR294" s="1" t="e">
        <v>#N/A</v>
      </c>
      <c r="PS294" s="1" t="e">
        <v>#N/A</v>
      </c>
      <c r="PT294" s="1" t="e">
        <v>#N/A</v>
      </c>
      <c r="PU294" s="1" t="e">
        <v>#N/A</v>
      </c>
      <c r="PV294" s="1" t="e">
        <v>#N/A</v>
      </c>
      <c r="PW294" s="1" t="e">
        <v>#N/A</v>
      </c>
      <c r="PX294" s="1" t="e">
        <v>#N/A</v>
      </c>
      <c r="PY294" s="1" t="e">
        <v>#N/A</v>
      </c>
      <c r="PZ294" s="1" t="e">
        <v>#N/A</v>
      </c>
      <c r="QA294" s="1" t="e">
        <v>#N/A</v>
      </c>
      <c r="QB294" s="1" t="e">
        <v>#N/A</v>
      </c>
      <c r="QC294" s="1" t="e">
        <v>#N/A</v>
      </c>
      <c r="QD294" s="1" t="e">
        <v>#N/A</v>
      </c>
      <c r="QE294" s="1" t="e">
        <v>#N/A</v>
      </c>
      <c r="QF294" s="1" t="e">
        <v>#N/A</v>
      </c>
      <c r="QG294" s="1" t="e">
        <v>#N/A</v>
      </c>
      <c r="QH294" s="1" t="e">
        <v>#N/A</v>
      </c>
      <c r="QI294" s="1" t="e">
        <v>#N/A</v>
      </c>
      <c r="QJ294" s="1" t="e">
        <v>#N/A</v>
      </c>
      <c r="QK294" s="1" t="e">
        <v>#N/A</v>
      </c>
      <c r="QL294" s="1" t="e">
        <v>#N/A</v>
      </c>
      <c r="QM294" s="1" t="e">
        <v>#N/A</v>
      </c>
      <c r="QN294" s="1" t="e">
        <v>#N/A</v>
      </c>
      <c r="QO294" s="1" t="e">
        <v>#N/A</v>
      </c>
      <c r="QP294" s="1" t="e">
        <v>#N/A</v>
      </c>
    </row>
    <row r="295" spans="1:458" ht="26.25" x14ac:dyDescent="0.4">
      <c r="A295" s="347"/>
      <c r="B295" s="348"/>
      <c r="C295" s="288"/>
      <c r="D295" s="349"/>
      <c r="E295" s="350"/>
      <c r="F295" s="351"/>
      <c r="G295" s="352"/>
      <c r="H295" s="348"/>
      <c r="I295" s="353"/>
      <c r="J295" s="353"/>
      <c r="PJ295" s="1" t="e">
        <v>#N/A</v>
      </c>
      <c r="PK295" s="1" t="e">
        <v>#N/A</v>
      </c>
      <c r="PL295" s="1" t="e">
        <v>#N/A</v>
      </c>
      <c r="PM295" s="1" t="e">
        <v>#N/A</v>
      </c>
      <c r="PN295" s="1" t="e">
        <v>#N/A</v>
      </c>
      <c r="PO295" s="1" t="e">
        <v>#N/A</v>
      </c>
      <c r="PP295" s="1" t="e">
        <v>#N/A</v>
      </c>
      <c r="PQ295" s="1" t="e">
        <v>#N/A</v>
      </c>
      <c r="PR295" s="1" t="e">
        <v>#N/A</v>
      </c>
      <c r="PS295" s="1" t="e">
        <v>#N/A</v>
      </c>
      <c r="PT295" s="1" t="e">
        <v>#N/A</v>
      </c>
      <c r="PU295" s="1" t="e">
        <v>#N/A</v>
      </c>
      <c r="PV295" s="1" t="e">
        <v>#N/A</v>
      </c>
      <c r="PW295" s="1" t="e">
        <v>#N/A</v>
      </c>
      <c r="PX295" s="1" t="e">
        <v>#N/A</v>
      </c>
      <c r="PY295" s="1" t="e">
        <v>#N/A</v>
      </c>
      <c r="PZ295" s="1" t="e">
        <v>#N/A</v>
      </c>
      <c r="QA295" s="1" t="e">
        <v>#N/A</v>
      </c>
      <c r="QB295" s="1" t="e">
        <v>#N/A</v>
      </c>
      <c r="QC295" s="1" t="e">
        <v>#N/A</v>
      </c>
      <c r="QD295" s="1" t="e">
        <v>#N/A</v>
      </c>
      <c r="QE295" s="1" t="e">
        <v>#N/A</v>
      </c>
      <c r="QF295" s="1" t="e">
        <v>#N/A</v>
      </c>
      <c r="QG295" s="1" t="e">
        <v>#N/A</v>
      </c>
      <c r="QH295" s="1" t="e">
        <v>#N/A</v>
      </c>
      <c r="QI295" s="1" t="e">
        <v>#N/A</v>
      </c>
      <c r="QJ295" s="1" t="e">
        <v>#N/A</v>
      </c>
      <c r="QK295" s="1" t="e">
        <v>#N/A</v>
      </c>
      <c r="QL295" s="1" t="e">
        <v>#N/A</v>
      </c>
      <c r="QM295" s="1" t="e">
        <v>#N/A</v>
      </c>
      <c r="QN295" s="1" t="e">
        <v>#N/A</v>
      </c>
      <c r="QO295" s="1" t="e">
        <v>#N/A</v>
      </c>
      <c r="QP295" s="1" t="e">
        <v>#N/A</v>
      </c>
    </row>
    <row r="296" spans="1:458" ht="26.25" x14ac:dyDescent="0.4">
      <c r="A296" s="347"/>
      <c r="B296" s="348"/>
      <c r="C296" s="288"/>
      <c r="D296" s="349"/>
      <c r="E296" s="350"/>
      <c r="F296" s="351"/>
      <c r="G296" s="352"/>
      <c r="H296" s="348"/>
      <c r="I296" s="353"/>
      <c r="J296" s="353"/>
      <c r="PJ296" s="1" t="e">
        <v>#N/A</v>
      </c>
      <c r="PK296" s="1" t="e">
        <v>#N/A</v>
      </c>
      <c r="PL296" s="1" t="e">
        <v>#N/A</v>
      </c>
      <c r="PM296" s="1" t="e">
        <v>#N/A</v>
      </c>
      <c r="PN296" s="1" t="e">
        <v>#N/A</v>
      </c>
      <c r="PO296" s="1" t="e">
        <v>#N/A</v>
      </c>
      <c r="PP296" s="1" t="e">
        <v>#N/A</v>
      </c>
      <c r="PQ296" s="1" t="e">
        <v>#N/A</v>
      </c>
      <c r="PR296" s="1" t="e">
        <v>#N/A</v>
      </c>
      <c r="PS296" s="1" t="e">
        <v>#N/A</v>
      </c>
      <c r="PT296" s="1" t="e">
        <v>#N/A</v>
      </c>
      <c r="PU296" s="1" t="e">
        <v>#N/A</v>
      </c>
      <c r="PV296" s="1" t="e">
        <v>#N/A</v>
      </c>
      <c r="PW296" s="1" t="e">
        <v>#N/A</v>
      </c>
      <c r="PX296" s="1" t="e">
        <v>#N/A</v>
      </c>
      <c r="PY296" s="1" t="e">
        <v>#N/A</v>
      </c>
      <c r="PZ296" s="1" t="e">
        <v>#N/A</v>
      </c>
      <c r="QA296" s="1" t="e">
        <v>#N/A</v>
      </c>
      <c r="QB296" s="1" t="e">
        <v>#N/A</v>
      </c>
      <c r="QC296" s="1" t="e">
        <v>#N/A</v>
      </c>
      <c r="QD296" s="1" t="e">
        <v>#N/A</v>
      </c>
      <c r="QE296" s="1" t="e">
        <v>#N/A</v>
      </c>
      <c r="QF296" s="1" t="e">
        <v>#N/A</v>
      </c>
      <c r="QG296" s="1" t="e">
        <v>#N/A</v>
      </c>
      <c r="QH296" s="1" t="e">
        <v>#N/A</v>
      </c>
      <c r="QI296" s="1" t="e">
        <v>#N/A</v>
      </c>
      <c r="QJ296" s="1" t="e">
        <v>#N/A</v>
      </c>
      <c r="QK296" s="1" t="e">
        <v>#N/A</v>
      </c>
      <c r="QL296" s="1" t="e">
        <v>#N/A</v>
      </c>
      <c r="QM296" s="1" t="e">
        <v>#N/A</v>
      </c>
      <c r="QN296" s="1" t="e">
        <v>#N/A</v>
      </c>
      <c r="QO296" s="1" t="e">
        <v>#N/A</v>
      </c>
      <c r="QP296" s="1" t="e">
        <v>#N/A</v>
      </c>
    </row>
    <row r="297" spans="1:458" ht="26.25" x14ac:dyDescent="0.4">
      <c r="A297" s="347"/>
      <c r="B297" s="348"/>
      <c r="C297" s="288"/>
      <c r="D297" s="349"/>
      <c r="E297" s="350"/>
      <c r="F297" s="351"/>
      <c r="G297" s="352"/>
      <c r="H297" s="348"/>
      <c r="I297" s="353"/>
      <c r="J297" s="353"/>
      <c r="PJ297" s="1" t="e">
        <v>#N/A</v>
      </c>
      <c r="PK297" s="1" t="e">
        <v>#N/A</v>
      </c>
      <c r="PL297" s="1" t="e">
        <v>#N/A</v>
      </c>
      <c r="PM297" s="1" t="e">
        <v>#N/A</v>
      </c>
      <c r="PN297" s="1" t="e">
        <v>#N/A</v>
      </c>
      <c r="PO297" s="1" t="e">
        <v>#N/A</v>
      </c>
      <c r="PP297" s="1" t="e">
        <v>#N/A</v>
      </c>
      <c r="PQ297" s="1" t="e">
        <v>#N/A</v>
      </c>
      <c r="PR297" s="1" t="e">
        <v>#N/A</v>
      </c>
      <c r="PS297" s="1" t="e">
        <v>#N/A</v>
      </c>
      <c r="PT297" s="1" t="e">
        <v>#N/A</v>
      </c>
      <c r="PU297" s="1" t="e">
        <v>#N/A</v>
      </c>
      <c r="PV297" s="1" t="e">
        <v>#N/A</v>
      </c>
      <c r="PW297" s="1" t="e">
        <v>#N/A</v>
      </c>
      <c r="PX297" s="1" t="e">
        <v>#N/A</v>
      </c>
      <c r="PY297" s="1" t="e">
        <v>#N/A</v>
      </c>
      <c r="PZ297" s="1" t="e">
        <v>#N/A</v>
      </c>
      <c r="QA297" s="1" t="e">
        <v>#N/A</v>
      </c>
      <c r="QB297" s="1" t="e">
        <v>#N/A</v>
      </c>
      <c r="QC297" s="1" t="e">
        <v>#N/A</v>
      </c>
      <c r="QD297" s="1" t="e">
        <v>#N/A</v>
      </c>
      <c r="QE297" s="1" t="e">
        <v>#N/A</v>
      </c>
      <c r="QF297" s="1" t="e">
        <v>#N/A</v>
      </c>
      <c r="QG297" s="1" t="e">
        <v>#N/A</v>
      </c>
      <c r="QH297" s="1" t="e">
        <v>#N/A</v>
      </c>
      <c r="QI297" s="1" t="e">
        <v>#N/A</v>
      </c>
      <c r="QJ297" s="1" t="e">
        <v>#N/A</v>
      </c>
      <c r="QK297" s="1" t="e">
        <v>#N/A</v>
      </c>
      <c r="QL297" s="1" t="e">
        <v>#N/A</v>
      </c>
      <c r="QM297" s="1" t="e">
        <v>#N/A</v>
      </c>
      <c r="QN297" s="1" t="e">
        <v>#N/A</v>
      </c>
      <c r="QO297" s="1" t="e">
        <v>#N/A</v>
      </c>
      <c r="QP297" s="1" t="e">
        <v>#N/A</v>
      </c>
    </row>
    <row r="298" spans="1:458" ht="26.25" x14ac:dyDescent="0.4">
      <c r="A298" s="347"/>
      <c r="B298" s="348"/>
      <c r="C298" s="288"/>
      <c r="D298" s="349"/>
      <c r="E298" s="350"/>
      <c r="F298" s="351"/>
      <c r="G298" s="352"/>
      <c r="H298" s="348"/>
      <c r="I298" s="353"/>
      <c r="J298" s="353"/>
      <c r="PJ298" s="1" t="e">
        <v>#N/A</v>
      </c>
      <c r="PK298" s="1" t="e">
        <v>#N/A</v>
      </c>
      <c r="PL298" s="1" t="e">
        <v>#N/A</v>
      </c>
      <c r="PM298" s="1" t="e">
        <v>#N/A</v>
      </c>
      <c r="PN298" s="1" t="e">
        <v>#N/A</v>
      </c>
      <c r="PO298" s="1" t="e">
        <v>#N/A</v>
      </c>
      <c r="PP298" s="1" t="e">
        <v>#N/A</v>
      </c>
      <c r="PQ298" s="1" t="e">
        <v>#N/A</v>
      </c>
      <c r="PR298" s="1" t="e">
        <v>#N/A</v>
      </c>
      <c r="PS298" s="1" t="e">
        <v>#N/A</v>
      </c>
      <c r="PT298" s="1" t="e">
        <v>#N/A</v>
      </c>
      <c r="PU298" s="1" t="e">
        <v>#N/A</v>
      </c>
      <c r="PV298" s="1" t="e">
        <v>#N/A</v>
      </c>
      <c r="PW298" s="1" t="e">
        <v>#N/A</v>
      </c>
      <c r="PX298" s="1" t="e">
        <v>#N/A</v>
      </c>
      <c r="PY298" s="1" t="e">
        <v>#N/A</v>
      </c>
      <c r="PZ298" s="1" t="e">
        <v>#N/A</v>
      </c>
      <c r="QA298" s="1" t="e">
        <v>#N/A</v>
      </c>
      <c r="QB298" s="1" t="e">
        <v>#N/A</v>
      </c>
      <c r="QC298" s="1" t="e">
        <v>#N/A</v>
      </c>
      <c r="QD298" s="1" t="e">
        <v>#N/A</v>
      </c>
      <c r="QE298" s="1" t="e">
        <v>#N/A</v>
      </c>
      <c r="QF298" s="1" t="e">
        <v>#N/A</v>
      </c>
      <c r="QG298" s="1" t="e">
        <v>#N/A</v>
      </c>
      <c r="QH298" s="1" t="e">
        <v>#N/A</v>
      </c>
      <c r="QI298" s="1" t="e">
        <v>#N/A</v>
      </c>
      <c r="QJ298" s="1" t="e">
        <v>#N/A</v>
      </c>
      <c r="QK298" s="1" t="e">
        <v>#N/A</v>
      </c>
      <c r="QL298" s="1" t="e">
        <v>#N/A</v>
      </c>
      <c r="QM298" s="1" t="e">
        <v>#N/A</v>
      </c>
      <c r="QN298" s="1" t="e">
        <v>#N/A</v>
      </c>
      <c r="QO298" s="1" t="e">
        <v>#N/A</v>
      </c>
      <c r="QP298" s="1" t="e">
        <v>#N/A</v>
      </c>
    </row>
    <row r="299" spans="1:458" ht="26.25" x14ac:dyDescent="0.4">
      <c r="A299" s="347"/>
      <c r="B299" s="348"/>
      <c r="C299" s="288"/>
      <c r="D299" s="349"/>
      <c r="E299" s="350"/>
      <c r="F299" s="351"/>
      <c r="G299" s="352"/>
      <c r="H299" s="348"/>
      <c r="I299" s="353"/>
      <c r="J299" s="353"/>
      <c r="PJ299" s="1" t="e">
        <v>#N/A</v>
      </c>
      <c r="PK299" s="1" t="e">
        <v>#N/A</v>
      </c>
      <c r="PL299" s="1" t="e">
        <v>#N/A</v>
      </c>
      <c r="PM299" s="1" t="e">
        <v>#N/A</v>
      </c>
      <c r="PN299" s="1" t="e">
        <v>#N/A</v>
      </c>
      <c r="PO299" s="1" t="e">
        <v>#N/A</v>
      </c>
      <c r="PP299" s="1" t="e">
        <v>#N/A</v>
      </c>
      <c r="PQ299" s="1" t="e">
        <v>#N/A</v>
      </c>
      <c r="PR299" s="1" t="e">
        <v>#N/A</v>
      </c>
      <c r="PS299" s="1" t="e">
        <v>#N/A</v>
      </c>
      <c r="PT299" s="1" t="e">
        <v>#N/A</v>
      </c>
      <c r="PU299" s="1" t="e">
        <v>#N/A</v>
      </c>
      <c r="PV299" s="1" t="e">
        <v>#N/A</v>
      </c>
      <c r="PW299" s="1" t="e">
        <v>#N/A</v>
      </c>
      <c r="PX299" s="1" t="e">
        <v>#N/A</v>
      </c>
      <c r="PY299" s="1" t="e">
        <v>#N/A</v>
      </c>
      <c r="PZ299" s="1" t="e">
        <v>#N/A</v>
      </c>
      <c r="QA299" s="1" t="e">
        <v>#N/A</v>
      </c>
      <c r="QB299" s="1" t="e">
        <v>#N/A</v>
      </c>
      <c r="QC299" s="1" t="e">
        <v>#N/A</v>
      </c>
      <c r="QD299" s="1" t="e">
        <v>#N/A</v>
      </c>
      <c r="QE299" s="1" t="e">
        <v>#N/A</v>
      </c>
      <c r="QF299" s="1" t="e">
        <v>#N/A</v>
      </c>
      <c r="QG299" s="1" t="e">
        <v>#N/A</v>
      </c>
      <c r="QH299" s="1" t="e">
        <v>#N/A</v>
      </c>
      <c r="QI299" s="1" t="e">
        <v>#N/A</v>
      </c>
      <c r="QJ299" s="1" t="e">
        <v>#N/A</v>
      </c>
      <c r="QK299" s="1" t="e">
        <v>#N/A</v>
      </c>
      <c r="QL299" s="1" t="e">
        <v>#N/A</v>
      </c>
      <c r="QM299" s="1" t="e">
        <v>#N/A</v>
      </c>
      <c r="QN299" s="1" t="e">
        <v>#N/A</v>
      </c>
      <c r="QO299" s="1" t="e">
        <v>#N/A</v>
      </c>
      <c r="QP299" s="1" t="e">
        <v>#N/A</v>
      </c>
    </row>
    <row r="300" spans="1:458" ht="26.25" x14ac:dyDescent="0.4">
      <c r="A300" s="347"/>
      <c r="B300" s="348"/>
      <c r="C300" s="288"/>
      <c r="D300" s="349"/>
      <c r="E300" s="350"/>
      <c r="F300" s="351"/>
      <c r="G300" s="352"/>
      <c r="H300" s="348"/>
      <c r="I300" s="353"/>
      <c r="J300" s="353"/>
      <c r="PJ300" s="1" t="e">
        <v>#N/A</v>
      </c>
      <c r="PK300" s="1" t="e">
        <v>#N/A</v>
      </c>
      <c r="PL300" s="1" t="e">
        <v>#N/A</v>
      </c>
      <c r="PM300" s="1" t="e">
        <v>#N/A</v>
      </c>
      <c r="PN300" s="1" t="e">
        <v>#N/A</v>
      </c>
      <c r="PO300" s="1" t="e">
        <v>#N/A</v>
      </c>
      <c r="PP300" s="1" t="e">
        <v>#N/A</v>
      </c>
      <c r="PQ300" s="1" t="e">
        <v>#N/A</v>
      </c>
      <c r="PR300" s="1" t="e">
        <v>#N/A</v>
      </c>
      <c r="PS300" s="1" t="e">
        <v>#N/A</v>
      </c>
      <c r="PT300" s="1" t="e">
        <v>#N/A</v>
      </c>
      <c r="PU300" s="1" t="e">
        <v>#N/A</v>
      </c>
      <c r="PV300" s="1" t="e">
        <v>#N/A</v>
      </c>
      <c r="PW300" s="1" t="e">
        <v>#N/A</v>
      </c>
      <c r="PX300" s="1" t="e">
        <v>#N/A</v>
      </c>
      <c r="PY300" s="1" t="e">
        <v>#N/A</v>
      </c>
      <c r="PZ300" s="1" t="e">
        <v>#N/A</v>
      </c>
      <c r="QA300" s="1" t="e">
        <v>#N/A</v>
      </c>
      <c r="QB300" s="1" t="e">
        <v>#N/A</v>
      </c>
      <c r="QC300" s="1" t="e">
        <v>#N/A</v>
      </c>
      <c r="QD300" s="1" t="e">
        <v>#N/A</v>
      </c>
      <c r="QE300" s="1" t="e">
        <v>#N/A</v>
      </c>
      <c r="QF300" s="1" t="e">
        <v>#N/A</v>
      </c>
      <c r="QG300" s="1" t="e">
        <v>#N/A</v>
      </c>
      <c r="QH300" s="1" t="e">
        <v>#N/A</v>
      </c>
      <c r="QI300" s="1" t="e">
        <v>#N/A</v>
      </c>
      <c r="QJ300" s="1" t="e">
        <v>#N/A</v>
      </c>
      <c r="QK300" s="1" t="e">
        <v>#N/A</v>
      </c>
      <c r="QL300" s="1" t="e">
        <v>#N/A</v>
      </c>
      <c r="QM300" s="1" t="e">
        <v>#N/A</v>
      </c>
      <c r="QN300" s="1" t="e">
        <v>#N/A</v>
      </c>
      <c r="QO300" s="1" t="e">
        <v>#N/A</v>
      </c>
      <c r="QP300" s="1" t="e">
        <v>#N/A</v>
      </c>
    </row>
    <row r="301" spans="1:458" ht="26.25" x14ac:dyDescent="0.4">
      <c r="A301" s="347"/>
      <c r="B301" s="348"/>
      <c r="C301" s="288"/>
      <c r="D301" s="349"/>
      <c r="E301" s="350"/>
      <c r="F301" s="351"/>
      <c r="G301" s="352"/>
      <c r="H301" s="348"/>
      <c r="I301" s="353"/>
      <c r="J301" s="353"/>
      <c r="PJ301" s="1" t="e">
        <v>#N/A</v>
      </c>
      <c r="PK301" s="1" t="e">
        <v>#N/A</v>
      </c>
      <c r="PL301" s="1" t="e">
        <v>#N/A</v>
      </c>
      <c r="PM301" s="1" t="e">
        <v>#N/A</v>
      </c>
      <c r="PN301" s="1" t="e">
        <v>#N/A</v>
      </c>
      <c r="PO301" s="1" t="e">
        <v>#N/A</v>
      </c>
      <c r="PP301" s="1" t="e">
        <v>#N/A</v>
      </c>
      <c r="PQ301" s="1" t="e">
        <v>#N/A</v>
      </c>
      <c r="PR301" s="1" t="e">
        <v>#N/A</v>
      </c>
      <c r="PS301" s="1" t="e">
        <v>#N/A</v>
      </c>
      <c r="PT301" s="1" t="e">
        <v>#N/A</v>
      </c>
      <c r="PU301" s="1" t="e">
        <v>#N/A</v>
      </c>
      <c r="PV301" s="1" t="e">
        <v>#N/A</v>
      </c>
      <c r="PW301" s="1" t="e">
        <v>#N/A</v>
      </c>
      <c r="PX301" s="1" t="e">
        <v>#N/A</v>
      </c>
      <c r="PY301" s="1" t="e">
        <v>#N/A</v>
      </c>
      <c r="PZ301" s="1" t="e">
        <v>#N/A</v>
      </c>
      <c r="QA301" s="1" t="e">
        <v>#N/A</v>
      </c>
      <c r="QB301" s="1" t="e">
        <v>#N/A</v>
      </c>
      <c r="QC301" s="1" t="e">
        <v>#N/A</v>
      </c>
      <c r="QD301" s="1" t="e">
        <v>#N/A</v>
      </c>
      <c r="QE301" s="1" t="e">
        <v>#N/A</v>
      </c>
      <c r="QF301" s="1" t="e">
        <v>#N/A</v>
      </c>
      <c r="QG301" s="1" t="e">
        <v>#N/A</v>
      </c>
      <c r="QH301" s="1" t="e">
        <v>#N/A</v>
      </c>
      <c r="QI301" s="1" t="e">
        <v>#N/A</v>
      </c>
      <c r="QJ301" s="1" t="e">
        <v>#N/A</v>
      </c>
      <c r="QK301" s="1" t="e">
        <v>#N/A</v>
      </c>
      <c r="QL301" s="1" t="e">
        <v>#N/A</v>
      </c>
      <c r="QM301" s="1" t="e">
        <v>#N/A</v>
      </c>
      <c r="QN301" s="1" t="e">
        <v>#N/A</v>
      </c>
      <c r="QO301" s="1" t="e">
        <v>#N/A</v>
      </c>
      <c r="QP301" s="1" t="e">
        <v>#N/A</v>
      </c>
    </row>
    <row r="302" spans="1:458" ht="26.25" x14ac:dyDescent="0.4">
      <c r="A302" s="347"/>
      <c r="B302" s="348"/>
      <c r="C302" s="288"/>
      <c r="D302" s="349"/>
      <c r="E302" s="350"/>
      <c r="F302" s="351"/>
      <c r="G302" s="352"/>
      <c r="H302" s="348"/>
      <c r="I302" s="353"/>
      <c r="J302" s="353"/>
      <c r="PJ302" s="1" t="e">
        <v>#N/A</v>
      </c>
      <c r="PK302" s="1" t="e">
        <v>#N/A</v>
      </c>
      <c r="PL302" s="1" t="e">
        <v>#N/A</v>
      </c>
      <c r="PM302" s="1" t="e">
        <v>#N/A</v>
      </c>
      <c r="PN302" s="1" t="e">
        <v>#N/A</v>
      </c>
      <c r="PO302" s="1" t="e">
        <v>#N/A</v>
      </c>
      <c r="PP302" s="1" t="e">
        <v>#N/A</v>
      </c>
      <c r="PQ302" s="1" t="e">
        <v>#N/A</v>
      </c>
      <c r="PR302" s="1" t="e">
        <v>#N/A</v>
      </c>
      <c r="PS302" s="1" t="e">
        <v>#N/A</v>
      </c>
      <c r="PT302" s="1" t="e">
        <v>#N/A</v>
      </c>
      <c r="PU302" s="1" t="e">
        <v>#N/A</v>
      </c>
      <c r="PV302" s="1" t="e">
        <v>#N/A</v>
      </c>
      <c r="PW302" s="1" t="e">
        <v>#N/A</v>
      </c>
      <c r="PX302" s="1" t="e">
        <v>#N/A</v>
      </c>
      <c r="PY302" s="1" t="e">
        <v>#N/A</v>
      </c>
      <c r="PZ302" s="1" t="e">
        <v>#N/A</v>
      </c>
      <c r="QA302" s="1" t="e">
        <v>#N/A</v>
      </c>
      <c r="QB302" s="1" t="e">
        <v>#N/A</v>
      </c>
      <c r="QC302" s="1" t="e">
        <v>#N/A</v>
      </c>
      <c r="QD302" s="1" t="e">
        <v>#N/A</v>
      </c>
      <c r="QE302" s="1" t="e">
        <v>#N/A</v>
      </c>
      <c r="QF302" s="1" t="e">
        <v>#N/A</v>
      </c>
      <c r="QG302" s="1" t="e">
        <v>#N/A</v>
      </c>
      <c r="QH302" s="1" t="e">
        <v>#N/A</v>
      </c>
      <c r="QI302" s="1" t="e">
        <v>#N/A</v>
      </c>
      <c r="QJ302" s="1" t="e">
        <v>#N/A</v>
      </c>
      <c r="QK302" s="1" t="e">
        <v>#N/A</v>
      </c>
      <c r="QL302" s="1" t="e">
        <v>#N/A</v>
      </c>
      <c r="QM302" s="1" t="e">
        <v>#N/A</v>
      </c>
      <c r="QN302" s="1" t="e">
        <v>#N/A</v>
      </c>
      <c r="QO302" s="1" t="e">
        <v>#N/A</v>
      </c>
      <c r="QP302" s="1" t="e">
        <v>#N/A</v>
      </c>
    </row>
    <row r="303" spans="1:458" ht="26.25" x14ac:dyDescent="0.4">
      <c r="A303" s="347"/>
      <c r="B303" s="348"/>
      <c r="C303" s="288"/>
      <c r="D303" s="349"/>
      <c r="E303" s="350"/>
      <c r="F303" s="351"/>
      <c r="G303" s="352"/>
      <c r="H303" s="348"/>
      <c r="I303" s="353"/>
      <c r="J303" s="353"/>
      <c r="PJ303" s="1" t="e">
        <v>#N/A</v>
      </c>
      <c r="PK303" s="1" t="e">
        <v>#N/A</v>
      </c>
      <c r="PL303" s="1" t="e">
        <v>#N/A</v>
      </c>
      <c r="PM303" s="1" t="e">
        <v>#N/A</v>
      </c>
      <c r="PN303" s="1" t="e">
        <v>#N/A</v>
      </c>
      <c r="PO303" s="1" t="e">
        <v>#N/A</v>
      </c>
      <c r="PP303" s="1" t="e">
        <v>#N/A</v>
      </c>
      <c r="PQ303" s="1" t="e">
        <v>#N/A</v>
      </c>
      <c r="PR303" s="1" t="e">
        <v>#N/A</v>
      </c>
      <c r="PS303" s="1" t="e">
        <v>#N/A</v>
      </c>
      <c r="PT303" s="1" t="e">
        <v>#N/A</v>
      </c>
      <c r="PU303" s="1" t="e">
        <v>#N/A</v>
      </c>
      <c r="PV303" s="1" t="e">
        <v>#N/A</v>
      </c>
      <c r="PW303" s="1" t="e">
        <v>#N/A</v>
      </c>
      <c r="PX303" s="1" t="e">
        <v>#N/A</v>
      </c>
      <c r="PY303" s="1" t="e">
        <v>#N/A</v>
      </c>
      <c r="PZ303" s="1" t="e">
        <v>#N/A</v>
      </c>
      <c r="QA303" s="1" t="e">
        <v>#N/A</v>
      </c>
      <c r="QB303" s="1" t="e">
        <v>#N/A</v>
      </c>
      <c r="QC303" s="1" t="e">
        <v>#N/A</v>
      </c>
      <c r="QD303" s="1" t="e">
        <v>#N/A</v>
      </c>
      <c r="QE303" s="1" t="e">
        <v>#N/A</v>
      </c>
      <c r="QF303" s="1" t="e">
        <v>#N/A</v>
      </c>
      <c r="QG303" s="1" t="e">
        <v>#N/A</v>
      </c>
      <c r="QH303" s="1" t="e">
        <v>#N/A</v>
      </c>
      <c r="QI303" s="1" t="e">
        <v>#N/A</v>
      </c>
      <c r="QJ303" s="1" t="e">
        <v>#N/A</v>
      </c>
      <c r="QK303" s="1" t="e">
        <v>#N/A</v>
      </c>
      <c r="QL303" s="1" t="e">
        <v>#N/A</v>
      </c>
      <c r="QM303" s="1" t="e">
        <v>#N/A</v>
      </c>
      <c r="QN303" s="1" t="e">
        <v>#N/A</v>
      </c>
      <c r="QO303" s="1" t="e">
        <v>#N/A</v>
      </c>
      <c r="QP303" s="1" t="e">
        <v>#N/A</v>
      </c>
    </row>
    <row r="304" spans="1:458" ht="26.25" x14ac:dyDescent="0.4">
      <c r="A304" s="347"/>
      <c r="B304" s="348"/>
      <c r="C304" s="288"/>
      <c r="D304" s="349"/>
      <c r="E304" s="350"/>
      <c r="F304" s="351"/>
      <c r="G304" s="352"/>
      <c r="H304" s="348"/>
      <c r="I304" s="353"/>
      <c r="J304" s="353"/>
      <c r="PJ304" s="1" t="e">
        <v>#N/A</v>
      </c>
      <c r="PK304" s="1" t="e">
        <v>#N/A</v>
      </c>
      <c r="PL304" s="1" t="e">
        <v>#N/A</v>
      </c>
      <c r="PM304" s="1" t="e">
        <v>#N/A</v>
      </c>
      <c r="PN304" s="1" t="e">
        <v>#N/A</v>
      </c>
      <c r="PO304" s="1" t="e">
        <v>#N/A</v>
      </c>
      <c r="PP304" s="1" t="e">
        <v>#N/A</v>
      </c>
      <c r="PQ304" s="1" t="e">
        <v>#N/A</v>
      </c>
      <c r="PR304" s="1" t="e">
        <v>#N/A</v>
      </c>
      <c r="PS304" s="1" t="e">
        <v>#N/A</v>
      </c>
      <c r="PT304" s="1" t="e">
        <v>#N/A</v>
      </c>
      <c r="PU304" s="1" t="e">
        <v>#N/A</v>
      </c>
      <c r="PV304" s="1" t="e">
        <v>#N/A</v>
      </c>
      <c r="PW304" s="1" t="e">
        <v>#N/A</v>
      </c>
      <c r="PX304" s="1" t="e">
        <v>#N/A</v>
      </c>
      <c r="PY304" s="1" t="e">
        <v>#N/A</v>
      </c>
      <c r="PZ304" s="1" t="e">
        <v>#N/A</v>
      </c>
      <c r="QA304" s="1" t="e">
        <v>#N/A</v>
      </c>
      <c r="QB304" s="1" t="e">
        <v>#N/A</v>
      </c>
      <c r="QC304" s="1" t="e">
        <v>#N/A</v>
      </c>
      <c r="QD304" s="1" t="e">
        <v>#N/A</v>
      </c>
      <c r="QE304" s="1" t="e">
        <v>#N/A</v>
      </c>
      <c r="QF304" s="1" t="e">
        <v>#N/A</v>
      </c>
      <c r="QG304" s="1" t="e">
        <v>#N/A</v>
      </c>
      <c r="QH304" s="1" t="e">
        <v>#N/A</v>
      </c>
      <c r="QI304" s="1" t="e">
        <v>#N/A</v>
      </c>
      <c r="QJ304" s="1" t="e">
        <v>#N/A</v>
      </c>
      <c r="QK304" s="1" t="e">
        <v>#N/A</v>
      </c>
      <c r="QL304" s="1" t="e">
        <v>#N/A</v>
      </c>
      <c r="QM304" s="1" t="e">
        <v>#N/A</v>
      </c>
      <c r="QN304" s="1" t="e">
        <v>#N/A</v>
      </c>
      <c r="QO304" s="1" t="e">
        <v>#N/A</v>
      </c>
      <c r="QP304" s="1" t="e">
        <v>#N/A</v>
      </c>
    </row>
    <row r="305" spans="1:458" ht="26.25" x14ac:dyDescent="0.4">
      <c r="A305" s="347"/>
      <c r="B305" s="348"/>
      <c r="C305" s="288"/>
      <c r="D305" s="349"/>
      <c r="E305" s="350"/>
      <c r="F305" s="351"/>
      <c r="G305" s="352"/>
      <c r="H305" s="348"/>
      <c r="I305" s="353"/>
      <c r="J305" s="353"/>
      <c r="PJ305" s="1" t="e">
        <v>#N/A</v>
      </c>
      <c r="PK305" s="1" t="e">
        <v>#N/A</v>
      </c>
      <c r="PL305" s="1" t="e">
        <v>#N/A</v>
      </c>
      <c r="PM305" s="1" t="e">
        <v>#N/A</v>
      </c>
      <c r="PN305" s="1" t="e">
        <v>#N/A</v>
      </c>
      <c r="PO305" s="1" t="e">
        <v>#N/A</v>
      </c>
      <c r="PP305" s="1" t="e">
        <v>#N/A</v>
      </c>
      <c r="PQ305" s="1" t="e">
        <v>#N/A</v>
      </c>
      <c r="PR305" s="1" t="e">
        <v>#N/A</v>
      </c>
      <c r="PS305" s="1" t="e">
        <v>#N/A</v>
      </c>
      <c r="PT305" s="1" t="e">
        <v>#N/A</v>
      </c>
      <c r="PU305" s="1" t="e">
        <v>#N/A</v>
      </c>
      <c r="PV305" s="1" t="e">
        <v>#N/A</v>
      </c>
      <c r="PW305" s="1" t="e">
        <v>#N/A</v>
      </c>
      <c r="PX305" s="1" t="e">
        <v>#N/A</v>
      </c>
      <c r="PY305" s="1" t="e">
        <v>#N/A</v>
      </c>
      <c r="PZ305" s="1" t="e">
        <v>#N/A</v>
      </c>
      <c r="QA305" s="1" t="e">
        <v>#N/A</v>
      </c>
      <c r="QB305" s="1" t="e">
        <v>#N/A</v>
      </c>
      <c r="QC305" s="1" t="e">
        <v>#N/A</v>
      </c>
      <c r="QD305" s="1" t="e">
        <v>#N/A</v>
      </c>
      <c r="QE305" s="1" t="e">
        <v>#N/A</v>
      </c>
      <c r="QF305" s="1" t="e">
        <v>#N/A</v>
      </c>
      <c r="QG305" s="1" t="e">
        <v>#N/A</v>
      </c>
      <c r="QH305" s="1" t="e">
        <v>#N/A</v>
      </c>
      <c r="QI305" s="1" t="e">
        <v>#N/A</v>
      </c>
      <c r="QJ305" s="1" t="e">
        <v>#N/A</v>
      </c>
      <c r="QK305" s="1" t="e">
        <v>#N/A</v>
      </c>
      <c r="QL305" s="1" t="e">
        <v>#N/A</v>
      </c>
      <c r="QM305" s="1" t="e">
        <v>#N/A</v>
      </c>
      <c r="QN305" s="1" t="e">
        <v>#N/A</v>
      </c>
      <c r="QO305" s="1" t="e">
        <v>#N/A</v>
      </c>
      <c r="QP305" s="1" t="e">
        <v>#N/A</v>
      </c>
    </row>
    <row r="306" spans="1:458" ht="26.25" x14ac:dyDescent="0.4">
      <c r="A306" s="347"/>
      <c r="B306" s="348"/>
      <c r="C306" s="288"/>
      <c r="D306" s="349"/>
      <c r="E306" s="350"/>
      <c r="F306" s="351"/>
      <c r="G306" s="352"/>
      <c r="H306" s="348"/>
      <c r="I306" s="353"/>
      <c r="J306" s="353"/>
      <c r="PJ306" s="1" t="e">
        <v>#N/A</v>
      </c>
      <c r="PK306" s="1" t="e">
        <v>#N/A</v>
      </c>
      <c r="PL306" s="1" t="e">
        <v>#N/A</v>
      </c>
      <c r="PM306" s="1" t="e">
        <v>#N/A</v>
      </c>
      <c r="PN306" s="1" t="e">
        <v>#N/A</v>
      </c>
      <c r="PO306" s="1" t="e">
        <v>#N/A</v>
      </c>
      <c r="PP306" s="1" t="e">
        <v>#N/A</v>
      </c>
      <c r="PQ306" s="1" t="e">
        <v>#N/A</v>
      </c>
      <c r="PR306" s="1" t="e">
        <v>#N/A</v>
      </c>
      <c r="PS306" s="1" t="e">
        <v>#N/A</v>
      </c>
      <c r="PT306" s="1" t="e">
        <v>#N/A</v>
      </c>
      <c r="PU306" s="1" t="e">
        <v>#N/A</v>
      </c>
      <c r="PV306" s="1" t="e">
        <v>#N/A</v>
      </c>
      <c r="PW306" s="1" t="e">
        <v>#N/A</v>
      </c>
      <c r="PX306" s="1" t="e">
        <v>#N/A</v>
      </c>
      <c r="PY306" s="1" t="e">
        <v>#N/A</v>
      </c>
      <c r="PZ306" s="1" t="e">
        <v>#N/A</v>
      </c>
      <c r="QA306" s="1" t="e">
        <v>#N/A</v>
      </c>
      <c r="QB306" s="1" t="e">
        <v>#N/A</v>
      </c>
      <c r="QC306" s="1" t="e">
        <v>#N/A</v>
      </c>
      <c r="QD306" s="1" t="e">
        <v>#N/A</v>
      </c>
      <c r="QE306" s="1" t="e">
        <v>#N/A</v>
      </c>
      <c r="QF306" s="1" t="e">
        <v>#N/A</v>
      </c>
      <c r="QG306" s="1" t="e">
        <v>#N/A</v>
      </c>
      <c r="QH306" s="1" t="e">
        <v>#N/A</v>
      </c>
      <c r="QI306" s="1" t="e">
        <v>#N/A</v>
      </c>
      <c r="QJ306" s="1" t="e">
        <v>#N/A</v>
      </c>
      <c r="QK306" s="1" t="e">
        <v>#N/A</v>
      </c>
      <c r="QL306" s="1" t="e">
        <v>#N/A</v>
      </c>
      <c r="QM306" s="1" t="e">
        <v>#N/A</v>
      </c>
      <c r="QN306" s="1" t="e">
        <v>#N/A</v>
      </c>
      <c r="QO306" s="1" t="e">
        <v>#N/A</v>
      </c>
      <c r="QP306" s="1" t="e">
        <v>#N/A</v>
      </c>
    </row>
    <row r="307" spans="1:458" ht="26.25" x14ac:dyDescent="0.4">
      <c r="A307" s="347"/>
      <c r="B307" s="348"/>
      <c r="C307" s="288"/>
      <c r="D307" s="349"/>
      <c r="E307" s="350"/>
      <c r="F307" s="351"/>
      <c r="G307" s="352"/>
      <c r="H307" s="348"/>
      <c r="I307" s="353"/>
      <c r="J307" s="353"/>
      <c r="PJ307" s="1" t="e">
        <v>#N/A</v>
      </c>
      <c r="PK307" s="1" t="e">
        <v>#N/A</v>
      </c>
      <c r="PL307" s="1" t="e">
        <v>#N/A</v>
      </c>
      <c r="PM307" s="1" t="e">
        <v>#N/A</v>
      </c>
      <c r="PN307" s="1" t="e">
        <v>#N/A</v>
      </c>
      <c r="PO307" s="1" t="e">
        <v>#N/A</v>
      </c>
      <c r="PP307" s="1" t="e">
        <v>#N/A</v>
      </c>
      <c r="PQ307" s="1" t="e">
        <v>#N/A</v>
      </c>
      <c r="PR307" s="1" t="e">
        <v>#N/A</v>
      </c>
      <c r="PS307" s="1" t="e">
        <v>#N/A</v>
      </c>
      <c r="PT307" s="1" t="e">
        <v>#N/A</v>
      </c>
      <c r="PU307" s="1" t="e">
        <v>#N/A</v>
      </c>
      <c r="PV307" s="1" t="e">
        <v>#N/A</v>
      </c>
      <c r="PW307" s="1" t="e">
        <v>#N/A</v>
      </c>
      <c r="PX307" s="1" t="e">
        <v>#N/A</v>
      </c>
      <c r="PY307" s="1" t="e">
        <v>#N/A</v>
      </c>
      <c r="PZ307" s="1" t="e">
        <v>#N/A</v>
      </c>
      <c r="QA307" s="1" t="e">
        <v>#N/A</v>
      </c>
      <c r="QB307" s="1" t="e">
        <v>#N/A</v>
      </c>
      <c r="QC307" s="1" t="e">
        <v>#N/A</v>
      </c>
      <c r="QD307" s="1" t="e">
        <v>#N/A</v>
      </c>
      <c r="QE307" s="1" t="e">
        <v>#N/A</v>
      </c>
      <c r="QF307" s="1" t="e">
        <v>#N/A</v>
      </c>
      <c r="QG307" s="1" t="e">
        <v>#N/A</v>
      </c>
      <c r="QH307" s="1" t="e">
        <v>#N/A</v>
      </c>
      <c r="QI307" s="1" t="e">
        <v>#N/A</v>
      </c>
      <c r="QJ307" s="1" t="e">
        <v>#N/A</v>
      </c>
      <c r="QK307" s="1" t="e">
        <v>#N/A</v>
      </c>
      <c r="QL307" s="1" t="e">
        <v>#N/A</v>
      </c>
      <c r="QM307" s="1" t="e">
        <v>#N/A</v>
      </c>
      <c r="QN307" s="1" t="e">
        <v>#N/A</v>
      </c>
      <c r="QO307" s="1" t="e">
        <v>#N/A</v>
      </c>
      <c r="QP307" s="1" t="e">
        <v>#N/A</v>
      </c>
    </row>
    <row r="308" spans="1:458" ht="26.25" x14ac:dyDescent="0.4">
      <c r="A308" s="347"/>
      <c r="B308" s="348"/>
      <c r="C308" s="288"/>
      <c r="D308" s="349"/>
      <c r="E308" s="350"/>
      <c r="F308" s="351"/>
      <c r="G308" s="352"/>
      <c r="H308" s="348"/>
      <c r="I308" s="353"/>
      <c r="J308" s="353"/>
      <c r="PJ308" s="1" t="e">
        <v>#N/A</v>
      </c>
      <c r="PK308" s="1" t="e">
        <v>#N/A</v>
      </c>
      <c r="PL308" s="1" t="e">
        <v>#N/A</v>
      </c>
      <c r="PM308" s="1" t="e">
        <v>#N/A</v>
      </c>
      <c r="PN308" s="1" t="e">
        <v>#N/A</v>
      </c>
      <c r="PO308" s="1" t="e">
        <v>#N/A</v>
      </c>
      <c r="PP308" s="1" t="e">
        <v>#N/A</v>
      </c>
      <c r="PQ308" s="1" t="e">
        <v>#N/A</v>
      </c>
      <c r="PR308" s="1" t="e">
        <v>#N/A</v>
      </c>
      <c r="PS308" s="1" t="e">
        <v>#N/A</v>
      </c>
      <c r="PT308" s="1" t="e">
        <v>#N/A</v>
      </c>
      <c r="PU308" s="1" t="e">
        <v>#N/A</v>
      </c>
      <c r="PV308" s="1" t="e">
        <v>#N/A</v>
      </c>
      <c r="PW308" s="1" t="e">
        <v>#N/A</v>
      </c>
      <c r="PX308" s="1" t="e">
        <v>#N/A</v>
      </c>
      <c r="PY308" s="1" t="e">
        <v>#N/A</v>
      </c>
      <c r="PZ308" s="1" t="e">
        <v>#N/A</v>
      </c>
      <c r="QA308" s="1" t="e">
        <v>#N/A</v>
      </c>
      <c r="QB308" s="1" t="e">
        <v>#N/A</v>
      </c>
      <c r="QC308" s="1" t="e">
        <v>#N/A</v>
      </c>
      <c r="QD308" s="1" t="e">
        <v>#N/A</v>
      </c>
      <c r="QE308" s="1" t="e">
        <v>#N/A</v>
      </c>
      <c r="QF308" s="1" t="e">
        <v>#N/A</v>
      </c>
      <c r="QG308" s="1" t="e">
        <v>#N/A</v>
      </c>
      <c r="QH308" s="1" t="e">
        <v>#N/A</v>
      </c>
      <c r="QI308" s="1" t="e">
        <v>#N/A</v>
      </c>
      <c r="QJ308" s="1" t="e">
        <v>#N/A</v>
      </c>
      <c r="QK308" s="1" t="e">
        <v>#N/A</v>
      </c>
      <c r="QL308" s="1" t="e">
        <v>#N/A</v>
      </c>
      <c r="QM308" s="1" t="e">
        <v>#N/A</v>
      </c>
      <c r="QN308" s="1" t="e">
        <v>#N/A</v>
      </c>
      <c r="QO308" s="1" t="e">
        <v>#N/A</v>
      </c>
      <c r="QP308" s="1" t="e">
        <v>#N/A</v>
      </c>
    </row>
    <row r="309" spans="1:458" ht="26.25" x14ac:dyDescent="0.4">
      <c r="A309" s="347"/>
      <c r="B309" s="348"/>
      <c r="C309" s="288"/>
      <c r="D309" s="349"/>
      <c r="E309" s="350"/>
      <c r="F309" s="351"/>
      <c r="G309" s="352"/>
      <c r="H309" s="348"/>
      <c r="I309" s="353"/>
      <c r="J309" s="353"/>
      <c r="PJ309" s="1" t="e">
        <v>#N/A</v>
      </c>
      <c r="PK309" s="1" t="e">
        <v>#N/A</v>
      </c>
      <c r="PL309" s="1" t="e">
        <v>#N/A</v>
      </c>
      <c r="PM309" s="1" t="e">
        <v>#N/A</v>
      </c>
      <c r="PN309" s="1" t="e">
        <v>#N/A</v>
      </c>
      <c r="PO309" s="1" t="e">
        <v>#N/A</v>
      </c>
      <c r="PP309" s="1" t="e">
        <v>#N/A</v>
      </c>
      <c r="PQ309" s="1" t="e">
        <v>#N/A</v>
      </c>
      <c r="PR309" s="1" t="e">
        <v>#N/A</v>
      </c>
      <c r="PS309" s="1" t="e">
        <v>#N/A</v>
      </c>
      <c r="PT309" s="1" t="e">
        <v>#N/A</v>
      </c>
      <c r="PU309" s="1" t="e">
        <v>#N/A</v>
      </c>
      <c r="PV309" s="1" t="e">
        <v>#N/A</v>
      </c>
      <c r="PW309" s="1" t="e">
        <v>#N/A</v>
      </c>
      <c r="PX309" s="1" t="e">
        <v>#N/A</v>
      </c>
      <c r="PY309" s="1" t="e">
        <v>#N/A</v>
      </c>
      <c r="PZ309" s="1" t="e">
        <v>#N/A</v>
      </c>
      <c r="QA309" s="1" t="e">
        <v>#N/A</v>
      </c>
      <c r="QB309" s="1" t="e">
        <v>#N/A</v>
      </c>
      <c r="QC309" s="1" t="e">
        <v>#N/A</v>
      </c>
      <c r="QD309" s="1" t="e">
        <v>#N/A</v>
      </c>
      <c r="QE309" s="1" t="e">
        <v>#N/A</v>
      </c>
      <c r="QF309" s="1" t="e">
        <v>#N/A</v>
      </c>
      <c r="QG309" s="1" t="e">
        <v>#N/A</v>
      </c>
      <c r="QH309" s="1" t="e">
        <v>#N/A</v>
      </c>
      <c r="QI309" s="1" t="e">
        <v>#N/A</v>
      </c>
      <c r="QJ309" s="1" t="e">
        <v>#N/A</v>
      </c>
      <c r="QK309" s="1" t="e">
        <v>#N/A</v>
      </c>
      <c r="QL309" s="1" t="e">
        <v>#N/A</v>
      </c>
      <c r="QM309" s="1" t="e">
        <v>#N/A</v>
      </c>
      <c r="QN309" s="1" t="e">
        <v>#N/A</v>
      </c>
      <c r="QO309" s="1" t="e">
        <v>#N/A</v>
      </c>
      <c r="QP309" s="1" t="e">
        <v>#N/A</v>
      </c>
    </row>
    <row r="310" spans="1:458" ht="26.25" x14ac:dyDescent="0.4">
      <c r="A310" s="347"/>
      <c r="B310" s="348"/>
      <c r="C310" s="288"/>
      <c r="D310" s="349"/>
      <c r="E310" s="350"/>
      <c r="F310" s="351"/>
      <c r="G310" s="352"/>
      <c r="H310" s="348"/>
      <c r="I310" s="353"/>
      <c r="J310" s="353"/>
      <c r="PJ310" s="1" t="e">
        <v>#N/A</v>
      </c>
      <c r="PK310" s="1" t="e">
        <v>#N/A</v>
      </c>
      <c r="PL310" s="1" t="e">
        <v>#N/A</v>
      </c>
      <c r="PM310" s="1" t="e">
        <v>#N/A</v>
      </c>
      <c r="PN310" s="1" t="e">
        <v>#N/A</v>
      </c>
      <c r="PO310" s="1" t="e">
        <v>#N/A</v>
      </c>
      <c r="PP310" s="1" t="e">
        <v>#N/A</v>
      </c>
      <c r="PQ310" s="1" t="e">
        <v>#N/A</v>
      </c>
      <c r="PR310" s="1" t="e">
        <v>#N/A</v>
      </c>
      <c r="PS310" s="1" t="e">
        <v>#N/A</v>
      </c>
      <c r="PT310" s="1" t="e">
        <v>#N/A</v>
      </c>
      <c r="PU310" s="1" t="e">
        <v>#N/A</v>
      </c>
      <c r="PV310" s="1" t="e">
        <v>#N/A</v>
      </c>
      <c r="PW310" s="1" t="e">
        <v>#N/A</v>
      </c>
      <c r="PX310" s="1" t="e">
        <v>#N/A</v>
      </c>
      <c r="PY310" s="1" t="e">
        <v>#N/A</v>
      </c>
      <c r="PZ310" s="1" t="e">
        <v>#N/A</v>
      </c>
      <c r="QA310" s="1" t="e">
        <v>#N/A</v>
      </c>
      <c r="QB310" s="1" t="e">
        <v>#N/A</v>
      </c>
      <c r="QC310" s="1" t="e">
        <v>#N/A</v>
      </c>
      <c r="QD310" s="1" t="e">
        <v>#N/A</v>
      </c>
      <c r="QE310" s="1" t="e">
        <v>#N/A</v>
      </c>
      <c r="QF310" s="1" t="e">
        <v>#N/A</v>
      </c>
      <c r="QG310" s="1" t="e">
        <v>#N/A</v>
      </c>
      <c r="QH310" s="1" t="e">
        <v>#N/A</v>
      </c>
      <c r="QI310" s="1" t="e">
        <v>#N/A</v>
      </c>
      <c r="QJ310" s="1" t="e">
        <v>#N/A</v>
      </c>
      <c r="QK310" s="1" t="e">
        <v>#N/A</v>
      </c>
      <c r="QL310" s="1" t="e">
        <v>#N/A</v>
      </c>
      <c r="QM310" s="1" t="e">
        <v>#N/A</v>
      </c>
      <c r="QN310" s="1" t="e">
        <v>#N/A</v>
      </c>
      <c r="QO310" s="1" t="e">
        <v>#N/A</v>
      </c>
      <c r="QP310" s="1" t="e">
        <v>#N/A</v>
      </c>
    </row>
    <row r="311" spans="1:458" ht="26.25" x14ac:dyDescent="0.4">
      <c r="A311" s="347"/>
      <c r="B311" s="348"/>
      <c r="C311" s="288"/>
      <c r="D311" s="349"/>
      <c r="E311" s="350"/>
      <c r="F311" s="351"/>
      <c r="G311" s="352"/>
      <c r="H311" s="348"/>
      <c r="I311" s="353"/>
      <c r="J311" s="353"/>
      <c r="PJ311" s="1" t="e">
        <v>#N/A</v>
      </c>
      <c r="PK311" s="1" t="e">
        <v>#N/A</v>
      </c>
      <c r="PL311" s="1" t="e">
        <v>#N/A</v>
      </c>
      <c r="PM311" s="1" t="e">
        <v>#N/A</v>
      </c>
      <c r="PN311" s="1" t="e">
        <v>#N/A</v>
      </c>
      <c r="PO311" s="1" t="e">
        <v>#N/A</v>
      </c>
      <c r="PP311" s="1" t="e">
        <v>#N/A</v>
      </c>
      <c r="PQ311" s="1" t="e">
        <v>#N/A</v>
      </c>
      <c r="PR311" s="1" t="e">
        <v>#N/A</v>
      </c>
      <c r="PS311" s="1" t="e">
        <v>#N/A</v>
      </c>
      <c r="PT311" s="1" t="e">
        <v>#N/A</v>
      </c>
      <c r="PU311" s="1" t="e">
        <v>#N/A</v>
      </c>
      <c r="PV311" s="1" t="e">
        <v>#N/A</v>
      </c>
      <c r="PW311" s="1" t="e">
        <v>#N/A</v>
      </c>
      <c r="PX311" s="1" t="e">
        <v>#N/A</v>
      </c>
      <c r="PY311" s="1" t="e">
        <v>#N/A</v>
      </c>
      <c r="PZ311" s="1" t="e">
        <v>#N/A</v>
      </c>
      <c r="QA311" s="1" t="e">
        <v>#N/A</v>
      </c>
      <c r="QB311" s="1" t="e">
        <v>#N/A</v>
      </c>
      <c r="QC311" s="1" t="e">
        <v>#N/A</v>
      </c>
      <c r="QD311" s="1" t="e">
        <v>#N/A</v>
      </c>
      <c r="QE311" s="1" t="e">
        <v>#N/A</v>
      </c>
      <c r="QF311" s="1" t="e">
        <v>#N/A</v>
      </c>
      <c r="QG311" s="1" t="e">
        <v>#N/A</v>
      </c>
      <c r="QH311" s="1" t="e">
        <v>#N/A</v>
      </c>
      <c r="QI311" s="1" t="e">
        <v>#N/A</v>
      </c>
      <c r="QJ311" s="1" t="e">
        <v>#N/A</v>
      </c>
      <c r="QK311" s="1" t="e">
        <v>#N/A</v>
      </c>
      <c r="QL311" s="1" t="e">
        <v>#N/A</v>
      </c>
      <c r="QM311" s="1" t="e">
        <v>#N/A</v>
      </c>
      <c r="QN311" s="1" t="e">
        <v>#N/A</v>
      </c>
      <c r="QO311" s="1" t="e">
        <v>#N/A</v>
      </c>
      <c r="QP311" s="1" t="e">
        <v>#N/A</v>
      </c>
    </row>
    <row r="312" spans="1:458" ht="26.25" x14ac:dyDescent="0.4">
      <c r="A312" s="347"/>
      <c r="B312" s="348"/>
      <c r="C312" s="288"/>
      <c r="D312" s="349"/>
      <c r="E312" s="350"/>
      <c r="F312" s="351"/>
      <c r="G312" s="352"/>
      <c r="H312" s="348"/>
      <c r="I312" s="353"/>
      <c r="J312" s="353"/>
      <c r="PJ312" s="1" t="e">
        <v>#N/A</v>
      </c>
      <c r="PK312" s="1" t="e">
        <v>#N/A</v>
      </c>
      <c r="PL312" s="1" t="e">
        <v>#N/A</v>
      </c>
      <c r="PM312" s="1" t="e">
        <v>#N/A</v>
      </c>
      <c r="PN312" s="1" t="e">
        <v>#N/A</v>
      </c>
      <c r="PO312" s="1" t="e">
        <v>#N/A</v>
      </c>
      <c r="PP312" s="1" t="e">
        <v>#N/A</v>
      </c>
      <c r="PQ312" s="1" t="e">
        <v>#N/A</v>
      </c>
      <c r="PR312" s="1" t="e">
        <v>#N/A</v>
      </c>
      <c r="PS312" s="1" t="e">
        <v>#N/A</v>
      </c>
      <c r="PT312" s="1" t="e">
        <v>#N/A</v>
      </c>
      <c r="PU312" s="1" t="e">
        <v>#N/A</v>
      </c>
      <c r="PV312" s="1" t="e">
        <v>#N/A</v>
      </c>
      <c r="PW312" s="1" t="e">
        <v>#N/A</v>
      </c>
      <c r="PX312" s="1" t="e">
        <v>#N/A</v>
      </c>
      <c r="PY312" s="1" t="e">
        <v>#N/A</v>
      </c>
      <c r="PZ312" s="1" t="e">
        <v>#N/A</v>
      </c>
      <c r="QA312" s="1" t="e">
        <v>#N/A</v>
      </c>
      <c r="QB312" s="1" t="e">
        <v>#N/A</v>
      </c>
      <c r="QC312" s="1" t="e">
        <v>#N/A</v>
      </c>
      <c r="QD312" s="1" t="e">
        <v>#N/A</v>
      </c>
      <c r="QE312" s="1" t="e">
        <v>#N/A</v>
      </c>
      <c r="QF312" s="1" t="e">
        <v>#N/A</v>
      </c>
      <c r="QG312" s="1" t="e">
        <v>#N/A</v>
      </c>
      <c r="QH312" s="1" t="e">
        <v>#N/A</v>
      </c>
      <c r="QI312" s="1" t="e">
        <v>#N/A</v>
      </c>
      <c r="QJ312" s="1" t="e">
        <v>#N/A</v>
      </c>
      <c r="QK312" s="1" t="e">
        <v>#N/A</v>
      </c>
      <c r="QL312" s="1" t="e">
        <v>#N/A</v>
      </c>
      <c r="QM312" s="1" t="e">
        <v>#N/A</v>
      </c>
      <c r="QN312" s="1" t="e">
        <v>#N/A</v>
      </c>
      <c r="QO312" s="1" t="e">
        <v>#N/A</v>
      </c>
      <c r="QP312" s="1" t="e">
        <v>#N/A</v>
      </c>
    </row>
    <row r="313" spans="1:458" ht="26.25" x14ac:dyDescent="0.4">
      <c r="A313" s="347"/>
      <c r="B313" s="348"/>
      <c r="C313" s="288"/>
      <c r="D313" s="349"/>
      <c r="E313" s="350"/>
      <c r="F313" s="351"/>
      <c r="G313" s="352"/>
      <c r="H313" s="348"/>
      <c r="I313" s="353"/>
      <c r="J313" s="353"/>
      <c r="PJ313" s="1" t="e">
        <v>#N/A</v>
      </c>
      <c r="PK313" s="1" t="e">
        <v>#N/A</v>
      </c>
      <c r="PL313" s="1" t="e">
        <v>#N/A</v>
      </c>
      <c r="PM313" s="1" t="e">
        <v>#N/A</v>
      </c>
      <c r="PN313" s="1" t="e">
        <v>#N/A</v>
      </c>
      <c r="PO313" s="1" t="e">
        <v>#N/A</v>
      </c>
      <c r="PP313" s="1" t="e">
        <v>#N/A</v>
      </c>
      <c r="PQ313" s="1" t="e">
        <v>#N/A</v>
      </c>
      <c r="PR313" s="1" t="e">
        <v>#N/A</v>
      </c>
      <c r="PS313" s="1" t="e">
        <v>#N/A</v>
      </c>
      <c r="PT313" s="1" t="e">
        <v>#N/A</v>
      </c>
      <c r="PU313" s="1" t="e">
        <v>#N/A</v>
      </c>
      <c r="PV313" s="1" t="e">
        <v>#N/A</v>
      </c>
      <c r="PW313" s="1" t="e">
        <v>#N/A</v>
      </c>
      <c r="PX313" s="1" t="e">
        <v>#N/A</v>
      </c>
      <c r="PY313" s="1" t="e">
        <v>#N/A</v>
      </c>
      <c r="PZ313" s="1" t="e">
        <v>#N/A</v>
      </c>
      <c r="QA313" s="1" t="e">
        <v>#N/A</v>
      </c>
      <c r="QB313" s="1" t="e">
        <v>#N/A</v>
      </c>
      <c r="QC313" s="1" t="e">
        <v>#N/A</v>
      </c>
      <c r="QD313" s="1" t="e">
        <v>#N/A</v>
      </c>
      <c r="QE313" s="1" t="e">
        <v>#N/A</v>
      </c>
      <c r="QF313" s="1" t="e">
        <v>#N/A</v>
      </c>
      <c r="QG313" s="1" t="e">
        <v>#N/A</v>
      </c>
      <c r="QH313" s="1" t="e">
        <v>#N/A</v>
      </c>
      <c r="QI313" s="1" t="e">
        <v>#N/A</v>
      </c>
      <c r="QJ313" s="1" t="e">
        <v>#N/A</v>
      </c>
      <c r="QK313" s="1" t="e">
        <v>#N/A</v>
      </c>
      <c r="QL313" s="1" t="e">
        <v>#N/A</v>
      </c>
      <c r="QM313" s="1" t="e">
        <v>#N/A</v>
      </c>
      <c r="QN313" s="1" t="e">
        <v>#N/A</v>
      </c>
      <c r="QO313" s="1" t="e">
        <v>#N/A</v>
      </c>
      <c r="QP313" s="1" t="e">
        <v>#N/A</v>
      </c>
    </row>
    <row r="314" spans="1:458" ht="26.25" x14ac:dyDescent="0.4">
      <c r="A314" s="347"/>
      <c r="B314" s="348"/>
      <c r="C314" s="288"/>
      <c r="D314" s="349"/>
      <c r="E314" s="350"/>
      <c r="F314" s="351"/>
      <c r="G314" s="352"/>
      <c r="H314" s="348"/>
      <c r="I314" s="353"/>
      <c r="J314" s="353"/>
      <c r="PJ314" s="1" t="e">
        <v>#N/A</v>
      </c>
      <c r="PK314" s="1" t="e">
        <v>#N/A</v>
      </c>
      <c r="PL314" s="1" t="e">
        <v>#N/A</v>
      </c>
      <c r="PM314" s="1" t="e">
        <v>#N/A</v>
      </c>
      <c r="PN314" s="1" t="e">
        <v>#N/A</v>
      </c>
      <c r="PO314" s="1" t="e">
        <v>#N/A</v>
      </c>
      <c r="PP314" s="1" t="e">
        <v>#N/A</v>
      </c>
      <c r="PQ314" s="1" t="e">
        <v>#N/A</v>
      </c>
      <c r="PR314" s="1" t="e">
        <v>#N/A</v>
      </c>
      <c r="PS314" s="1" t="e">
        <v>#N/A</v>
      </c>
      <c r="PT314" s="1" t="e">
        <v>#N/A</v>
      </c>
      <c r="PU314" s="1" t="e">
        <v>#N/A</v>
      </c>
      <c r="PV314" s="1" t="e">
        <v>#N/A</v>
      </c>
      <c r="PW314" s="1" t="e">
        <v>#N/A</v>
      </c>
      <c r="PX314" s="1" t="e">
        <v>#N/A</v>
      </c>
      <c r="PY314" s="1" t="e">
        <v>#N/A</v>
      </c>
      <c r="PZ314" s="1" t="e">
        <v>#N/A</v>
      </c>
      <c r="QA314" s="1" t="e">
        <v>#N/A</v>
      </c>
      <c r="QB314" s="1" t="e">
        <v>#N/A</v>
      </c>
      <c r="QC314" s="1" t="e">
        <v>#N/A</v>
      </c>
      <c r="QD314" s="1" t="e">
        <v>#N/A</v>
      </c>
      <c r="QE314" s="1" t="e">
        <v>#N/A</v>
      </c>
      <c r="QF314" s="1" t="e">
        <v>#N/A</v>
      </c>
      <c r="QG314" s="1" t="e">
        <v>#N/A</v>
      </c>
      <c r="QH314" s="1" t="e">
        <v>#N/A</v>
      </c>
      <c r="QI314" s="1" t="e">
        <v>#N/A</v>
      </c>
      <c r="QJ314" s="1" t="e">
        <v>#N/A</v>
      </c>
      <c r="QK314" s="1" t="e">
        <v>#N/A</v>
      </c>
      <c r="QL314" s="1" t="e">
        <v>#N/A</v>
      </c>
      <c r="QM314" s="1" t="e">
        <v>#N/A</v>
      </c>
      <c r="QN314" s="1" t="e">
        <v>#N/A</v>
      </c>
      <c r="QO314" s="1" t="e">
        <v>#N/A</v>
      </c>
      <c r="QP314" s="1" t="e">
        <v>#N/A</v>
      </c>
    </row>
    <row r="315" spans="1:458" ht="26.25" x14ac:dyDescent="0.4">
      <c r="A315" s="347"/>
      <c r="B315" s="348"/>
      <c r="C315" s="288"/>
      <c r="D315" s="349"/>
      <c r="E315" s="350"/>
      <c r="F315" s="351"/>
      <c r="G315" s="352"/>
      <c r="H315" s="348"/>
      <c r="I315" s="353"/>
      <c r="J315" s="353"/>
      <c r="PJ315" s="1" t="e">
        <v>#N/A</v>
      </c>
      <c r="PK315" s="1" t="e">
        <v>#N/A</v>
      </c>
      <c r="PL315" s="1" t="e">
        <v>#N/A</v>
      </c>
      <c r="PM315" s="1" t="e">
        <v>#N/A</v>
      </c>
      <c r="PN315" s="1" t="e">
        <v>#N/A</v>
      </c>
      <c r="PO315" s="1" t="e">
        <v>#N/A</v>
      </c>
      <c r="PP315" s="1" t="e">
        <v>#N/A</v>
      </c>
      <c r="PQ315" s="1" t="e">
        <v>#N/A</v>
      </c>
      <c r="PR315" s="1" t="e">
        <v>#N/A</v>
      </c>
      <c r="PS315" s="1" t="e">
        <v>#N/A</v>
      </c>
      <c r="PT315" s="1" t="e">
        <v>#N/A</v>
      </c>
      <c r="PU315" s="1" t="e">
        <v>#N/A</v>
      </c>
      <c r="PV315" s="1" t="e">
        <v>#N/A</v>
      </c>
      <c r="PW315" s="1" t="e">
        <v>#N/A</v>
      </c>
      <c r="PX315" s="1" t="e">
        <v>#N/A</v>
      </c>
      <c r="PY315" s="1" t="e">
        <v>#N/A</v>
      </c>
      <c r="PZ315" s="1" t="e">
        <v>#N/A</v>
      </c>
      <c r="QA315" s="1" t="e">
        <v>#N/A</v>
      </c>
      <c r="QB315" s="1" t="e">
        <v>#N/A</v>
      </c>
      <c r="QC315" s="1" t="e">
        <v>#N/A</v>
      </c>
      <c r="QD315" s="1" t="e">
        <v>#N/A</v>
      </c>
      <c r="QE315" s="1" t="e">
        <v>#N/A</v>
      </c>
      <c r="QF315" s="1" t="e">
        <v>#N/A</v>
      </c>
      <c r="QG315" s="1" t="e">
        <v>#N/A</v>
      </c>
      <c r="QH315" s="1" t="e">
        <v>#N/A</v>
      </c>
      <c r="QI315" s="1" t="e">
        <v>#N/A</v>
      </c>
      <c r="QJ315" s="1" t="e">
        <v>#N/A</v>
      </c>
      <c r="QK315" s="1" t="e">
        <v>#N/A</v>
      </c>
      <c r="QL315" s="1" t="e">
        <v>#N/A</v>
      </c>
      <c r="QM315" s="1" t="e">
        <v>#N/A</v>
      </c>
      <c r="QN315" s="1" t="e">
        <v>#N/A</v>
      </c>
      <c r="QO315" s="1" t="e">
        <v>#N/A</v>
      </c>
      <c r="QP315" s="1" t="e">
        <v>#N/A</v>
      </c>
    </row>
    <row r="316" spans="1:458" ht="26.25" x14ac:dyDescent="0.4">
      <c r="A316" s="347"/>
      <c r="B316" s="348"/>
      <c r="C316" s="288"/>
      <c r="D316" s="349"/>
      <c r="E316" s="350"/>
      <c r="F316" s="351"/>
      <c r="G316" s="352"/>
      <c r="H316" s="348"/>
      <c r="I316" s="353"/>
      <c r="J316" s="353"/>
      <c r="PJ316" s="1" t="e">
        <v>#N/A</v>
      </c>
      <c r="PK316" s="1" t="e">
        <v>#N/A</v>
      </c>
      <c r="PL316" s="1" t="e">
        <v>#N/A</v>
      </c>
      <c r="PM316" s="1" t="e">
        <v>#N/A</v>
      </c>
      <c r="PN316" s="1" t="e">
        <v>#N/A</v>
      </c>
      <c r="PO316" s="1" t="e">
        <v>#N/A</v>
      </c>
      <c r="PP316" s="1" t="e">
        <v>#N/A</v>
      </c>
      <c r="PQ316" s="1" t="e">
        <v>#N/A</v>
      </c>
      <c r="PR316" s="1" t="e">
        <v>#N/A</v>
      </c>
      <c r="PS316" s="1" t="e">
        <v>#N/A</v>
      </c>
      <c r="PT316" s="1" t="e">
        <v>#N/A</v>
      </c>
      <c r="PU316" s="1" t="e">
        <v>#N/A</v>
      </c>
      <c r="PV316" s="1" t="e">
        <v>#N/A</v>
      </c>
      <c r="PW316" s="1" t="e">
        <v>#N/A</v>
      </c>
      <c r="PX316" s="1" t="e">
        <v>#N/A</v>
      </c>
      <c r="PY316" s="1" t="e">
        <v>#N/A</v>
      </c>
      <c r="PZ316" s="1" t="e">
        <v>#N/A</v>
      </c>
      <c r="QA316" s="1" t="e">
        <v>#N/A</v>
      </c>
      <c r="QB316" s="1" t="e">
        <v>#N/A</v>
      </c>
      <c r="QC316" s="1" t="e">
        <v>#N/A</v>
      </c>
      <c r="QD316" s="1" t="e">
        <v>#N/A</v>
      </c>
      <c r="QE316" s="1" t="e">
        <v>#N/A</v>
      </c>
      <c r="QF316" s="1" t="e">
        <v>#N/A</v>
      </c>
      <c r="QG316" s="1" t="e">
        <v>#N/A</v>
      </c>
      <c r="QH316" s="1" t="e">
        <v>#N/A</v>
      </c>
      <c r="QI316" s="1" t="e">
        <v>#N/A</v>
      </c>
      <c r="QJ316" s="1" t="e">
        <v>#N/A</v>
      </c>
      <c r="QK316" s="1" t="e">
        <v>#N/A</v>
      </c>
      <c r="QL316" s="1" t="e">
        <v>#N/A</v>
      </c>
      <c r="QM316" s="1" t="e">
        <v>#N/A</v>
      </c>
      <c r="QN316" s="1" t="e">
        <v>#N/A</v>
      </c>
      <c r="QO316" s="1" t="e">
        <v>#N/A</v>
      </c>
      <c r="QP316" s="1" t="e">
        <v>#N/A</v>
      </c>
    </row>
    <row r="317" spans="1:458" ht="26.25" x14ac:dyDescent="0.4">
      <c r="A317" s="347"/>
      <c r="B317" s="348"/>
      <c r="C317" s="288"/>
      <c r="D317" s="349"/>
      <c r="E317" s="350"/>
      <c r="F317" s="351"/>
      <c r="G317" s="352"/>
      <c r="H317" s="348"/>
      <c r="I317" s="353"/>
      <c r="J317" s="353"/>
      <c r="PJ317" s="1" t="e">
        <v>#N/A</v>
      </c>
      <c r="PK317" s="1" t="e">
        <v>#N/A</v>
      </c>
      <c r="PL317" s="1" t="e">
        <v>#N/A</v>
      </c>
      <c r="PM317" s="1" t="e">
        <v>#N/A</v>
      </c>
      <c r="PN317" s="1" t="e">
        <v>#N/A</v>
      </c>
      <c r="PO317" s="1" t="e">
        <v>#N/A</v>
      </c>
      <c r="PP317" s="1" t="e">
        <v>#N/A</v>
      </c>
      <c r="PQ317" s="1" t="e">
        <v>#N/A</v>
      </c>
      <c r="PR317" s="1" t="e">
        <v>#N/A</v>
      </c>
      <c r="PS317" s="1" t="e">
        <v>#N/A</v>
      </c>
      <c r="PT317" s="1" t="e">
        <v>#N/A</v>
      </c>
      <c r="PU317" s="1" t="e">
        <v>#N/A</v>
      </c>
      <c r="PV317" s="1" t="e">
        <v>#N/A</v>
      </c>
      <c r="PW317" s="1" t="e">
        <v>#N/A</v>
      </c>
      <c r="PX317" s="1" t="e">
        <v>#N/A</v>
      </c>
      <c r="PY317" s="1" t="e">
        <v>#N/A</v>
      </c>
      <c r="PZ317" s="1" t="e">
        <v>#N/A</v>
      </c>
      <c r="QA317" s="1" t="e">
        <v>#N/A</v>
      </c>
      <c r="QB317" s="1" t="e">
        <v>#N/A</v>
      </c>
      <c r="QC317" s="1" t="e">
        <v>#N/A</v>
      </c>
      <c r="QD317" s="1" t="e">
        <v>#N/A</v>
      </c>
      <c r="QE317" s="1" t="e">
        <v>#N/A</v>
      </c>
      <c r="QF317" s="1" t="e">
        <v>#N/A</v>
      </c>
      <c r="QG317" s="1" t="e">
        <v>#N/A</v>
      </c>
      <c r="QH317" s="1" t="e">
        <v>#N/A</v>
      </c>
      <c r="QI317" s="1" t="e">
        <v>#N/A</v>
      </c>
      <c r="QJ317" s="1" t="e">
        <v>#N/A</v>
      </c>
      <c r="QK317" s="1" t="e">
        <v>#N/A</v>
      </c>
      <c r="QL317" s="1" t="e">
        <v>#N/A</v>
      </c>
      <c r="QM317" s="1" t="e">
        <v>#N/A</v>
      </c>
      <c r="QN317" s="1" t="e">
        <v>#N/A</v>
      </c>
      <c r="QO317" s="1" t="e">
        <v>#N/A</v>
      </c>
      <c r="QP317" s="1" t="e">
        <v>#N/A</v>
      </c>
    </row>
    <row r="318" spans="1:458" ht="26.25" x14ac:dyDescent="0.4">
      <c r="A318" s="347"/>
      <c r="B318" s="348"/>
      <c r="C318" s="288"/>
      <c r="D318" s="349"/>
      <c r="E318" s="350"/>
      <c r="F318" s="351"/>
      <c r="G318" s="352"/>
      <c r="H318" s="348"/>
      <c r="I318" s="353"/>
      <c r="J318" s="353"/>
      <c r="PJ318" s="1" t="e">
        <v>#N/A</v>
      </c>
      <c r="PK318" s="1" t="e">
        <v>#N/A</v>
      </c>
      <c r="PL318" s="1" t="e">
        <v>#N/A</v>
      </c>
      <c r="PM318" s="1" t="e">
        <v>#N/A</v>
      </c>
      <c r="PN318" s="1" t="e">
        <v>#N/A</v>
      </c>
      <c r="PO318" s="1" t="e">
        <v>#N/A</v>
      </c>
      <c r="PP318" s="1" t="e">
        <v>#N/A</v>
      </c>
      <c r="PQ318" s="1" t="e">
        <v>#N/A</v>
      </c>
      <c r="PR318" s="1" t="e">
        <v>#N/A</v>
      </c>
      <c r="PS318" s="1" t="e">
        <v>#N/A</v>
      </c>
      <c r="PT318" s="1" t="e">
        <v>#N/A</v>
      </c>
      <c r="PU318" s="1" t="e">
        <v>#N/A</v>
      </c>
      <c r="PV318" s="1" t="e">
        <v>#N/A</v>
      </c>
      <c r="PW318" s="1" t="e">
        <v>#N/A</v>
      </c>
      <c r="PX318" s="1" t="e">
        <v>#N/A</v>
      </c>
      <c r="PY318" s="1" t="e">
        <v>#N/A</v>
      </c>
      <c r="PZ318" s="1" t="e">
        <v>#N/A</v>
      </c>
      <c r="QA318" s="1" t="e">
        <v>#N/A</v>
      </c>
      <c r="QB318" s="1" t="e">
        <v>#N/A</v>
      </c>
      <c r="QC318" s="1" t="e">
        <v>#N/A</v>
      </c>
      <c r="QD318" s="1" t="e">
        <v>#N/A</v>
      </c>
      <c r="QE318" s="1" t="e">
        <v>#N/A</v>
      </c>
      <c r="QF318" s="1" t="e">
        <v>#N/A</v>
      </c>
      <c r="QG318" s="1" t="e">
        <v>#N/A</v>
      </c>
      <c r="QH318" s="1" t="e">
        <v>#N/A</v>
      </c>
      <c r="QI318" s="1" t="e">
        <v>#N/A</v>
      </c>
      <c r="QJ318" s="1" t="e">
        <v>#N/A</v>
      </c>
      <c r="QK318" s="1" t="e">
        <v>#N/A</v>
      </c>
      <c r="QL318" s="1" t="e">
        <v>#N/A</v>
      </c>
      <c r="QM318" s="1" t="e">
        <v>#N/A</v>
      </c>
      <c r="QN318" s="1" t="e">
        <v>#N/A</v>
      </c>
      <c r="QO318" s="1" t="e">
        <v>#N/A</v>
      </c>
      <c r="QP318" s="1" t="e">
        <v>#N/A</v>
      </c>
    </row>
    <row r="319" spans="1:458" ht="26.25" x14ac:dyDescent="0.4">
      <c r="A319" s="347"/>
      <c r="B319" s="348"/>
      <c r="C319" s="288"/>
      <c r="D319" s="349"/>
      <c r="E319" s="350"/>
      <c r="F319" s="351"/>
      <c r="G319" s="352"/>
      <c r="H319" s="348"/>
      <c r="I319" s="353"/>
      <c r="J319" s="353"/>
      <c r="PJ319" s="1" t="e">
        <v>#N/A</v>
      </c>
      <c r="PK319" s="1" t="e">
        <v>#N/A</v>
      </c>
      <c r="PL319" s="1" t="e">
        <v>#N/A</v>
      </c>
      <c r="PM319" s="1" t="e">
        <v>#N/A</v>
      </c>
      <c r="PN319" s="1" t="e">
        <v>#N/A</v>
      </c>
      <c r="PO319" s="1" t="e">
        <v>#N/A</v>
      </c>
      <c r="PP319" s="1" t="e">
        <v>#N/A</v>
      </c>
      <c r="PQ319" s="1" t="e">
        <v>#N/A</v>
      </c>
      <c r="PR319" s="1" t="e">
        <v>#N/A</v>
      </c>
      <c r="PS319" s="1" t="e">
        <v>#N/A</v>
      </c>
      <c r="PT319" s="1" t="e">
        <v>#N/A</v>
      </c>
      <c r="PU319" s="1" t="e">
        <v>#N/A</v>
      </c>
      <c r="PV319" s="1" t="e">
        <v>#N/A</v>
      </c>
      <c r="PW319" s="1" t="e">
        <v>#N/A</v>
      </c>
      <c r="PX319" s="1" t="e">
        <v>#N/A</v>
      </c>
      <c r="PY319" s="1" t="e">
        <v>#N/A</v>
      </c>
      <c r="PZ319" s="1" t="e">
        <v>#N/A</v>
      </c>
      <c r="QA319" s="1" t="e">
        <v>#N/A</v>
      </c>
      <c r="QB319" s="1" t="e">
        <v>#N/A</v>
      </c>
      <c r="QC319" s="1" t="e">
        <v>#N/A</v>
      </c>
      <c r="QD319" s="1" t="e">
        <v>#N/A</v>
      </c>
      <c r="QE319" s="1" t="e">
        <v>#N/A</v>
      </c>
      <c r="QF319" s="1" t="e">
        <v>#N/A</v>
      </c>
      <c r="QG319" s="1" t="e">
        <v>#N/A</v>
      </c>
      <c r="QH319" s="1" t="e">
        <v>#N/A</v>
      </c>
      <c r="QI319" s="1" t="e">
        <v>#N/A</v>
      </c>
      <c r="QJ319" s="1" t="e">
        <v>#N/A</v>
      </c>
      <c r="QK319" s="1" t="e">
        <v>#N/A</v>
      </c>
      <c r="QL319" s="1" t="e">
        <v>#N/A</v>
      </c>
      <c r="QM319" s="1" t="e">
        <v>#N/A</v>
      </c>
      <c r="QN319" s="1" t="e">
        <v>#N/A</v>
      </c>
      <c r="QO319" s="1" t="e">
        <v>#N/A</v>
      </c>
      <c r="QP319" s="1" t="e">
        <v>#N/A</v>
      </c>
    </row>
    <row r="320" spans="1:458" ht="26.25" x14ac:dyDescent="0.4">
      <c r="A320" s="347"/>
      <c r="B320" s="348"/>
      <c r="C320" s="288"/>
      <c r="D320" s="349"/>
      <c r="E320" s="350"/>
      <c r="F320" s="351"/>
      <c r="G320" s="352"/>
      <c r="H320" s="348"/>
      <c r="I320" s="353"/>
      <c r="J320" s="353"/>
      <c r="PJ320" s="1" t="e">
        <v>#N/A</v>
      </c>
      <c r="PK320" s="1" t="e">
        <v>#N/A</v>
      </c>
      <c r="PL320" s="1" t="e">
        <v>#N/A</v>
      </c>
      <c r="PM320" s="1" t="e">
        <v>#N/A</v>
      </c>
      <c r="PN320" s="1" t="e">
        <v>#N/A</v>
      </c>
      <c r="PO320" s="1" t="e">
        <v>#N/A</v>
      </c>
      <c r="PP320" s="1" t="e">
        <v>#N/A</v>
      </c>
      <c r="PQ320" s="1" t="e">
        <v>#N/A</v>
      </c>
      <c r="PR320" s="1" t="e">
        <v>#N/A</v>
      </c>
      <c r="PS320" s="1" t="e">
        <v>#N/A</v>
      </c>
      <c r="PT320" s="1" t="e">
        <v>#N/A</v>
      </c>
      <c r="PU320" s="1" t="e">
        <v>#N/A</v>
      </c>
      <c r="PV320" s="1" t="e">
        <v>#N/A</v>
      </c>
      <c r="PW320" s="1" t="e">
        <v>#N/A</v>
      </c>
      <c r="PX320" s="1" t="e">
        <v>#N/A</v>
      </c>
      <c r="PY320" s="1" t="e">
        <v>#N/A</v>
      </c>
      <c r="PZ320" s="1" t="e">
        <v>#N/A</v>
      </c>
      <c r="QA320" s="1" t="e">
        <v>#N/A</v>
      </c>
      <c r="QB320" s="1" t="e">
        <v>#N/A</v>
      </c>
      <c r="QC320" s="1" t="e">
        <v>#N/A</v>
      </c>
      <c r="QD320" s="1" t="e">
        <v>#N/A</v>
      </c>
      <c r="QE320" s="1" t="e">
        <v>#N/A</v>
      </c>
      <c r="QF320" s="1" t="e">
        <v>#N/A</v>
      </c>
      <c r="QG320" s="1" t="e">
        <v>#N/A</v>
      </c>
      <c r="QH320" s="1" t="e">
        <v>#N/A</v>
      </c>
      <c r="QI320" s="1" t="e">
        <v>#N/A</v>
      </c>
      <c r="QJ320" s="1" t="e">
        <v>#N/A</v>
      </c>
      <c r="QK320" s="1" t="e">
        <v>#N/A</v>
      </c>
      <c r="QL320" s="1" t="e">
        <v>#N/A</v>
      </c>
      <c r="QM320" s="1" t="e">
        <v>#N/A</v>
      </c>
      <c r="QN320" s="1" t="e">
        <v>#N/A</v>
      </c>
      <c r="QO320" s="1" t="e">
        <v>#N/A</v>
      </c>
      <c r="QP320" s="1" t="e">
        <v>#N/A</v>
      </c>
    </row>
    <row r="321" spans="1:458" ht="26.25" x14ac:dyDescent="0.4">
      <c r="A321" s="347"/>
      <c r="B321" s="348"/>
      <c r="C321" s="288"/>
      <c r="D321" s="349"/>
      <c r="E321" s="350"/>
      <c r="F321" s="351"/>
      <c r="G321" s="352"/>
      <c r="H321" s="348"/>
      <c r="I321" s="353"/>
      <c r="J321" s="353"/>
      <c r="PJ321" s="1" t="e">
        <v>#N/A</v>
      </c>
      <c r="PK321" s="1" t="e">
        <v>#N/A</v>
      </c>
      <c r="PL321" s="1" t="e">
        <v>#N/A</v>
      </c>
      <c r="PM321" s="1" t="e">
        <v>#N/A</v>
      </c>
      <c r="PN321" s="1" t="e">
        <v>#N/A</v>
      </c>
      <c r="PO321" s="1" t="e">
        <v>#N/A</v>
      </c>
      <c r="PP321" s="1" t="e">
        <v>#N/A</v>
      </c>
      <c r="PQ321" s="1" t="e">
        <v>#N/A</v>
      </c>
      <c r="PR321" s="1" t="e">
        <v>#N/A</v>
      </c>
      <c r="PS321" s="1" t="e">
        <v>#N/A</v>
      </c>
      <c r="PT321" s="1" t="e">
        <v>#N/A</v>
      </c>
      <c r="PU321" s="1" t="e">
        <v>#N/A</v>
      </c>
      <c r="PV321" s="1" t="e">
        <v>#N/A</v>
      </c>
      <c r="PW321" s="1" t="e">
        <v>#N/A</v>
      </c>
      <c r="PX321" s="1" t="e">
        <v>#N/A</v>
      </c>
      <c r="PY321" s="1" t="e">
        <v>#N/A</v>
      </c>
      <c r="PZ321" s="1" t="e">
        <v>#N/A</v>
      </c>
      <c r="QA321" s="1" t="e">
        <v>#N/A</v>
      </c>
      <c r="QB321" s="1" t="e">
        <v>#N/A</v>
      </c>
      <c r="QC321" s="1" t="e">
        <v>#N/A</v>
      </c>
      <c r="QD321" s="1" t="e">
        <v>#N/A</v>
      </c>
      <c r="QE321" s="1" t="e">
        <v>#N/A</v>
      </c>
      <c r="QF321" s="1" t="e">
        <v>#N/A</v>
      </c>
      <c r="QG321" s="1" t="e">
        <v>#N/A</v>
      </c>
      <c r="QH321" s="1" t="e">
        <v>#N/A</v>
      </c>
      <c r="QI321" s="1" t="e">
        <v>#N/A</v>
      </c>
      <c r="QJ321" s="1" t="e">
        <v>#N/A</v>
      </c>
      <c r="QK321" s="1" t="e">
        <v>#N/A</v>
      </c>
      <c r="QL321" s="1" t="e">
        <v>#N/A</v>
      </c>
      <c r="QM321" s="1" t="e">
        <v>#N/A</v>
      </c>
      <c r="QN321" s="1" t="e">
        <v>#N/A</v>
      </c>
      <c r="QO321" s="1" t="e">
        <v>#N/A</v>
      </c>
      <c r="QP321" s="1" t="e">
        <v>#N/A</v>
      </c>
    </row>
    <row r="322" spans="1:458" ht="26.25" x14ac:dyDescent="0.4">
      <c r="A322" s="347"/>
      <c r="B322" s="348"/>
      <c r="C322" s="288"/>
      <c r="D322" s="349"/>
      <c r="E322" s="350"/>
      <c r="F322" s="351"/>
      <c r="G322" s="352"/>
      <c r="H322" s="348"/>
      <c r="I322" s="353"/>
      <c r="J322" s="353"/>
      <c r="PJ322" s="1" t="e">
        <v>#N/A</v>
      </c>
      <c r="PK322" s="1" t="e">
        <v>#N/A</v>
      </c>
      <c r="PL322" s="1" t="e">
        <v>#N/A</v>
      </c>
      <c r="PM322" s="1" t="e">
        <v>#N/A</v>
      </c>
      <c r="PN322" s="1" t="e">
        <v>#N/A</v>
      </c>
      <c r="PO322" s="1" t="e">
        <v>#N/A</v>
      </c>
      <c r="PP322" s="1" t="e">
        <v>#N/A</v>
      </c>
      <c r="PQ322" s="1" t="e">
        <v>#N/A</v>
      </c>
      <c r="PR322" s="1" t="e">
        <v>#N/A</v>
      </c>
      <c r="PS322" s="1" t="e">
        <v>#N/A</v>
      </c>
      <c r="PT322" s="1" t="e">
        <v>#N/A</v>
      </c>
      <c r="PU322" s="1" t="e">
        <v>#N/A</v>
      </c>
      <c r="PV322" s="1" t="e">
        <v>#N/A</v>
      </c>
      <c r="PW322" s="1" t="e">
        <v>#N/A</v>
      </c>
      <c r="PX322" s="1" t="e">
        <v>#N/A</v>
      </c>
      <c r="PY322" s="1" t="e">
        <v>#N/A</v>
      </c>
      <c r="PZ322" s="1" t="e">
        <v>#N/A</v>
      </c>
      <c r="QA322" s="1" t="e">
        <v>#N/A</v>
      </c>
      <c r="QB322" s="1" t="e">
        <v>#N/A</v>
      </c>
      <c r="QC322" s="1" t="e">
        <v>#N/A</v>
      </c>
      <c r="QD322" s="1" t="e">
        <v>#N/A</v>
      </c>
      <c r="QE322" s="1" t="e">
        <v>#N/A</v>
      </c>
      <c r="QF322" s="1" t="e">
        <v>#N/A</v>
      </c>
      <c r="QG322" s="1" t="e">
        <v>#N/A</v>
      </c>
      <c r="QH322" s="1" t="e">
        <v>#N/A</v>
      </c>
      <c r="QI322" s="1" t="e">
        <v>#N/A</v>
      </c>
      <c r="QJ322" s="1" t="e">
        <v>#N/A</v>
      </c>
      <c r="QK322" s="1" t="e">
        <v>#N/A</v>
      </c>
      <c r="QL322" s="1" t="e">
        <v>#N/A</v>
      </c>
      <c r="QM322" s="1" t="e">
        <v>#N/A</v>
      </c>
      <c r="QN322" s="1" t="e">
        <v>#N/A</v>
      </c>
      <c r="QO322" s="1" t="e">
        <v>#N/A</v>
      </c>
      <c r="QP322" s="1" t="e">
        <v>#N/A</v>
      </c>
    </row>
    <row r="323" spans="1:458" ht="26.25" x14ac:dyDescent="0.4">
      <c r="A323" s="347"/>
      <c r="B323" s="348"/>
      <c r="C323" s="288"/>
      <c r="D323" s="349"/>
      <c r="E323" s="350"/>
      <c r="F323" s="351"/>
      <c r="G323" s="352"/>
      <c r="H323" s="348"/>
      <c r="I323" s="353"/>
      <c r="J323" s="353"/>
      <c r="PJ323" s="1" t="e">
        <v>#N/A</v>
      </c>
      <c r="PK323" s="1" t="e">
        <v>#N/A</v>
      </c>
      <c r="PL323" s="1" t="e">
        <v>#N/A</v>
      </c>
      <c r="PM323" s="1" t="e">
        <v>#N/A</v>
      </c>
      <c r="PN323" s="1" t="e">
        <v>#N/A</v>
      </c>
      <c r="PO323" s="1" t="e">
        <v>#N/A</v>
      </c>
      <c r="PP323" s="1" t="e">
        <v>#N/A</v>
      </c>
      <c r="PQ323" s="1" t="e">
        <v>#N/A</v>
      </c>
      <c r="PR323" s="1" t="e">
        <v>#N/A</v>
      </c>
      <c r="PS323" s="1" t="e">
        <v>#N/A</v>
      </c>
      <c r="PT323" s="1" t="e">
        <v>#N/A</v>
      </c>
      <c r="PU323" s="1" t="e">
        <v>#N/A</v>
      </c>
      <c r="PV323" s="1" t="e">
        <v>#N/A</v>
      </c>
      <c r="PW323" s="1" t="e">
        <v>#N/A</v>
      </c>
      <c r="PX323" s="1" t="e">
        <v>#N/A</v>
      </c>
      <c r="PY323" s="1" t="e">
        <v>#N/A</v>
      </c>
      <c r="PZ323" s="1" t="e">
        <v>#N/A</v>
      </c>
      <c r="QA323" s="1" t="e">
        <v>#N/A</v>
      </c>
      <c r="QB323" s="1" t="e">
        <v>#N/A</v>
      </c>
      <c r="QC323" s="1" t="e">
        <v>#N/A</v>
      </c>
      <c r="QD323" s="1" t="e">
        <v>#N/A</v>
      </c>
      <c r="QE323" s="1" t="e">
        <v>#N/A</v>
      </c>
      <c r="QF323" s="1" t="e">
        <v>#N/A</v>
      </c>
      <c r="QG323" s="1" t="e">
        <v>#N/A</v>
      </c>
      <c r="QH323" s="1" t="e">
        <v>#N/A</v>
      </c>
      <c r="QI323" s="1" t="e">
        <v>#N/A</v>
      </c>
      <c r="QJ323" s="1" t="e">
        <v>#N/A</v>
      </c>
      <c r="QK323" s="1" t="e">
        <v>#N/A</v>
      </c>
      <c r="QL323" s="1" t="e">
        <v>#N/A</v>
      </c>
      <c r="QM323" s="1" t="e">
        <v>#N/A</v>
      </c>
      <c r="QN323" s="1" t="e">
        <v>#N/A</v>
      </c>
      <c r="QO323" s="1" t="e">
        <v>#N/A</v>
      </c>
      <c r="QP323" s="1" t="e">
        <v>#N/A</v>
      </c>
    </row>
    <row r="324" spans="1:458" ht="26.25" x14ac:dyDescent="0.4">
      <c r="A324" s="347"/>
      <c r="B324" s="348"/>
      <c r="C324" s="288"/>
      <c r="D324" s="349"/>
      <c r="E324" s="350"/>
      <c r="F324" s="351"/>
      <c r="G324" s="352"/>
      <c r="H324" s="348"/>
      <c r="I324" s="353"/>
      <c r="J324" s="353"/>
      <c r="PJ324" s="1" t="e">
        <v>#N/A</v>
      </c>
      <c r="PK324" s="1" t="e">
        <v>#N/A</v>
      </c>
      <c r="PL324" s="1" t="e">
        <v>#N/A</v>
      </c>
      <c r="PM324" s="1" t="e">
        <v>#N/A</v>
      </c>
      <c r="PN324" s="1" t="e">
        <v>#N/A</v>
      </c>
      <c r="PO324" s="1" t="e">
        <v>#N/A</v>
      </c>
      <c r="PP324" s="1" t="e">
        <v>#N/A</v>
      </c>
      <c r="PQ324" s="1" t="e">
        <v>#N/A</v>
      </c>
      <c r="PR324" s="1" t="e">
        <v>#N/A</v>
      </c>
      <c r="PS324" s="1" t="e">
        <v>#N/A</v>
      </c>
      <c r="PT324" s="1" t="e">
        <v>#N/A</v>
      </c>
      <c r="PU324" s="1" t="e">
        <v>#N/A</v>
      </c>
      <c r="PV324" s="1" t="e">
        <v>#N/A</v>
      </c>
      <c r="PW324" s="1" t="e">
        <v>#N/A</v>
      </c>
      <c r="PX324" s="1" t="e">
        <v>#N/A</v>
      </c>
      <c r="PY324" s="1" t="e">
        <v>#N/A</v>
      </c>
      <c r="PZ324" s="1" t="e">
        <v>#N/A</v>
      </c>
      <c r="QA324" s="1" t="e">
        <v>#N/A</v>
      </c>
      <c r="QB324" s="1" t="e">
        <v>#N/A</v>
      </c>
      <c r="QC324" s="1" t="e">
        <v>#N/A</v>
      </c>
      <c r="QD324" s="1" t="e">
        <v>#N/A</v>
      </c>
      <c r="QE324" s="1" t="e">
        <v>#N/A</v>
      </c>
      <c r="QF324" s="1" t="e">
        <v>#N/A</v>
      </c>
      <c r="QG324" s="1" t="e">
        <v>#N/A</v>
      </c>
      <c r="QH324" s="1" t="e">
        <v>#N/A</v>
      </c>
      <c r="QI324" s="1" t="e">
        <v>#N/A</v>
      </c>
      <c r="QJ324" s="1" t="e">
        <v>#N/A</v>
      </c>
      <c r="QK324" s="1" t="e">
        <v>#N/A</v>
      </c>
      <c r="QL324" s="1" t="e">
        <v>#N/A</v>
      </c>
      <c r="QM324" s="1" t="e">
        <v>#N/A</v>
      </c>
      <c r="QN324" s="1" t="e">
        <v>#N/A</v>
      </c>
      <c r="QO324" s="1" t="e">
        <v>#N/A</v>
      </c>
      <c r="QP324" s="1" t="e">
        <v>#N/A</v>
      </c>
    </row>
    <row r="325" spans="1:458" ht="26.25" x14ac:dyDescent="0.4">
      <c r="A325" s="347"/>
      <c r="B325" s="348"/>
      <c r="C325" s="288"/>
      <c r="D325" s="349"/>
      <c r="E325" s="350"/>
      <c r="F325" s="351"/>
      <c r="G325" s="352"/>
      <c r="H325" s="348"/>
      <c r="I325" s="353"/>
      <c r="J325" s="353"/>
      <c r="PJ325" s="1" t="e">
        <v>#N/A</v>
      </c>
      <c r="PK325" s="1" t="e">
        <v>#N/A</v>
      </c>
      <c r="PL325" s="1" t="e">
        <v>#N/A</v>
      </c>
      <c r="PM325" s="1" t="e">
        <v>#N/A</v>
      </c>
      <c r="PN325" s="1" t="e">
        <v>#N/A</v>
      </c>
      <c r="PO325" s="1" t="e">
        <v>#N/A</v>
      </c>
      <c r="PP325" s="1" t="e">
        <v>#N/A</v>
      </c>
      <c r="PQ325" s="1" t="e">
        <v>#N/A</v>
      </c>
      <c r="PR325" s="1" t="e">
        <v>#N/A</v>
      </c>
      <c r="PS325" s="1" t="e">
        <v>#N/A</v>
      </c>
      <c r="PT325" s="1" t="e">
        <v>#N/A</v>
      </c>
      <c r="PU325" s="1" t="e">
        <v>#N/A</v>
      </c>
      <c r="PV325" s="1" t="e">
        <v>#N/A</v>
      </c>
      <c r="PW325" s="1" t="e">
        <v>#N/A</v>
      </c>
      <c r="PX325" s="1" t="e">
        <v>#N/A</v>
      </c>
      <c r="PY325" s="1" t="e">
        <v>#N/A</v>
      </c>
      <c r="PZ325" s="1" t="e">
        <v>#N/A</v>
      </c>
      <c r="QA325" s="1" t="e">
        <v>#N/A</v>
      </c>
      <c r="QB325" s="1" t="e">
        <v>#N/A</v>
      </c>
      <c r="QC325" s="1" t="e">
        <v>#N/A</v>
      </c>
      <c r="QD325" s="1" t="e">
        <v>#N/A</v>
      </c>
      <c r="QE325" s="1" t="e">
        <v>#N/A</v>
      </c>
      <c r="QF325" s="1" t="e">
        <v>#N/A</v>
      </c>
      <c r="QG325" s="1" t="e">
        <v>#N/A</v>
      </c>
      <c r="QH325" s="1" t="e">
        <v>#N/A</v>
      </c>
      <c r="QI325" s="1" t="e">
        <v>#N/A</v>
      </c>
      <c r="QJ325" s="1" t="e">
        <v>#N/A</v>
      </c>
      <c r="QK325" s="1" t="e">
        <v>#N/A</v>
      </c>
      <c r="QL325" s="1" t="e">
        <v>#N/A</v>
      </c>
      <c r="QM325" s="1" t="e">
        <v>#N/A</v>
      </c>
      <c r="QN325" s="1" t="e">
        <v>#N/A</v>
      </c>
      <c r="QO325" s="1" t="e">
        <v>#N/A</v>
      </c>
      <c r="QP325" s="1" t="e">
        <v>#N/A</v>
      </c>
    </row>
    <row r="326" spans="1:458" ht="26.25" x14ac:dyDescent="0.4">
      <c r="A326" s="347"/>
      <c r="B326" s="348"/>
      <c r="C326" s="288"/>
      <c r="D326" s="349"/>
      <c r="E326" s="350"/>
      <c r="F326" s="351"/>
      <c r="G326" s="352"/>
      <c r="H326" s="348"/>
      <c r="I326" s="353"/>
      <c r="J326" s="353"/>
      <c r="PJ326" s="1" t="e">
        <v>#N/A</v>
      </c>
      <c r="PK326" s="1" t="e">
        <v>#N/A</v>
      </c>
      <c r="PL326" s="1" t="e">
        <v>#N/A</v>
      </c>
      <c r="PM326" s="1" t="e">
        <v>#N/A</v>
      </c>
      <c r="PN326" s="1" t="e">
        <v>#N/A</v>
      </c>
      <c r="PO326" s="1" t="e">
        <v>#N/A</v>
      </c>
      <c r="PP326" s="1" t="e">
        <v>#N/A</v>
      </c>
      <c r="PQ326" s="1" t="e">
        <v>#N/A</v>
      </c>
      <c r="PR326" s="1" t="e">
        <v>#N/A</v>
      </c>
      <c r="PS326" s="1" t="e">
        <v>#N/A</v>
      </c>
      <c r="PT326" s="1" t="e">
        <v>#N/A</v>
      </c>
      <c r="PU326" s="1" t="e">
        <v>#N/A</v>
      </c>
      <c r="PV326" s="1" t="e">
        <v>#N/A</v>
      </c>
      <c r="PW326" s="1" t="e">
        <v>#N/A</v>
      </c>
      <c r="PX326" s="1" t="e">
        <v>#N/A</v>
      </c>
      <c r="PY326" s="1" t="e">
        <v>#N/A</v>
      </c>
      <c r="PZ326" s="1" t="e">
        <v>#N/A</v>
      </c>
      <c r="QA326" s="1" t="e">
        <v>#N/A</v>
      </c>
      <c r="QB326" s="1" t="e">
        <v>#N/A</v>
      </c>
      <c r="QC326" s="1" t="e">
        <v>#N/A</v>
      </c>
      <c r="QD326" s="1" t="e">
        <v>#N/A</v>
      </c>
      <c r="QE326" s="1" t="e">
        <v>#N/A</v>
      </c>
      <c r="QF326" s="1" t="e">
        <v>#N/A</v>
      </c>
      <c r="QG326" s="1" t="e">
        <v>#N/A</v>
      </c>
      <c r="QH326" s="1" t="e">
        <v>#N/A</v>
      </c>
      <c r="QI326" s="1" t="e">
        <v>#N/A</v>
      </c>
      <c r="QJ326" s="1" t="e">
        <v>#N/A</v>
      </c>
      <c r="QK326" s="1" t="e">
        <v>#N/A</v>
      </c>
      <c r="QL326" s="1" t="e">
        <v>#N/A</v>
      </c>
      <c r="QM326" s="1" t="e">
        <v>#N/A</v>
      </c>
      <c r="QN326" s="1" t="e">
        <v>#N/A</v>
      </c>
      <c r="QO326" s="1" t="e">
        <v>#N/A</v>
      </c>
      <c r="QP326" s="1" t="e">
        <v>#N/A</v>
      </c>
    </row>
    <row r="327" spans="1:458" ht="26.25" x14ac:dyDescent="0.4">
      <c r="A327" s="347"/>
      <c r="B327" s="348"/>
      <c r="C327" s="288"/>
      <c r="D327" s="349"/>
      <c r="E327" s="350"/>
      <c r="F327" s="351"/>
      <c r="G327" s="352"/>
      <c r="H327" s="348"/>
      <c r="I327" s="353"/>
      <c r="J327" s="353"/>
      <c r="PJ327" s="1" t="e">
        <v>#N/A</v>
      </c>
      <c r="PK327" s="1" t="e">
        <v>#N/A</v>
      </c>
      <c r="PL327" s="1" t="e">
        <v>#N/A</v>
      </c>
      <c r="PM327" s="1" t="e">
        <v>#N/A</v>
      </c>
      <c r="PN327" s="1" t="e">
        <v>#N/A</v>
      </c>
      <c r="PO327" s="1" t="e">
        <v>#N/A</v>
      </c>
      <c r="PP327" s="1" t="e">
        <v>#N/A</v>
      </c>
      <c r="PQ327" s="1" t="e">
        <v>#N/A</v>
      </c>
      <c r="PR327" s="1" t="e">
        <v>#N/A</v>
      </c>
      <c r="PS327" s="1" t="e">
        <v>#N/A</v>
      </c>
      <c r="PT327" s="1" t="e">
        <v>#N/A</v>
      </c>
      <c r="PU327" s="1" t="e">
        <v>#N/A</v>
      </c>
      <c r="PV327" s="1" t="e">
        <v>#N/A</v>
      </c>
      <c r="PW327" s="1" t="e">
        <v>#N/A</v>
      </c>
      <c r="PX327" s="1" t="e">
        <v>#N/A</v>
      </c>
      <c r="PY327" s="1" t="e">
        <v>#N/A</v>
      </c>
      <c r="PZ327" s="1" t="e">
        <v>#N/A</v>
      </c>
      <c r="QA327" s="1" t="e">
        <v>#N/A</v>
      </c>
      <c r="QB327" s="1" t="e">
        <v>#N/A</v>
      </c>
      <c r="QC327" s="1" t="e">
        <v>#N/A</v>
      </c>
      <c r="QD327" s="1" t="e">
        <v>#N/A</v>
      </c>
      <c r="QE327" s="1" t="e">
        <v>#N/A</v>
      </c>
      <c r="QF327" s="1" t="e">
        <v>#N/A</v>
      </c>
      <c r="QG327" s="1" t="e">
        <v>#N/A</v>
      </c>
      <c r="QH327" s="1" t="e">
        <v>#N/A</v>
      </c>
      <c r="QI327" s="1" t="e">
        <v>#N/A</v>
      </c>
      <c r="QJ327" s="1" t="e">
        <v>#N/A</v>
      </c>
      <c r="QK327" s="1" t="e">
        <v>#N/A</v>
      </c>
      <c r="QL327" s="1" t="e">
        <v>#N/A</v>
      </c>
      <c r="QM327" s="1" t="e">
        <v>#N/A</v>
      </c>
      <c r="QN327" s="1" t="e">
        <v>#N/A</v>
      </c>
      <c r="QO327" s="1" t="e">
        <v>#N/A</v>
      </c>
      <c r="QP327" s="1" t="e">
        <v>#N/A</v>
      </c>
    </row>
    <row r="328" spans="1:458" ht="26.25" x14ac:dyDescent="0.4">
      <c r="A328" s="347"/>
      <c r="B328" s="348"/>
      <c r="C328" s="288"/>
      <c r="D328" s="349"/>
      <c r="E328" s="350"/>
      <c r="F328" s="351"/>
      <c r="G328" s="352"/>
      <c r="H328" s="348"/>
      <c r="I328" s="353"/>
      <c r="J328" s="353"/>
      <c r="PJ328" s="1" t="e">
        <v>#N/A</v>
      </c>
      <c r="PK328" s="1" t="e">
        <v>#N/A</v>
      </c>
      <c r="PL328" s="1" t="e">
        <v>#N/A</v>
      </c>
      <c r="PM328" s="1" t="e">
        <v>#N/A</v>
      </c>
      <c r="PN328" s="1" t="e">
        <v>#N/A</v>
      </c>
      <c r="PO328" s="1" t="e">
        <v>#N/A</v>
      </c>
      <c r="PP328" s="1" t="e">
        <v>#N/A</v>
      </c>
      <c r="PQ328" s="1" t="e">
        <v>#N/A</v>
      </c>
      <c r="PR328" s="1" t="e">
        <v>#N/A</v>
      </c>
      <c r="PS328" s="1" t="e">
        <v>#N/A</v>
      </c>
      <c r="PT328" s="1" t="e">
        <v>#N/A</v>
      </c>
      <c r="PU328" s="1" t="e">
        <v>#N/A</v>
      </c>
      <c r="PV328" s="1" t="e">
        <v>#N/A</v>
      </c>
      <c r="PW328" s="1" t="e">
        <v>#N/A</v>
      </c>
      <c r="PX328" s="1" t="e">
        <v>#N/A</v>
      </c>
      <c r="PY328" s="1" t="e">
        <v>#N/A</v>
      </c>
      <c r="PZ328" s="1" t="e">
        <v>#N/A</v>
      </c>
      <c r="QA328" s="1" t="e">
        <v>#N/A</v>
      </c>
      <c r="QB328" s="1" t="e">
        <v>#N/A</v>
      </c>
      <c r="QC328" s="1" t="e">
        <v>#N/A</v>
      </c>
      <c r="QD328" s="1" t="e">
        <v>#N/A</v>
      </c>
      <c r="QE328" s="1" t="e">
        <v>#N/A</v>
      </c>
      <c r="QF328" s="1" t="e">
        <v>#N/A</v>
      </c>
      <c r="QG328" s="1" t="e">
        <v>#N/A</v>
      </c>
      <c r="QH328" s="1" t="e">
        <v>#N/A</v>
      </c>
      <c r="QI328" s="1" t="e">
        <v>#N/A</v>
      </c>
      <c r="QJ328" s="1" t="e">
        <v>#N/A</v>
      </c>
      <c r="QK328" s="1" t="e">
        <v>#N/A</v>
      </c>
      <c r="QL328" s="1" t="e">
        <v>#N/A</v>
      </c>
      <c r="QM328" s="1" t="e">
        <v>#N/A</v>
      </c>
      <c r="QN328" s="1" t="e">
        <v>#N/A</v>
      </c>
      <c r="QO328" s="1" t="e">
        <v>#N/A</v>
      </c>
      <c r="QP328" s="1" t="e">
        <v>#N/A</v>
      </c>
    </row>
    <row r="329" spans="1:458" ht="26.25" x14ac:dyDescent="0.4">
      <c r="A329" s="347"/>
      <c r="B329" s="348"/>
      <c r="C329" s="288"/>
      <c r="D329" s="349"/>
      <c r="E329" s="350"/>
      <c r="F329" s="351"/>
      <c r="G329" s="352"/>
      <c r="H329" s="348"/>
      <c r="I329" s="353"/>
      <c r="J329" s="353"/>
      <c r="PJ329" s="1" t="e">
        <v>#N/A</v>
      </c>
      <c r="PK329" s="1" t="e">
        <v>#N/A</v>
      </c>
      <c r="PL329" s="1" t="e">
        <v>#N/A</v>
      </c>
      <c r="PM329" s="1" t="e">
        <v>#N/A</v>
      </c>
      <c r="PN329" s="1" t="e">
        <v>#N/A</v>
      </c>
      <c r="PO329" s="1" t="e">
        <v>#N/A</v>
      </c>
      <c r="PP329" s="1" t="e">
        <v>#N/A</v>
      </c>
      <c r="PQ329" s="1" t="e">
        <v>#N/A</v>
      </c>
      <c r="PR329" s="1" t="e">
        <v>#N/A</v>
      </c>
      <c r="PS329" s="1" t="e">
        <v>#N/A</v>
      </c>
      <c r="PT329" s="1" t="e">
        <v>#N/A</v>
      </c>
      <c r="PU329" s="1" t="e">
        <v>#N/A</v>
      </c>
      <c r="PV329" s="1" t="e">
        <v>#N/A</v>
      </c>
      <c r="PW329" s="1" t="e">
        <v>#N/A</v>
      </c>
      <c r="PX329" s="1" t="e">
        <v>#N/A</v>
      </c>
      <c r="PY329" s="1" t="e">
        <v>#N/A</v>
      </c>
      <c r="PZ329" s="1" t="e">
        <v>#N/A</v>
      </c>
      <c r="QA329" s="1" t="e">
        <v>#N/A</v>
      </c>
      <c r="QB329" s="1" t="e">
        <v>#N/A</v>
      </c>
      <c r="QC329" s="1" t="e">
        <v>#N/A</v>
      </c>
      <c r="QD329" s="1" t="e">
        <v>#N/A</v>
      </c>
      <c r="QE329" s="1" t="e">
        <v>#N/A</v>
      </c>
      <c r="QF329" s="1" t="e">
        <v>#N/A</v>
      </c>
      <c r="QG329" s="1" t="e">
        <v>#N/A</v>
      </c>
      <c r="QH329" s="1" t="e">
        <v>#N/A</v>
      </c>
      <c r="QI329" s="1" t="e">
        <v>#N/A</v>
      </c>
      <c r="QJ329" s="1" t="e">
        <v>#N/A</v>
      </c>
      <c r="QK329" s="1" t="e">
        <v>#N/A</v>
      </c>
      <c r="QL329" s="1" t="e">
        <v>#N/A</v>
      </c>
      <c r="QM329" s="1" t="e">
        <v>#N/A</v>
      </c>
      <c r="QN329" s="1" t="e">
        <v>#N/A</v>
      </c>
      <c r="QO329" s="1" t="e">
        <v>#N/A</v>
      </c>
      <c r="QP329" s="1" t="e">
        <v>#N/A</v>
      </c>
    </row>
    <row r="330" spans="1:458" ht="26.25" x14ac:dyDescent="0.4">
      <c r="A330" s="347"/>
      <c r="B330" s="348"/>
      <c r="C330" s="288"/>
      <c r="D330" s="349"/>
      <c r="E330" s="350"/>
      <c r="F330" s="351"/>
      <c r="G330" s="352"/>
      <c r="H330" s="348"/>
      <c r="I330" s="353"/>
      <c r="J330" s="353"/>
      <c r="PJ330" s="1" t="e">
        <v>#N/A</v>
      </c>
      <c r="PK330" s="1" t="e">
        <v>#N/A</v>
      </c>
      <c r="PL330" s="1" t="e">
        <v>#N/A</v>
      </c>
      <c r="PM330" s="1" t="e">
        <v>#N/A</v>
      </c>
      <c r="PN330" s="1" t="e">
        <v>#N/A</v>
      </c>
      <c r="PO330" s="1" t="e">
        <v>#N/A</v>
      </c>
      <c r="PP330" s="1" t="e">
        <v>#N/A</v>
      </c>
      <c r="PQ330" s="1" t="e">
        <v>#N/A</v>
      </c>
      <c r="PR330" s="1" t="e">
        <v>#N/A</v>
      </c>
      <c r="PS330" s="1" t="e">
        <v>#N/A</v>
      </c>
      <c r="PT330" s="1" t="e">
        <v>#N/A</v>
      </c>
      <c r="PU330" s="1" t="e">
        <v>#N/A</v>
      </c>
      <c r="PV330" s="1" t="e">
        <v>#N/A</v>
      </c>
      <c r="PW330" s="1" t="e">
        <v>#N/A</v>
      </c>
      <c r="PX330" s="1" t="e">
        <v>#N/A</v>
      </c>
      <c r="PY330" s="1" t="e">
        <v>#N/A</v>
      </c>
      <c r="PZ330" s="1" t="e">
        <v>#N/A</v>
      </c>
      <c r="QA330" s="1" t="e">
        <v>#N/A</v>
      </c>
      <c r="QB330" s="1" t="e">
        <v>#N/A</v>
      </c>
      <c r="QC330" s="1" t="e">
        <v>#N/A</v>
      </c>
      <c r="QD330" s="1" t="e">
        <v>#N/A</v>
      </c>
      <c r="QE330" s="1" t="e">
        <v>#N/A</v>
      </c>
      <c r="QF330" s="1" t="e">
        <v>#N/A</v>
      </c>
      <c r="QG330" s="1" t="e">
        <v>#N/A</v>
      </c>
      <c r="QH330" s="1" t="e">
        <v>#N/A</v>
      </c>
      <c r="QI330" s="1" t="e">
        <v>#N/A</v>
      </c>
      <c r="QJ330" s="1" t="e">
        <v>#N/A</v>
      </c>
      <c r="QK330" s="1" t="e">
        <v>#N/A</v>
      </c>
      <c r="QL330" s="1" t="e">
        <v>#N/A</v>
      </c>
      <c r="QM330" s="1" t="e">
        <v>#N/A</v>
      </c>
      <c r="QN330" s="1" t="e">
        <v>#N/A</v>
      </c>
      <c r="QO330" s="1" t="e">
        <v>#N/A</v>
      </c>
      <c r="QP330" s="1" t="e">
        <v>#N/A</v>
      </c>
    </row>
    <row r="331" spans="1:458" ht="26.25" x14ac:dyDescent="0.4">
      <c r="A331" s="347"/>
      <c r="B331" s="348"/>
      <c r="C331" s="288"/>
      <c r="D331" s="349"/>
      <c r="E331" s="350"/>
      <c r="F331" s="351"/>
      <c r="G331" s="352"/>
      <c r="H331" s="348"/>
      <c r="I331" s="353"/>
      <c r="J331" s="353"/>
      <c r="PJ331" s="1" t="e">
        <v>#N/A</v>
      </c>
      <c r="PK331" s="1" t="e">
        <v>#N/A</v>
      </c>
      <c r="PL331" s="1" t="e">
        <v>#N/A</v>
      </c>
      <c r="PM331" s="1" t="e">
        <v>#N/A</v>
      </c>
      <c r="PN331" s="1" t="e">
        <v>#N/A</v>
      </c>
      <c r="PO331" s="1" t="e">
        <v>#N/A</v>
      </c>
      <c r="PP331" s="1" t="e">
        <v>#N/A</v>
      </c>
      <c r="PQ331" s="1" t="e">
        <v>#N/A</v>
      </c>
      <c r="PR331" s="1" t="e">
        <v>#N/A</v>
      </c>
      <c r="PS331" s="1" t="e">
        <v>#N/A</v>
      </c>
      <c r="PT331" s="1" t="e">
        <v>#N/A</v>
      </c>
      <c r="PU331" s="1" t="e">
        <v>#N/A</v>
      </c>
      <c r="PV331" s="1" t="e">
        <v>#N/A</v>
      </c>
      <c r="PW331" s="1" t="e">
        <v>#N/A</v>
      </c>
      <c r="PX331" s="1" t="e">
        <v>#N/A</v>
      </c>
      <c r="PY331" s="1" t="e">
        <v>#N/A</v>
      </c>
      <c r="PZ331" s="1" t="e">
        <v>#N/A</v>
      </c>
      <c r="QA331" s="1" t="e">
        <v>#N/A</v>
      </c>
      <c r="QB331" s="1" t="e">
        <v>#N/A</v>
      </c>
      <c r="QC331" s="1" t="e">
        <v>#N/A</v>
      </c>
      <c r="QD331" s="1" t="e">
        <v>#N/A</v>
      </c>
      <c r="QE331" s="1" t="e">
        <v>#N/A</v>
      </c>
      <c r="QF331" s="1" t="e">
        <v>#N/A</v>
      </c>
      <c r="QG331" s="1" t="e">
        <v>#N/A</v>
      </c>
      <c r="QH331" s="1" t="e">
        <v>#N/A</v>
      </c>
      <c r="QI331" s="1" t="e">
        <v>#N/A</v>
      </c>
      <c r="QJ331" s="1" t="e">
        <v>#N/A</v>
      </c>
      <c r="QK331" s="1" t="e">
        <v>#N/A</v>
      </c>
      <c r="QL331" s="1" t="e">
        <v>#N/A</v>
      </c>
      <c r="QM331" s="1" t="e">
        <v>#N/A</v>
      </c>
      <c r="QN331" s="1" t="e">
        <v>#N/A</v>
      </c>
      <c r="QO331" s="1" t="e">
        <v>#N/A</v>
      </c>
      <c r="QP331" s="1" t="e">
        <v>#N/A</v>
      </c>
    </row>
    <row r="332" spans="1:458" ht="26.25" x14ac:dyDescent="0.4">
      <c r="A332" s="347"/>
      <c r="B332" s="348"/>
      <c r="C332" s="288"/>
      <c r="D332" s="349"/>
      <c r="E332" s="350"/>
      <c r="F332" s="351"/>
      <c r="G332" s="352"/>
      <c r="H332" s="348"/>
      <c r="I332" s="353"/>
      <c r="J332" s="353"/>
      <c r="PJ332" s="1" t="e">
        <v>#N/A</v>
      </c>
      <c r="PK332" s="1" t="e">
        <v>#N/A</v>
      </c>
      <c r="PL332" s="1" t="e">
        <v>#N/A</v>
      </c>
      <c r="PM332" s="1" t="e">
        <v>#N/A</v>
      </c>
      <c r="PN332" s="1" t="e">
        <v>#N/A</v>
      </c>
      <c r="PO332" s="1" t="e">
        <v>#N/A</v>
      </c>
      <c r="PP332" s="1" t="e">
        <v>#N/A</v>
      </c>
      <c r="PQ332" s="1" t="e">
        <v>#N/A</v>
      </c>
      <c r="PR332" s="1" t="e">
        <v>#N/A</v>
      </c>
      <c r="PS332" s="1" t="e">
        <v>#N/A</v>
      </c>
      <c r="PT332" s="1" t="e">
        <v>#N/A</v>
      </c>
      <c r="PU332" s="1" t="e">
        <v>#N/A</v>
      </c>
      <c r="PV332" s="1" t="e">
        <v>#N/A</v>
      </c>
      <c r="PW332" s="1" t="e">
        <v>#N/A</v>
      </c>
      <c r="PX332" s="1" t="e">
        <v>#N/A</v>
      </c>
      <c r="PY332" s="1" t="e">
        <v>#N/A</v>
      </c>
      <c r="PZ332" s="1" t="e">
        <v>#N/A</v>
      </c>
      <c r="QA332" s="1" t="e">
        <v>#N/A</v>
      </c>
      <c r="QB332" s="1" t="e">
        <v>#N/A</v>
      </c>
      <c r="QC332" s="1" t="e">
        <v>#N/A</v>
      </c>
      <c r="QD332" s="1" t="e">
        <v>#N/A</v>
      </c>
      <c r="QE332" s="1" t="e">
        <v>#N/A</v>
      </c>
      <c r="QF332" s="1" t="e">
        <v>#N/A</v>
      </c>
      <c r="QG332" s="1" t="e">
        <v>#N/A</v>
      </c>
      <c r="QH332" s="1" t="e">
        <v>#N/A</v>
      </c>
      <c r="QI332" s="1" t="e">
        <v>#N/A</v>
      </c>
      <c r="QJ332" s="1" t="e">
        <v>#N/A</v>
      </c>
      <c r="QK332" s="1" t="e">
        <v>#N/A</v>
      </c>
      <c r="QL332" s="1" t="e">
        <v>#N/A</v>
      </c>
      <c r="QM332" s="1" t="e">
        <v>#N/A</v>
      </c>
      <c r="QN332" s="1" t="e">
        <v>#N/A</v>
      </c>
      <c r="QO332" s="1" t="e">
        <v>#N/A</v>
      </c>
      <c r="QP332" s="1" t="e">
        <v>#N/A</v>
      </c>
    </row>
    <row r="333" spans="1:458" ht="26.25" x14ac:dyDescent="0.4">
      <c r="A333" s="347"/>
      <c r="B333" s="348"/>
      <c r="C333" s="288"/>
      <c r="D333" s="349"/>
      <c r="E333" s="350"/>
      <c r="F333" s="351"/>
      <c r="G333" s="352"/>
      <c r="H333" s="348"/>
      <c r="I333" s="353"/>
      <c r="J333" s="353"/>
      <c r="PJ333" s="1" t="e">
        <v>#N/A</v>
      </c>
      <c r="PK333" s="1" t="e">
        <v>#N/A</v>
      </c>
      <c r="PL333" s="1" t="e">
        <v>#N/A</v>
      </c>
      <c r="PM333" s="1" t="e">
        <v>#N/A</v>
      </c>
      <c r="PN333" s="1" t="e">
        <v>#N/A</v>
      </c>
      <c r="PO333" s="1" t="e">
        <v>#N/A</v>
      </c>
      <c r="PP333" s="1" t="e">
        <v>#N/A</v>
      </c>
      <c r="PQ333" s="1" t="e">
        <v>#N/A</v>
      </c>
      <c r="PR333" s="1" t="e">
        <v>#N/A</v>
      </c>
      <c r="PS333" s="1" t="e">
        <v>#N/A</v>
      </c>
      <c r="PT333" s="1" t="e">
        <v>#N/A</v>
      </c>
      <c r="PU333" s="1" t="e">
        <v>#N/A</v>
      </c>
      <c r="PV333" s="1" t="e">
        <v>#N/A</v>
      </c>
      <c r="PW333" s="1" t="e">
        <v>#N/A</v>
      </c>
      <c r="PX333" s="1" t="e">
        <v>#N/A</v>
      </c>
      <c r="PY333" s="1" t="e">
        <v>#N/A</v>
      </c>
      <c r="PZ333" s="1" t="e">
        <v>#N/A</v>
      </c>
      <c r="QA333" s="1" t="e">
        <v>#N/A</v>
      </c>
      <c r="QB333" s="1" t="e">
        <v>#N/A</v>
      </c>
      <c r="QC333" s="1" t="e">
        <v>#N/A</v>
      </c>
      <c r="QD333" s="1" t="e">
        <v>#N/A</v>
      </c>
      <c r="QE333" s="1" t="e">
        <v>#N/A</v>
      </c>
      <c r="QF333" s="1" t="e">
        <v>#N/A</v>
      </c>
      <c r="QG333" s="1" t="e">
        <v>#N/A</v>
      </c>
      <c r="QH333" s="1" t="e">
        <v>#N/A</v>
      </c>
      <c r="QI333" s="1" t="e">
        <v>#N/A</v>
      </c>
      <c r="QJ333" s="1" t="e">
        <v>#N/A</v>
      </c>
      <c r="QK333" s="1" t="e">
        <v>#N/A</v>
      </c>
      <c r="QL333" s="1" t="e">
        <v>#N/A</v>
      </c>
      <c r="QM333" s="1" t="e">
        <v>#N/A</v>
      </c>
      <c r="QN333" s="1" t="e">
        <v>#N/A</v>
      </c>
      <c r="QO333" s="1" t="e">
        <v>#N/A</v>
      </c>
      <c r="QP333" s="1" t="e">
        <v>#N/A</v>
      </c>
    </row>
    <row r="334" spans="1:458" ht="26.25" x14ac:dyDescent="0.4">
      <c r="A334" s="347"/>
      <c r="B334" s="348"/>
      <c r="C334" s="288"/>
      <c r="D334" s="349"/>
      <c r="E334" s="350"/>
      <c r="F334" s="351"/>
      <c r="G334" s="352"/>
      <c r="H334" s="348"/>
      <c r="I334" s="353"/>
      <c r="J334" s="353"/>
      <c r="PJ334" s="1" t="e">
        <v>#N/A</v>
      </c>
      <c r="PK334" s="1" t="e">
        <v>#N/A</v>
      </c>
      <c r="PL334" s="1" t="e">
        <v>#N/A</v>
      </c>
      <c r="PM334" s="1" t="e">
        <v>#N/A</v>
      </c>
      <c r="PN334" s="1" t="e">
        <v>#N/A</v>
      </c>
      <c r="PO334" s="1" t="e">
        <v>#N/A</v>
      </c>
      <c r="PP334" s="1" t="e">
        <v>#N/A</v>
      </c>
      <c r="PQ334" s="1" t="e">
        <v>#N/A</v>
      </c>
      <c r="PR334" s="1" t="e">
        <v>#N/A</v>
      </c>
      <c r="PS334" s="1" t="e">
        <v>#N/A</v>
      </c>
      <c r="PT334" s="1" t="e">
        <v>#N/A</v>
      </c>
      <c r="PU334" s="1" t="e">
        <v>#N/A</v>
      </c>
      <c r="PV334" s="1" t="e">
        <v>#N/A</v>
      </c>
      <c r="PW334" s="1" t="e">
        <v>#N/A</v>
      </c>
      <c r="PX334" s="1" t="e">
        <v>#N/A</v>
      </c>
      <c r="PY334" s="1" t="e">
        <v>#N/A</v>
      </c>
      <c r="PZ334" s="1" t="e">
        <v>#N/A</v>
      </c>
      <c r="QA334" s="1" t="e">
        <v>#N/A</v>
      </c>
      <c r="QB334" s="1" t="e">
        <v>#N/A</v>
      </c>
      <c r="QC334" s="1" t="e">
        <v>#N/A</v>
      </c>
      <c r="QD334" s="1" t="e">
        <v>#N/A</v>
      </c>
      <c r="QE334" s="1" t="e">
        <v>#N/A</v>
      </c>
      <c r="QF334" s="1" t="e">
        <v>#N/A</v>
      </c>
      <c r="QG334" s="1" t="e">
        <v>#N/A</v>
      </c>
      <c r="QH334" s="1" t="e">
        <v>#N/A</v>
      </c>
      <c r="QI334" s="1" t="e">
        <v>#N/A</v>
      </c>
      <c r="QJ334" s="1" t="e">
        <v>#N/A</v>
      </c>
      <c r="QK334" s="1" t="e">
        <v>#N/A</v>
      </c>
      <c r="QL334" s="1" t="e">
        <v>#N/A</v>
      </c>
      <c r="QM334" s="1" t="e">
        <v>#N/A</v>
      </c>
      <c r="QN334" s="1" t="e">
        <v>#N/A</v>
      </c>
      <c r="QO334" s="1" t="e">
        <v>#N/A</v>
      </c>
      <c r="QP334" s="1" t="e">
        <v>#N/A</v>
      </c>
    </row>
    <row r="335" spans="1:458" ht="26.25" x14ac:dyDescent="0.4">
      <c r="A335" s="347"/>
      <c r="B335" s="348"/>
      <c r="C335" s="288"/>
      <c r="D335" s="349"/>
      <c r="E335" s="350"/>
      <c r="F335" s="351"/>
      <c r="G335" s="352"/>
      <c r="H335" s="348"/>
      <c r="I335" s="353"/>
      <c r="J335" s="353"/>
      <c r="PJ335" s="1" t="e">
        <v>#N/A</v>
      </c>
      <c r="PK335" s="1" t="e">
        <v>#N/A</v>
      </c>
      <c r="PL335" s="1" t="e">
        <v>#N/A</v>
      </c>
      <c r="PM335" s="1" t="e">
        <v>#N/A</v>
      </c>
      <c r="PN335" s="1" t="e">
        <v>#N/A</v>
      </c>
      <c r="PO335" s="1" t="e">
        <v>#N/A</v>
      </c>
      <c r="PP335" s="1" t="e">
        <v>#N/A</v>
      </c>
      <c r="PQ335" s="1" t="e">
        <v>#N/A</v>
      </c>
      <c r="PR335" s="1" t="e">
        <v>#N/A</v>
      </c>
      <c r="PS335" s="1" t="e">
        <v>#N/A</v>
      </c>
      <c r="PT335" s="1" t="e">
        <v>#N/A</v>
      </c>
      <c r="PU335" s="1" t="e">
        <v>#N/A</v>
      </c>
      <c r="PV335" s="1" t="e">
        <v>#N/A</v>
      </c>
      <c r="PW335" s="1" t="e">
        <v>#N/A</v>
      </c>
      <c r="PX335" s="1" t="e">
        <v>#N/A</v>
      </c>
      <c r="PY335" s="1" t="e">
        <v>#N/A</v>
      </c>
      <c r="PZ335" s="1" t="e">
        <v>#N/A</v>
      </c>
      <c r="QA335" s="1" t="e">
        <v>#N/A</v>
      </c>
      <c r="QB335" s="1" t="e">
        <v>#N/A</v>
      </c>
      <c r="QC335" s="1" t="e">
        <v>#N/A</v>
      </c>
      <c r="QD335" s="1" t="e">
        <v>#N/A</v>
      </c>
      <c r="QE335" s="1" t="e">
        <v>#N/A</v>
      </c>
      <c r="QF335" s="1" t="e">
        <v>#N/A</v>
      </c>
      <c r="QG335" s="1" t="e">
        <v>#N/A</v>
      </c>
      <c r="QH335" s="1" t="e">
        <v>#N/A</v>
      </c>
      <c r="QI335" s="1" t="e">
        <v>#N/A</v>
      </c>
      <c r="QJ335" s="1" t="e">
        <v>#N/A</v>
      </c>
      <c r="QK335" s="1" t="e">
        <v>#N/A</v>
      </c>
      <c r="QL335" s="1" t="e">
        <v>#N/A</v>
      </c>
      <c r="QM335" s="1" t="e">
        <v>#N/A</v>
      </c>
      <c r="QN335" s="1" t="e">
        <v>#N/A</v>
      </c>
      <c r="QO335" s="1" t="e">
        <v>#N/A</v>
      </c>
      <c r="QP335" s="1" t="e">
        <v>#N/A</v>
      </c>
    </row>
    <row r="336" spans="1:458" ht="26.25" x14ac:dyDescent="0.4">
      <c r="A336" s="347"/>
      <c r="B336" s="348"/>
      <c r="C336" s="288"/>
      <c r="D336" s="349"/>
      <c r="E336" s="350"/>
      <c r="F336" s="351"/>
      <c r="G336" s="352"/>
      <c r="H336" s="348"/>
      <c r="I336" s="353"/>
      <c r="J336" s="353"/>
      <c r="PJ336" s="1" t="e">
        <v>#N/A</v>
      </c>
      <c r="PK336" s="1" t="e">
        <v>#N/A</v>
      </c>
      <c r="PL336" s="1" t="e">
        <v>#N/A</v>
      </c>
      <c r="PM336" s="1" t="e">
        <v>#N/A</v>
      </c>
      <c r="PN336" s="1" t="e">
        <v>#N/A</v>
      </c>
      <c r="PO336" s="1" t="e">
        <v>#N/A</v>
      </c>
      <c r="PP336" s="1" t="e">
        <v>#N/A</v>
      </c>
      <c r="PQ336" s="1" t="e">
        <v>#N/A</v>
      </c>
      <c r="PR336" s="1" t="e">
        <v>#N/A</v>
      </c>
      <c r="PS336" s="1" t="e">
        <v>#N/A</v>
      </c>
      <c r="PT336" s="1" t="e">
        <v>#N/A</v>
      </c>
      <c r="PU336" s="1" t="e">
        <v>#N/A</v>
      </c>
      <c r="PV336" s="1" t="e">
        <v>#N/A</v>
      </c>
      <c r="PW336" s="1" t="e">
        <v>#N/A</v>
      </c>
      <c r="PX336" s="1" t="e">
        <v>#N/A</v>
      </c>
      <c r="PY336" s="1" t="e">
        <v>#N/A</v>
      </c>
      <c r="PZ336" s="1" t="e">
        <v>#N/A</v>
      </c>
      <c r="QA336" s="1" t="e">
        <v>#N/A</v>
      </c>
      <c r="QB336" s="1" t="e">
        <v>#N/A</v>
      </c>
      <c r="QC336" s="1" t="e">
        <v>#N/A</v>
      </c>
      <c r="QD336" s="1" t="e">
        <v>#N/A</v>
      </c>
      <c r="QE336" s="1" t="e">
        <v>#N/A</v>
      </c>
      <c r="QF336" s="1" t="e">
        <v>#N/A</v>
      </c>
      <c r="QG336" s="1" t="e">
        <v>#N/A</v>
      </c>
      <c r="QH336" s="1" t="e">
        <v>#N/A</v>
      </c>
      <c r="QI336" s="1" t="e">
        <v>#N/A</v>
      </c>
      <c r="QJ336" s="1" t="e">
        <v>#N/A</v>
      </c>
      <c r="QK336" s="1" t="e">
        <v>#N/A</v>
      </c>
      <c r="QL336" s="1" t="e">
        <v>#N/A</v>
      </c>
      <c r="QM336" s="1" t="e">
        <v>#N/A</v>
      </c>
      <c r="QN336" s="1" t="e">
        <v>#N/A</v>
      </c>
      <c r="QO336" s="1" t="e">
        <v>#N/A</v>
      </c>
      <c r="QP336" s="1" t="e">
        <v>#N/A</v>
      </c>
    </row>
    <row r="337" spans="1:458" ht="26.25" x14ac:dyDescent="0.4">
      <c r="A337" s="347"/>
      <c r="B337" s="348"/>
      <c r="C337" s="288"/>
      <c r="D337" s="349"/>
      <c r="E337" s="350"/>
      <c r="F337" s="351"/>
      <c r="G337" s="352"/>
      <c r="H337" s="348"/>
      <c r="I337" s="353"/>
      <c r="J337" s="353"/>
      <c r="PJ337" s="1" t="e">
        <v>#N/A</v>
      </c>
      <c r="PK337" s="1" t="e">
        <v>#N/A</v>
      </c>
      <c r="PL337" s="1" t="e">
        <v>#N/A</v>
      </c>
      <c r="PM337" s="1" t="e">
        <v>#N/A</v>
      </c>
      <c r="PN337" s="1" t="e">
        <v>#N/A</v>
      </c>
      <c r="PO337" s="1" t="e">
        <v>#N/A</v>
      </c>
      <c r="PP337" s="1" t="e">
        <v>#N/A</v>
      </c>
      <c r="PQ337" s="1" t="e">
        <v>#N/A</v>
      </c>
      <c r="PR337" s="1" t="e">
        <v>#N/A</v>
      </c>
      <c r="PS337" s="1" t="e">
        <v>#N/A</v>
      </c>
      <c r="PT337" s="1" t="e">
        <v>#N/A</v>
      </c>
      <c r="PU337" s="1" t="e">
        <v>#N/A</v>
      </c>
      <c r="PV337" s="1" t="e">
        <v>#N/A</v>
      </c>
      <c r="PW337" s="1" t="e">
        <v>#N/A</v>
      </c>
      <c r="PX337" s="1" t="e">
        <v>#N/A</v>
      </c>
      <c r="PY337" s="1" t="e">
        <v>#N/A</v>
      </c>
      <c r="PZ337" s="1" t="e">
        <v>#N/A</v>
      </c>
      <c r="QA337" s="1" t="e">
        <v>#N/A</v>
      </c>
      <c r="QB337" s="1" t="e">
        <v>#N/A</v>
      </c>
      <c r="QC337" s="1" t="e">
        <v>#N/A</v>
      </c>
      <c r="QD337" s="1" t="e">
        <v>#N/A</v>
      </c>
      <c r="QE337" s="1" t="e">
        <v>#N/A</v>
      </c>
      <c r="QF337" s="1" t="e">
        <v>#N/A</v>
      </c>
      <c r="QG337" s="1" t="e">
        <v>#N/A</v>
      </c>
      <c r="QH337" s="1" t="e">
        <v>#N/A</v>
      </c>
      <c r="QI337" s="1" t="e">
        <v>#N/A</v>
      </c>
      <c r="QJ337" s="1" t="e">
        <v>#N/A</v>
      </c>
      <c r="QK337" s="1" t="e">
        <v>#N/A</v>
      </c>
      <c r="QL337" s="1" t="e">
        <v>#N/A</v>
      </c>
      <c r="QM337" s="1" t="e">
        <v>#N/A</v>
      </c>
      <c r="QN337" s="1" t="e">
        <v>#N/A</v>
      </c>
      <c r="QO337" s="1" t="e">
        <v>#N/A</v>
      </c>
      <c r="QP337" s="1" t="e">
        <v>#N/A</v>
      </c>
    </row>
    <row r="338" spans="1:458" ht="26.25" x14ac:dyDescent="0.4">
      <c r="A338" s="347"/>
      <c r="B338" s="348"/>
      <c r="C338" s="288"/>
      <c r="D338" s="349"/>
      <c r="E338" s="350"/>
      <c r="F338" s="351"/>
      <c r="G338" s="352"/>
      <c r="H338" s="348"/>
      <c r="I338" s="353"/>
      <c r="J338" s="353"/>
      <c r="PJ338" s="1" t="e">
        <v>#N/A</v>
      </c>
      <c r="PK338" s="1" t="e">
        <v>#N/A</v>
      </c>
      <c r="PL338" s="1" t="e">
        <v>#N/A</v>
      </c>
      <c r="PM338" s="1" t="e">
        <v>#N/A</v>
      </c>
      <c r="PN338" s="1" t="e">
        <v>#N/A</v>
      </c>
      <c r="PO338" s="1" t="e">
        <v>#N/A</v>
      </c>
      <c r="PP338" s="1" t="e">
        <v>#N/A</v>
      </c>
      <c r="PQ338" s="1" t="e">
        <v>#N/A</v>
      </c>
      <c r="PR338" s="1" t="e">
        <v>#N/A</v>
      </c>
      <c r="PS338" s="1" t="e">
        <v>#N/A</v>
      </c>
      <c r="PT338" s="1" t="e">
        <v>#N/A</v>
      </c>
      <c r="PU338" s="1" t="e">
        <v>#N/A</v>
      </c>
      <c r="PV338" s="1" t="e">
        <v>#N/A</v>
      </c>
      <c r="PW338" s="1" t="e">
        <v>#N/A</v>
      </c>
      <c r="PX338" s="1" t="e">
        <v>#N/A</v>
      </c>
      <c r="PY338" s="1" t="e">
        <v>#N/A</v>
      </c>
      <c r="PZ338" s="1" t="e">
        <v>#N/A</v>
      </c>
      <c r="QA338" s="1" t="e">
        <v>#N/A</v>
      </c>
      <c r="QB338" s="1" t="e">
        <v>#N/A</v>
      </c>
      <c r="QC338" s="1" t="e">
        <v>#N/A</v>
      </c>
      <c r="QD338" s="1" t="e">
        <v>#N/A</v>
      </c>
      <c r="QE338" s="1" t="e">
        <v>#N/A</v>
      </c>
      <c r="QF338" s="1" t="e">
        <v>#N/A</v>
      </c>
      <c r="QG338" s="1" t="e">
        <v>#N/A</v>
      </c>
      <c r="QH338" s="1" t="e">
        <v>#N/A</v>
      </c>
      <c r="QI338" s="1" t="e">
        <v>#N/A</v>
      </c>
      <c r="QJ338" s="1" t="e">
        <v>#N/A</v>
      </c>
      <c r="QK338" s="1" t="e">
        <v>#N/A</v>
      </c>
      <c r="QL338" s="1" t="e">
        <v>#N/A</v>
      </c>
      <c r="QM338" s="1" t="e">
        <v>#N/A</v>
      </c>
      <c r="QN338" s="1" t="e">
        <v>#N/A</v>
      </c>
      <c r="QO338" s="1" t="e">
        <v>#N/A</v>
      </c>
      <c r="QP338" s="1" t="e">
        <v>#N/A</v>
      </c>
    </row>
    <row r="339" spans="1:458" ht="26.25" x14ac:dyDescent="0.4">
      <c r="A339" s="347"/>
      <c r="B339" s="348"/>
      <c r="C339" s="288"/>
      <c r="D339" s="349"/>
      <c r="E339" s="350"/>
      <c r="F339" s="351"/>
      <c r="G339" s="352"/>
      <c r="H339" s="348"/>
      <c r="I339" s="353"/>
      <c r="J339" s="353"/>
      <c r="PJ339" s="1" t="e">
        <v>#N/A</v>
      </c>
      <c r="PK339" s="1" t="e">
        <v>#N/A</v>
      </c>
      <c r="PL339" s="1" t="e">
        <v>#N/A</v>
      </c>
      <c r="PM339" s="1" t="e">
        <v>#N/A</v>
      </c>
      <c r="PN339" s="1" t="e">
        <v>#N/A</v>
      </c>
      <c r="PO339" s="1" t="e">
        <v>#N/A</v>
      </c>
      <c r="PP339" s="1" t="e">
        <v>#N/A</v>
      </c>
      <c r="PQ339" s="1" t="e">
        <v>#N/A</v>
      </c>
      <c r="PR339" s="1" t="e">
        <v>#N/A</v>
      </c>
      <c r="PS339" s="1" t="e">
        <v>#N/A</v>
      </c>
      <c r="PT339" s="1" t="e">
        <v>#N/A</v>
      </c>
      <c r="PU339" s="1" t="e">
        <v>#N/A</v>
      </c>
      <c r="PV339" s="1" t="e">
        <v>#N/A</v>
      </c>
      <c r="PW339" s="1" t="e">
        <v>#N/A</v>
      </c>
      <c r="PX339" s="1" t="e">
        <v>#N/A</v>
      </c>
      <c r="PY339" s="1" t="e">
        <v>#N/A</v>
      </c>
      <c r="PZ339" s="1" t="e">
        <v>#N/A</v>
      </c>
      <c r="QA339" s="1" t="e">
        <v>#N/A</v>
      </c>
      <c r="QB339" s="1" t="e">
        <v>#N/A</v>
      </c>
      <c r="QC339" s="1" t="e">
        <v>#N/A</v>
      </c>
      <c r="QD339" s="1" t="e">
        <v>#N/A</v>
      </c>
      <c r="QE339" s="1" t="e">
        <v>#N/A</v>
      </c>
      <c r="QF339" s="1" t="e">
        <v>#N/A</v>
      </c>
      <c r="QG339" s="1" t="e">
        <v>#N/A</v>
      </c>
      <c r="QH339" s="1" t="e">
        <v>#N/A</v>
      </c>
      <c r="QI339" s="1" t="e">
        <v>#N/A</v>
      </c>
      <c r="QJ339" s="1" t="e">
        <v>#N/A</v>
      </c>
      <c r="QK339" s="1" t="e">
        <v>#N/A</v>
      </c>
      <c r="QL339" s="1" t="e">
        <v>#N/A</v>
      </c>
      <c r="QM339" s="1" t="e">
        <v>#N/A</v>
      </c>
      <c r="QN339" s="1" t="e">
        <v>#N/A</v>
      </c>
      <c r="QO339" s="1" t="e">
        <v>#N/A</v>
      </c>
      <c r="QP339" s="1" t="e">
        <v>#N/A</v>
      </c>
    </row>
    <row r="340" spans="1:458" ht="26.25" x14ac:dyDescent="0.4">
      <c r="A340" s="347"/>
      <c r="B340" s="348"/>
      <c r="C340" s="288"/>
      <c r="D340" s="349"/>
      <c r="E340" s="350"/>
      <c r="F340" s="351"/>
      <c r="G340" s="352"/>
      <c r="H340" s="348"/>
      <c r="I340" s="353"/>
      <c r="J340" s="353"/>
      <c r="PJ340" s="1" t="e">
        <v>#N/A</v>
      </c>
      <c r="PK340" s="1" t="e">
        <v>#N/A</v>
      </c>
      <c r="PL340" s="1" t="e">
        <v>#N/A</v>
      </c>
      <c r="PM340" s="1" t="e">
        <v>#N/A</v>
      </c>
      <c r="PN340" s="1" t="e">
        <v>#N/A</v>
      </c>
      <c r="PO340" s="1" t="e">
        <v>#N/A</v>
      </c>
      <c r="PP340" s="1" t="e">
        <v>#N/A</v>
      </c>
      <c r="PQ340" s="1" t="e">
        <v>#N/A</v>
      </c>
      <c r="PR340" s="1" t="e">
        <v>#N/A</v>
      </c>
      <c r="PS340" s="1" t="e">
        <v>#N/A</v>
      </c>
      <c r="PT340" s="1" t="e">
        <v>#N/A</v>
      </c>
      <c r="PU340" s="1" t="e">
        <v>#N/A</v>
      </c>
      <c r="PV340" s="1" t="e">
        <v>#N/A</v>
      </c>
      <c r="PW340" s="1" t="e">
        <v>#N/A</v>
      </c>
      <c r="PX340" s="1" t="e">
        <v>#N/A</v>
      </c>
      <c r="PY340" s="1" t="e">
        <v>#N/A</v>
      </c>
      <c r="PZ340" s="1" t="e">
        <v>#N/A</v>
      </c>
      <c r="QA340" s="1" t="e">
        <v>#N/A</v>
      </c>
      <c r="QB340" s="1" t="e">
        <v>#N/A</v>
      </c>
      <c r="QC340" s="1" t="e">
        <v>#N/A</v>
      </c>
      <c r="QD340" s="1" t="e">
        <v>#N/A</v>
      </c>
      <c r="QE340" s="1" t="e">
        <v>#N/A</v>
      </c>
      <c r="QF340" s="1" t="e">
        <v>#N/A</v>
      </c>
      <c r="QG340" s="1" t="e">
        <v>#N/A</v>
      </c>
      <c r="QH340" s="1" t="e">
        <v>#N/A</v>
      </c>
      <c r="QI340" s="1" t="e">
        <v>#N/A</v>
      </c>
      <c r="QJ340" s="1" t="e">
        <v>#N/A</v>
      </c>
      <c r="QK340" s="1" t="e">
        <v>#N/A</v>
      </c>
      <c r="QL340" s="1" t="e">
        <v>#N/A</v>
      </c>
      <c r="QM340" s="1" t="e">
        <v>#N/A</v>
      </c>
      <c r="QN340" s="1" t="e">
        <v>#N/A</v>
      </c>
      <c r="QO340" s="1" t="e">
        <v>#N/A</v>
      </c>
      <c r="QP340" s="1" t="e">
        <v>#N/A</v>
      </c>
    </row>
    <row r="341" spans="1:458" ht="26.25" x14ac:dyDescent="0.4">
      <c r="A341" s="347"/>
      <c r="B341" s="348"/>
      <c r="C341" s="288"/>
      <c r="D341" s="349"/>
      <c r="E341" s="350"/>
      <c r="F341" s="351"/>
      <c r="G341" s="352"/>
      <c r="H341" s="348"/>
      <c r="I341" s="353"/>
      <c r="J341" s="353"/>
      <c r="PJ341" s="1" t="e">
        <v>#N/A</v>
      </c>
      <c r="PK341" s="1" t="e">
        <v>#N/A</v>
      </c>
      <c r="PL341" s="1" t="e">
        <v>#N/A</v>
      </c>
      <c r="PM341" s="1" t="e">
        <v>#N/A</v>
      </c>
      <c r="PN341" s="1" t="e">
        <v>#N/A</v>
      </c>
      <c r="PO341" s="1" t="e">
        <v>#N/A</v>
      </c>
      <c r="PP341" s="1" t="e">
        <v>#N/A</v>
      </c>
      <c r="PQ341" s="1" t="e">
        <v>#N/A</v>
      </c>
      <c r="PR341" s="1" t="e">
        <v>#N/A</v>
      </c>
      <c r="PS341" s="1" t="e">
        <v>#N/A</v>
      </c>
      <c r="PT341" s="1" t="e">
        <v>#N/A</v>
      </c>
      <c r="PU341" s="1" t="e">
        <v>#N/A</v>
      </c>
      <c r="PV341" s="1" t="e">
        <v>#N/A</v>
      </c>
      <c r="PW341" s="1" t="e">
        <v>#N/A</v>
      </c>
      <c r="PX341" s="1" t="e">
        <v>#N/A</v>
      </c>
      <c r="PY341" s="1" t="e">
        <v>#N/A</v>
      </c>
      <c r="PZ341" s="1" t="e">
        <v>#N/A</v>
      </c>
      <c r="QA341" s="1" t="e">
        <v>#N/A</v>
      </c>
      <c r="QB341" s="1" t="e">
        <v>#N/A</v>
      </c>
      <c r="QC341" s="1" t="e">
        <v>#N/A</v>
      </c>
      <c r="QD341" s="1" t="e">
        <v>#N/A</v>
      </c>
      <c r="QE341" s="1" t="e">
        <v>#N/A</v>
      </c>
      <c r="QF341" s="1" t="e">
        <v>#N/A</v>
      </c>
      <c r="QG341" s="1" t="e">
        <v>#N/A</v>
      </c>
      <c r="QH341" s="1" t="e">
        <v>#N/A</v>
      </c>
      <c r="QI341" s="1" t="e">
        <v>#N/A</v>
      </c>
      <c r="QJ341" s="1" t="e">
        <v>#N/A</v>
      </c>
      <c r="QK341" s="1" t="e">
        <v>#N/A</v>
      </c>
      <c r="QL341" s="1" t="e">
        <v>#N/A</v>
      </c>
      <c r="QM341" s="1" t="e">
        <v>#N/A</v>
      </c>
      <c r="QN341" s="1" t="e">
        <v>#N/A</v>
      </c>
      <c r="QO341" s="1" t="e">
        <v>#N/A</v>
      </c>
      <c r="QP341" s="1" t="e">
        <v>#N/A</v>
      </c>
    </row>
    <row r="342" spans="1:458" ht="26.25" x14ac:dyDescent="0.4">
      <c r="A342" s="347"/>
      <c r="B342" s="348"/>
      <c r="C342" s="288"/>
      <c r="D342" s="349"/>
      <c r="E342" s="350"/>
      <c r="F342" s="351"/>
      <c r="G342" s="352"/>
      <c r="H342" s="348"/>
      <c r="I342" s="353"/>
      <c r="J342" s="353"/>
      <c r="PJ342" s="1" t="e">
        <v>#N/A</v>
      </c>
      <c r="PK342" s="1" t="e">
        <v>#N/A</v>
      </c>
      <c r="PL342" s="1" t="e">
        <v>#N/A</v>
      </c>
      <c r="PM342" s="1" t="e">
        <v>#N/A</v>
      </c>
      <c r="PN342" s="1" t="e">
        <v>#N/A</v>
      </c>
      <c r="PO342" s="1" t="e">
        <v>#N/A</v>
      </c>
      <c r="PP342" s="1" t="e">
        <v>#N/A</v>
      </c>
      <c r="PQ342" s="1" t="e">
        <v>#N/A</v>
      </c>
      <c r="PR342" s="1" t="e">
        <v>#N/A</v>
      </c>
      <c r="PS342" s="1" t="e">
        <v>#N/A</v>
      </c>
      <c r="PT342" s="1" t="e">
        <v>#N/A</v>
      </c>
      <c r="PU342" s="1" t="e">
        <v>#N/A</v>
      </c>
      <c r="PV342" s="1" t="e">
        <v>#N/A</v>
      </c>
      <c r="PW342" s="1" t="e">
        <v>#N/A</v>
      </c>
      <c r="PX342" s="1" t="e">
        <v>#N/A</v>
      </c>
      <c r="PY342" s="1" t="e">
        <v>#N/A</v>
      </c>
      <c r="PZ342" s="1" t="e">
        <v>#N/A</v>
      </c>
      <c r="QA342" s="1" t="e">
        <v>#N/A</v>
      </c>
      <c r="QB342" s="1" t="e">
        <v>#N/A</v>
      </c>
      <c r="QC342" s="1" t="e">
        <v>#N/A</v>
      </c>
      <c r="QD342" s="1" t="e">
        <v>#N/A</v>
      </c>
      <c r="QE342" s="1" t="e">
        <v>#N/A</v>
      </c>
      <c r="QF342" s="1" t="e">
        <v>#N/A</v>
      </c>
      <c r="QG342" s="1" t="e">
        <v>#N/A</v>
      </c>
      <c r="QH342" s="1" t="e">
        <v>#N/A</v>
      </c>
      <c r="QI342" s="1" t="e">
        <v>#N/A</v>
      </c>
      <c r="QJ342" s="1" t="e">
        <v>#N/A</v>
      </c>
      <c r="QK342" s="1" t="e">
        <v>#N/A</v>
      </c>
      <c r="QL342" s="1" t="e">
        <v>#N/A</v>
      </c>
      <c r="QM342" s="1" t="e">
        <v>#N/A</v>
      </c>
      <c r="QN342" s="1" t="e">
        <v>#N/A</v>
      </c>
      <c r="QO342" s="1" t="e">
        <v>#N/A</v>
      </c>
      <c r="QP342" s="1" t="e">
        <v>#N/A</v>
      </c>
    </row>
    <row r="343" spans="1:458" ht="26.25" x14ac:dyDescent="0.4">
      <c r="A343" s="347"/>
      <c r="B343" s="348"/>
      <c r="C343" s="288"/>
      <c r="D343" s="349"/>
      <c r="E343" s="350"/>
      <c r="F343" s="351"/>
      <c r="G343" s="352"/>
      <c r="H343" s="348"/>
      <c r="I343" s="353"/>
      <c r="J343" s="353"/>
      <c r="PJ343" s="1" t="e">
        <v>#N/A</v>
      </c>
      <c r="PK343" s="1" t="e">
        <v>#N/A</v>
      </c>
      <c r="PL343" s="1" t="e">
        <v>#N/A</v>
      </c>
      <c r="PM343" s="1" t="e">
        <v>#N/A</v>
      </c>
      <c r="PN343" s="1" t="e">
        <v>#N/A</v>
      </c>
      <c r="PO343" s="1" t="e">
        <v>#N/A</v>
      </c>
      <c r="PP343" s="1" t="e">
        <v>#N/A</v>
      </c>
      <c r="PQ343" s="1" t="e">
        <v>#N/A</v>
      </c>
      <c r="PR343" s="1" t="e">
        <v>#N/A</v>
      </c>
      <c r="PS343" s="1" t="e">
        <v>#N/A</v>
      </c>
      <c r="PT343" s="1" t="e">
        <v>#N/A</v>
      </c>
      <c r="PU343" s="1" t="e">
        <v>#N/A</v>
      </c>
      <c r="PV343" s="1" t="e">
        <v>#N/A</v>
      </c>
      <c r="PW343" s="1" t="e">
        <v>#N/A</v>
      </c>
      <c r="PX343" s="1" t="e">
        <v>#N/A</v>
      </c>
      <c r="PY343" s="1" t="e">
        <v>#N/A</v>
      </c>
      <c r="PZ343" s="1" t="e">
        <v>#N/A</v>
      </c>
      <c r="QA343" s="1" t="e">
        <v>#N/A</v>
      </c>
      <c r="QB343" s="1" t="e">
        <v>#N/A</v>
      </c>
      <c r="QC343" s="1" t="e">
        <v>#N/A</v>
      </c>
      <c r="QD343" s="1" t="e">
        <v>#N/A</v>
      </c>
      <c r="QE343" s="1" t="e">
        <v>#N/A</v>
      </c>
      <c r="QF343" s="1" t="e">
        <v>#N/A</v>
      </c>
      <c r="QG343" s="1" t="e">
        <v>#N/A</v>
      </c>
      <c r="QH343" s="1" t="e">
        <v>#N/A</v>
      </c>
      <c r="QI343" s="1" t="e">
        <v>#N/A</v>
      </c>
      <c r="QJ343" s="1" t="e">
        <v>#N/A</v>
      </c>
      <c r="QK343" s="1" t="e">
        <v>#N/A</v>
      </c>
      <c r="QL343" s="1" t="e">
        <v>#N/A</v>
      </c>
      <c r="QM343" s="1" t="e">
        <v>#N/A</v>
      </c>
      <c r="QN343" s="1" t="e">
        <v>#N/A</v>
      </c>
      <c r="QO343" s="1" t="e">
        <v>#N/A</v>
      </c>
      <c r="QP343" s="1" t="e">
        <v>#N/A</v>
      </c>
    </row>
    <row r="344" spans="1:458" ht="26.25" x14ac:dyDescent="0.4">
      <c r="A344" s="347"/>
      <c r="B344" s="348"/>
      <c r="C344" s="288"/>
      <c r="D344" s="349"/>
      <c r="E344" s="350"/>
      <c r="F344" s="351"/>
      <c r="G344" s="352"/>
      <c r="H344" s="348"/>
      <c r="I344" s="353"/>
      <c r="J344" s="353"/>
      <c r="PJ344" s="1" t="e">
        <v>#N/A</v>
      </c>
      <c r="PK344" s="1" t="e">
        <v>#N/A</v>
      </c>
      <c r="PL344" s="1" t="e">
        <v>#N/A</v>
      </c>
      <c r="PM344" s="1" t="e">
        <v>#N/A</v>
      </c>
      <c r="PN344" s="1" t="e">
        <v>#N/A</v>
      </c>
      <c r="PO344" s="1" t="e">
        <v>#N/A</v>
      </c>
      <c r="PP344" s="1" t="e">
        <v>#N/A</v>
      </c>
      <c r="PQ344" s="1" t="e">
        <v>#N/A</v>
      </c>
      <c r="PR344" s="1" t="e">
        <v>#N/A</v>
      </c>
      <c r="PS344" s="1" t="e">
        <v>#N/A</v>
      </c>
      <c r="PT344" s="1" t="e">
        <v>#N/A</v>
      </c>
      <c r="PU344" s="1" t="e">
        <v>#N/A</v>
      </c>
      <c r="PV344" s="1" t="e">
        <v>#N/A</v>
      </c>
      <c r="PW344" s="1" t="e">
        <v>#N/A</v>
      </c>
      <c r="PX344" s="1" t="e">
        <v>#N/A</v>
      </c>
      <c r="PY344" s="1" t="e">
        <v>#N/A</v>
      </c>
      <c r="PZ344" s="1" t="e">
        <v>#N/A</v>
      </c>
      <c r="QA344" s="1" t="e">
        <v>#N/A</v>
      </c>
      <c r="QB344" s="1" t="e">
        <v>#N/A</v>
      </c>
      <c r="QC344" s="1" t="e">
        <v>#N/A</v>
      </c>
      <c r="QD344" s="1" t="e">
        <v>#N/A</v>
      </c>
      <c r="QE344" s="1" t="e">
        <v>#N/A</v>
      </c>
      <c r="QF344" s="1" t="e">
        <v>#N/A</v>
      </c>
      <c r="QG344" s="1" t="e">
        <v>#N/A</v>
      </c>
      <c r="QH344" s="1" t="e">
        <v>#N/A</v>
      </c>
      <c r="QI344" s="1" t="e">
        <v>#N/A</v>
      </c>
      <c r="QJ344" s="1" t="e">
        <v>#N/A</v>
      </c>
      <c r="QK344" s="1" t="e">
        <v>#N/A</v>
      </c>
      <c r="QL344" s="1" t="e">
        <v>#N/A</v>
      </c>
      <c r="QM344" s="1" t="e">
        <v>#N/A</v>
      </c>
      <c r="QN344" s="1" t="e">
        <v>#N/A</v>
      </c>
      <c r="QO344" s="1" t="e">
        <v>#N/A</v>
      </c>
      <c r="QP344" s="1" t="e">
        <v>#N/A</v>
      </c>
    </row>
    <row r="345" spans="1:458" ht="26.25" x14ac:dyDescent="0.4">
      <c r="A345" s="347"/>
      <c r="B345" s="348"/>
      <c r="C345" s="288"/>
      <c r="D345" s="349"/>
      <c r="E345" s="350"/>
      <c r="F345" s="351"/>
      <c r="G345" s="352"/>
      <c r="H345" s="348"/>
      <c r="I345" s="353"/>
      <c r="J345" s="353"/>
      <c r="PJ345" s="1" t="e">
        <v>#N/A</v>
      </c>
      <c r="PK345" s="1" t="e">
        <v>#N/A</v>
      </c>
      <c r="PL345" s="1" t="e">
        <v>#N/A</v>
      </c>
      <c r="PM345" s="1" t="e">
        <v>#N/A</v>
      </c>
      <c r="PN345" s="1" t="e">
        <v>#N/A</v>
      </c>
      <c r="PO345" s="1" t="e">
        <v>#N/A</v>
      </c>
      <c r="PP345" s="1" t="e">
        <v>#N/A</v>
      </c>
      <c r="PQ345" s="1" t="e">
        <v>#N/A</v>
      </c>
      <c r="PR345" s="1" t="e">
        <v>#N/A</v>
      </c>
      <c r="PS345" s="1" t="e">
        <v>#N/A</v>
      </c>
      <c r="PT345" s="1" t="e">
        <v>#N/A</v>
      </c>
      <c r="PU345" s="1" t="e">
        <v>#N/A</v>
      </c>
      <c r="PV345" s="1" t="e">
        <v>#N/A</v>
      </c>
      <c r="PW345" s="1" t="e">
        <v>#N/A</v>
      </c>
      <c r="PX345" s="1" t="e">
        <v>#N/A</v>
      </c>
      <c r="PY345" s="1" t="e">
        <v>#N/A</v>
      </c>
      <c r="PZ345" s="1" t="e">
        <v>#N/A</v>
      </c>
      <c r="QA345" s="1" t="e">
        <v>#N/A</v>
      </c>
      <c r="QB345" s="1" t="e">
        <v>#N/A</v>
      </c>
      <c r="QC345" s="1" t="e">
        <v>#N/A</v>
      </c>
      <c r="QD345" s="1" t="e">
        <v>#N/A</v>
      </c>
      <c r="QE345" s="1" t="e">
        <v>#N/A</v>
      </c>
      <c r="QF345" s="1" t="e">
        <v>#N/A</v>
      </c>
      <c r="QG345" s="1" t="e">
        <v>#N/A</v>
      </c>
      <c r="QH345" s="1" t="e">
        <v>#N/A</v>
      </c>
      <c r="QI345" s="1" t="e">
        <v>#N/A</v>
      </c>
      <c r="QJ345" s="1" t="e">
        <v>#N/A</v>
      </c>
      <c r="QK345" s="1" t="e">
        <v>#N/A</v>
      </c>
      <c r="QL345" s="1" t="e">
        <v>#N/A</v>
      </c>
      <c r="QM345" s="1" t="e">
        <v>#N/A</v>
      </c>
      <c r="QN345" s="1" t="e">
        <v>#N/A</v>
      </c>
      <c r="QO345" s="1" t="e">
        <v>#N/A</v>
      </c>
      <c r="QP345" s="1" t="e">
        <v>#N/A</v>
      </c>
    </row>
    <row r="346" spans="1:458" ht="26.25" x14ac:dyDescent="0.4">
      <c r="A346" s="347"/>
      <c r="B346" s="348"/>
      <c r="C346" s="288"/>
      <c r="D346" s="349"/>
      <c r="E346" s="350"/>
      <c r="F346" s="351"/>
      <c r="G346" s="352"/>
      <c r="H346" s="348"/>
      <c r="I346" s="353"/>
      <c r="J346" s="353"/>
      <c r="PJ346" s="1" t="e">
        <v>#N/A</v>
      </c>
      <c r="PK346" s="1" t="e">
        <v>#N/A</v>
      </c>
      <c r="PL346" s="1" t="e">
        <v>#N/A</v>
      </c>
      <c r="PM346" s="1" t="e">
        <v>#N/A</v>
      </c>
      <c r="PN346" s="1" t="e">
        <v>#N/A</v>
      </c>
      <c r="PO346" s="1" t="e">
        <v>#N/A</v>
      </c>
      <c r="PP346" s="1" t="e">
        <v>#N/A</v>
      </c>
      <c r="PQ346" s="1" t="e">
        <v>#N/A</v>
      </c>
      <c r="PR346" s="1" t="e">
        <v>#N/A</v>
      </c>
      <c r="PS346" s="1" t="e">
        <v>#N/A</v>
      </c>
      <c r="PT346" s="1" t="e">
        <v>#N/A</v>
      </c>
      <c r="PU346" s="1" t="e">
        <v>#N/A</v>
      </c>
      <c r="PV346" s="1" t="e">
        <v>#N/A</v>
      </c>
      <c r="PW346" s="1" t="e">
        <v>#N/A</v>
      </c>
      <c r="PX346" s="1" t="e">
        <v>#N/A</v>
      </c>
      <c r="PY346" s="1" t="e">
        <v>#N/A</v>
      </c>
      <c r="PZ346" s="1" t="e">
        <v>#N/A</v>
      </c>
      <c r="QA346" s="1" t="e">
        <v>#N/A</v>
      </c>
      <c r="QB346" s="1" t="e">
        <v>#N/A</v>
      </c>
      <c r="QC346" s="1" t="e">
        <v>#N/A</v>
      </c>
      <c r="QD346" s="1" t="e">
        <v>#N/A</v>
      </c>
      <c r="QE346" s="1" t="e">
        <v>#N/A</v>
      </c>
      <c r="QF346" s="1" t="e">
        <v>#N/A</v>
      </c>
      <c r="QG346" s="1" t="e">
        <v>#N/A</v>
      </c>
      <c r="QH346" s="1" t="e">
        <v>#N/A</v>
      </c>
      <c r="QI346" s="1" t="e">
        <v>#N/A</v>
      </c>
      <c r="QJ346" s="1" t="e">
        <v>#N/A</v>
      </c>
      <c r="QK346" s="1" t="e">
        <v>#N/A</v>
      </c>
      <c r="QL346" s="1" t="e">
        <v>#N/A</v>
      </c>
      <c r="QM346" s="1" t="e">
        <v>#N/A</v>
      </c>
      <c r="QN346" s="1" t="e">
        <v>#N/A</v>
      </c>
      <c r="QO346" s="1" t="e">
        <v>#N/A</v>
      </c>
      <c r="QP346" s="1" t="e">
        <v>#N/A</v>
      </c>
    </row>
    <row r="347" spans="1:458" ht="26.25" x14ac:dyDescent="0.4">
      <c r="A347" s="347"/>
      <c r="B347" s="348"/>
      <c r="C347" s="288"/>
      <c r="D347" s="349"/>
      <c r="E347" s="350"/>
      <c r="F347" s="351"/>
      <c r="G347" s="352"/>
      <c r="H347" s="348"/>
      <c r="I347" s="353"/>
      <c r="J347" s="353"/>
      <c r="PJ347" s="1" t="e">
        <v>#N/A</v>
      </c>
      <c r="PK347" s="1" t="e">
        <v>#N/A</v>
      </c>
      <c r="PL347" s="1" t="e">
        <v>#N/A</v>
      </c>
      <c r="PM347" s="1" t="e">
        <v>#N/A</v>
      </c>
      <c r="PN347" s="1" t="e">
        <v>#N/A</v>
      </c>
      <c r="PO347" s="1" t="e">
        <v>#N/A</v>
      </c>
      <c r="PP347" s="1" t="e">
        <v>#N/A</v>
      </c>
      <c r="PQ347" s="1" t="e">
        <v>#N/A</v>
      </c>
      <c r="PR347" s="1" t="e">
        <v>#N/A</v>
      </c>
      <c r="PS347" s="1" t="e">
        <v>#N/A</v>
      </c>
      <c r="PT347" s="1" t="e">
        <v>#N/A</v>
      </c>
      <c r="PU347" s="1" t="e">
        <v>#N/A</v>
      </c>
      <c r="PV347" s="1" t="e">
        <v>#N/A</v>
      </c>
      <c r="PW347" s="1" t="e">
        <v>#N/A</v>
      </c>
      <c r="PX347" s="1" t="e">
        <v>#N/A</v>
      </c>
      <c r="PY347" s="1" t="e">
        <v>#N/A</v>
      </c>
      <c r="PZ347" s="1" t="e">
        <v>#N/A</v>
      </c>
      <c r="QA347" s="1" t="e">
        <v>#N/A</v>
      </c>
      <c r="QB347" s="1" t="e">
        <v>#N/A</v>
      </c>
      <c r="QC347" s="1" t="e">
        <v>#N/A</v>
      </c>
      <c r="QD347" s="1" t="e">
        <v>#N/A</v>
      </c>
      <c r="QE347" s="1" t="e">
        <v>#N/A</v>
      </c>
      <c r="QF347" s="1" t="e">
        <v>#N/A</v>
      </c>
      <c r="QG347" s="1" t="e">
        <v>#N/A</v>
      </c>
      <c r="QH347" s="1" t="e">
        <v>#N/A</v>
      </c>
      <c r="QI347" s="1" t="e">
        <v>#N/A</v>
      </c>
      <c r="QJ347" s="1" t="e">
        <v>#N/A</v>
      </c>
      <c r="QK347" s="1" t="e">
        <v>#N/A</v>
      </c>
      <c r="QL347" s="1" t="e">
        <v>#N/A</v>
      </c>
      <c r="QM347" s="1" t="e">
        <v>#N/A</v>
      </c>
      <c r="QN347" s="1" t="e">
        <v>#N/A</v>
      </c>
      <c r="QO347" s="1" t="e">
        <v>#N/A</v>
      </c>
      <c r="QP347" s="1" t="e">
        <v>#N/A</v>
      </c>
    </row>
    <row r="348" spans="1:458" ht="26.25" x14ac:dyDescent="0.4">
      <c r="A348" s="347"/>
      <c r="B348" s="348"/>
      <c r="C348" s="288"/>
      <c r="D348" s="349"/>
      <c r="E348" s="350"/>
      <c r="F348" s="351"/>
      <c r="G348" s="352"/>
      <c r="H348" s="348"/>
      <c r="I348" s="353"/>
      <c r="J348" s="353"/>
      <c r="PJ348" s="1" t="e">
        <v>#N/A</v>
      </c>
      <c r="PK348" s="1" t="e">
        <v>#N/A</v>
      </c>
      <c r="PL348" s="1" t="e">
        <v>#N/A</v>
      </c>
      <c r="PM348" s="1" t="e">
        <v>#N/A</v>
      </c>
      <c r="PN348" s="1" t="e">
        <v>#N/A</v>
      </c>
      <c r="PO348" s="1" t="e">
        <v>#N/A</v>
      </c>
      <c r="PP348" s="1" t="e">
        <v>#N/A</v>
      </c>
      <c r="PQ348" s="1" t="e">
        <v>#N/A</v>
      </c>
      <c r="PR348" s="1" t="e">
        <v>#N/A</v>
      </c>
      <c r="PS348" s="1" t="e">
        <v>#N/A</v>
      </c>
      <c r="PT348" s="1" t="e">
        <v>#N/A</v>
      </c>
      <c r="PU348" s="1" t="e">
        <v>#N/A</v>
      </c>
      <c r="PV348" s="1" t="e">
        <v>#N/A</v>
      </c>
      <c r="PW348" s="1" t="e">
        <v>#N/A</v>
      </c>
      <c r="PX348" s="1" t="e">
        <v>#N/A</v>
      </c>
      <c r="PY348" s="1" t="e">
        <v>#N/A</v>
      </c>
      <c r="PZ348" s="1" t="e">
        <v>#N/A</v>
      </c>
      <c r="QA348" s="1" t="e">
        <v>#N/A</v>
      </c>
      <c r="QB348" s="1" t="e">
        <v>#N/A</v>
      </c>
      <c r="QC348" s="1" t="e">
        <v>#N/A</v>
      </c>
      <c r="QD348" s="1" t="e">
        <v>#N/A</v>
      </c>
      <c r="QE348" s="1" t="e">
        <v>#N/A</v>
      </c>
      <c r="QF348" s="1" t="e">
        <v>#N/A</v>
      </c>
      <c r="QG348" s="1" t="e">
        <v>#N/A</v>
      </c>
      <c r="QH348" s="1" t="e">
        <v>#N/A</v>
      </c>
      <c r="QI348" s="1" t="e">
        <v>#N/A</v>
      </c>
      <c r="QJ348" s="1" t="e">
        <v>#N/A</v>
      </c>
      <c r="QK348" s="1" t="e">
        <v>#N/A</v>
      </c>
      <c r="QL348" s="1" t="e">
        <v>#N/A</v>
      </c>
      <c r="QM348" s="1" t="e">
        <v>#N/A</v>
      </c>
      <c r="QN348" s="1" t="e">
        <v>#N/A</v>
      </c>
      <c r="QO348" s="1" t="e">
        <v>#N/A</v>
      </c>
      <c r="QP348" s="1" t="e">
        <v>#N/A</v>
      </c>
    </row>
    <row r="349" spans="1:458" ht="26.25" x14ac:dyDescent="0.4">
      <c r="A349" s="347"/>
      <c r="B349" s="348"/>
      <c r="C349" s="288"/>
      <c r="D349" s="349"/>
      <c r="E349" s="350"/>
      <c r="F349" s="351"/>
      <c r="G349" s="352"/>
      <c r="H349" s="348"/>
      <c r="I349" s="353"/>
      <c r="J349" s="353"/>
      <c r="PJ349" s="1" t="e">
        <v>#N/A</v>
      </c>
      <c r="PK349" s="1" t="e">
        <v>#N/A</v>
      </c>
      <c r="PL349" s="1" t="e">
        <v>#N/A</v>
      </c>
      <c r="PM349" s="1" t="e">
        <v>#N/A</v>
      </c>
      <c r="PN349" s="1" t="e">
        <v>#N/A</v>
      </c>
      <c r="PO349" s="1" t="e">
        <v>#N/A</v>
      </c>
      <c r="PP349" s="1" t="e">
        <v>#N/A</v>
      </c>
      <c r="PQ349" s="1" t="e">
        <v>#N/A</v>
      </c>
      <c r="PR349" s="1" t="e">
        <v>#N/A</v>
      </c>
      <c r="PS349" s="1" t="e">
        <v>#N/A</v>
      </c>
      <c r="PT349" s="1" t="e">
        <v>#N/A</v>
      </c>
      <c r="PU349" s="1" t="e">
        <v>#N/A</v>
      </c>
      <c r="PV349" s="1" t="e">
        <v>#N/A</v>
      </c>
      <c r="PW349" s="1" t="e">
        <v>#N/A</v>
      </c>
      <c r="PX349" s="1" t="e">
        <v>#N/A</v>
      </c>
      <c r="PY349" s="1" t="e">
        <v>#N/A</v>
      </c>
      <c r="PZ349" s="1" t="e">
        <v>#N/A</v>
      </c>
      <c r="QA349" s="1" t="e">
        <v>#N/A</v>
      </c>
      <c r="QB349" s="1" t="e">
        <v>#N/A</v>
      </c>
      <c r="QC349" s="1" t="e">
        <v>#N/A</v>
      </c>
      <c r="QD349" s="1" t="e">
        <v>#N/A</v>
      </c>
      <c r="QE349" s="1" t="e">
        <v>#N/A</v>
      </c>
      <c r="QF349" s="1" t="e">
        <v>#N/A</v>
      </c>
      <c r="QG349" s="1" t="e">
        <v>#N/A</v>
      </c>
      <c r="QH349" s="1" t="e">
        <v>#N/A</v>
      </c>
      <c r="QI349" s="1" t="e">
        <v>#N/A</v>
      </c>
      <c r="QJ349" s="1" t="e">
        <v>#N/A</v>
      </c>
      <c r="QK349" s="1" t="e">
        <v>#N/A</v>
      </c>
      <c r="QL349" s="1" t="e">
        <v>#N/A</v>
      </c>
      <c r="QM349" s="1" t="e">
        <v>#N/A</v>
      </c>
      <c r="QN349" s="1" t="e">
        <v>#N/A</v>
      </c>
      <c r="QO349" s="1" t="e">
        <v>#N/A</v>
      </c>
      <c r="QP349" s="1" t="e">
        <v>#N/A</v>
      </c>
    </row>
    <row r="350" spans="1:458" ht="26.25" x14ac:dyDescent="0.4">
      <c r="A350" s="347"/>
      <c r="B350" s="348"/>
      <c r="C350" s="288"/>
      <c r="D350" s="349"/>
      <c r="E350" s="350"/>
      <c r="F350" s="351"/>
      <c r="G350" s="352"/>
      <c r="H350" s="348"/>
      <c r="I350" s="353"/>
      <c r="J350" s="353"/>
      <c r="PJ350" s="1" t="e">
        <v>#N/A</v>
      </c>
      <c r="PK350" s="1" t="e">
        <v>#N/A</v>
      </c>
      <c r="PL350" s="1" t="e">
        <v>#N/A</v>
      </c>
      <c r="PM350" s="1" t="e">
        <v>#N/A</v>
      </c>
      <c r="PN350" s="1" t="e">
        <v>#N/A</v>
      </c>
      <c r="PO350" s="1" t="e">
        <v>#N/A</v>
      </c>
      <c r="PP350" s="1" t="e">
        <v>#N/A</v>
      </c>
      <c r="PQ350" s="1" t="e">
        <v>#N/A</v>
      </c>
      <c r="PR350" s="1" t="e">
        <v>#N/A</v>
      </c>
      <c r="PS350" s="1" t="e">
        <v>#N/A</v>
      </c>
      <c r="PT350" s="1" t="e">
        <v>#N/A</v>
      </c>
      <c r="PU350" s="1" t="e">
        <v>#N/A</v>
      </c>
      <c r="PV350" s="1" t="e">
        <v>#N/A</v>
      </c>
      <c r="PW350" s="1" t="e">
        <v>#N/A</v>
      </c>
      <c r="PX350" s="1" t="e">
        <v>#N/A</v>
      </c>
      <c r="PY350" s="1" t="e">
        <v>#N/A</v>
      </c>
      <c r="PZ350" s="1" t="e">
        <v>#N/A</v>
      </c>
      <c r="QA350" s="1" t="e">
        <v>#N/A</v>
      </c>
      <c r="QB350" s="1" t="e">
        <v>#N/A</v>
      </c>
      <c r="QC350" s="1" t="e">
        <v>#N/A</v>
      </c>
      <c r="QD350" s="1" t="e">
        <v>#N/A</v>
      </c>
      <c r="QE350" s="1" t="e">
        <v>#N/A</v>
      </c>
      <c r="QF350" s="1" t="e">
        <v>#N/A</v>
      </c>
      <c r="QG350" s="1" t="e">
        <v>#N/A</v>
      </c>
      <c r="QH350" s="1" t="e">
        <v>#N/A</v>
      </c>
      <c r="QI350" s="1" t="e">
        <v>#N/A</v>
      </c>
      <c r="QJ350" s="1" t="e">
        <v>#N/A</v>
      </c>
      <c r="QK350" s="1" t="e">
        <v>#N/A</v>
      </c>
      <c r="QL350" s="1" t="e">
        <v>#N/A</v>
      </c>
      <c r="QM350" s="1" t="e">
        <v>#N/A</v>
      </c>
      <c r="QN350" s="1" t="e">
        <v>#N/A</v>
      </c>
      <c r="QO350" s="1" t="e">
        <v>#N/A</v>
      </c>
      <c r="QP350" s="1" t="e">
        <v>#N/A</v>
      </c>
    </row>
    <row r="351" spans="1:458" ht="26.25" x14ac:dyDescent="0.4">
      <c r="A351" s="347"/>
      <c r="B351" s="348"/>
      <c r="C351" s="288"/>
      <c r="D351" s="349"/>
      <c r="E351" s="350"/>
      <c r="F351" s="351"/>
      <c r="G351" s="352"/>
      <c r="H351" s="348"/>
      <c r="I351" s="353"/>
      <c r="J351" s="353"/>
      <c r="PJ351" s="1" t="e">
        <v>#N/A</v>
      </c>
      <c r="PK351" s="1" t="e">
        <v>#N/A</v>
      </c>
      <c r="PL351" s="1" t="e">
        <v>#N/A</v>
      </c>
      <c r="PM351" s="1" t="e">
        <v>#N/A</v>
      </c>
      <c r="PN351" s="1" t="e">
        <v>#N/A</v>
      </c>
      <c r="PO351" s="1" t="e">
        <v>#N/A</v>
      </c>
      <c r="PP351" s="1" t="e">
        <v>#N/A</v>
      </c>
      <c r="PQ351" s="1" t="e">
        <v>#N/A</v>
      </c>
      <c r="PR351" s="1" t="e">
        <v>#N/A</v>
      </c>
      <c r="PS351" s="1" t="e">
        <v>#N/A</v>
      </c>
      <c r="PT351" s="1" t="e">
        <v>#N/A</v>
      </c>
      <c r="PU351" s="1" t="e">
        <v>#N/A</v>
      </c>
      <c r="PV351" s="1" t="e">
        <v>#N/A</v>
      </c>
      <c r="PW351" s="1" t="e">
        <v>#N/A</v>
      </c>
      <c r="PX351" s="1" t="e">
        <v>#N/A</v>
      </c>
      <c r="PY351" s="1" t="e">
        <v>#N/A</v>
      </c>
      <c r="PZ351" s="1" t="e">
        <v>#N/A</v>
      </c>
      <c r="QA351" s="1" t="e">
        <v>#N/A</v>
      </c>
      <c r="QB351" s="1" t="e">
        <v>#N/A</v>
      </c>
      <c r="QC351" s="1" t="e">
        <v>#N/A</v>
      </c>
      <c r="QD351" s="1" t="e">
        <v>#N/A</v>
      </c>
      <c r="QE351" s="1" t="e">
        <v>#N/A</v>
      </c>
      <c r="QF351" s="1" t="e">
        <v>#N/A</v>
      </c>
      <c r="QG351" s="1" t="e">
        <v>#N/A</v>
      </c>
      <c r="QH351" s="1" t="e">
        <v>#N/A</v>
      </c>
      <c r="QI351" s="1" t="e">
        <v>#N/A</v>
      </c>
      <c r="QJ351" s="1" t="e">
        <v>#N/A</v>
      </c>
      <c r="QK351" s="1" t="e">
        <v>#N/A</v>
      </c>
      <c r="QL351" s="1" t="e">
        <v>#N/A</v>
      </c>
      <c r="QM351" s="1" t="e">
        <v>#N/A</v>
      </c>
      <c r="QN351" s="1" t="e">
        <v>#N/A</v>
      </c>
      <c r="QO351" s="1" t="e">
        <v>#N/A</v>
      </c>
      <c r="QP351" s="1" t="e">
        <v>#N/A</v>
      </c>
    </row>
    <row r="352" spans="1:458" ht="26.25" x14ac:dyDescent="0.4">
      <c r="A352" s="347"/>
      <c r="B352" s="348"/>
      <c r="C352" s="288"/>
      <c r="D352" s="349"/>
      <c r="E352" s="350"/>
      <c r="F352" s="351"/>
      <c r="G352" s="352"/>
      <c r="H352" s="348"/>
      <c r="I352" s="353"/>
      <c r="J352" s="353"/>
      <c r="PJ352" s="1" t="e">
        <v>#N/A</v>
      </c>
      <c r="PK352" s="1" t="e">
        <v>#N/A</v>
      </c>
      <c r="PL352" s="1" t="e">
        <v>#N/A</v>
      </c>
      <c r="PM352" s="1" t="e">
        <v>#N/A</v>
      </c>
      <c r="PN352" s="1" t="e">
        <v>#N/A</v>
      </c>
      <c r="PO352" s="1" t="e">
        <v>#N/A</v>
      </c>
      <c r="PP352" s="1" t="e">
        <v>#N/A</v>
      </c>
      <c r="PQ352" s="1" t="e">
        <v>#N/A</v>
      </c>
      <c r="PR352" s="1" t="e">
        <v>#N/A</v>
      </c>
      <c r="PS352" s="1" t="e">
        <v>#N/A</v>
      </c>
      <c r="PT352" s="1" t="e">
        <v>#N/A</v>
      </c>
      <c r="PU352" s="1" t="e">
        <v>#N/A</v>
      </c>
      <c r="PV352" s="1" t="e">
        <v>#N/A</v>
      </c>
      <c r="PW352" s="1" t="e">
        <v>#N/A</v>
      </c>
      <c r="PX352" s="1" t="e">
        <v>#N/A</v>
      </c>
      <c r="PY352" s="1" t="e">
        <v>#N/A</v>
      </c>
      <c r="PZ352" s="1" t="e">
        <v>#N/A</v>
      </c>
      <c r="QA352" s="1" t="e">
        <v>#N/A</v>
      </c>
      <c r="QB352" s="1" t="e">
        <v>#N/A</v>
      </c>
      <c r="QC352" s="1" t="e">
        <v>#N/A</v>
      </c>
      <c r="QD352" s="1" t="e">
        <v>#N/A</v>
      </c>
      <c r="QE352" s="1" t="e">
        <v>#N/A</v>
      </c>
      <c r="QF352" s="1" t="e">
        <v>#N/A</v>
      </c>
      <c r="QG352" s="1" t="e">
        <v>#N/A</v>
      </c>
      <c r="QH352" s="1" t="e">
        <v>#N/A</v>
      </c>
      <c r="QI352" s="1" t="e">
        <v>#N/A</v>
      </c>
      <c r="QJ352" s="1" t="e">
        <v>#N/A</v>
      </c>
      <c r="QK352" s="1" t="e">
        <v>#N/A</v>
      </c>
      <c r="QL352" s="1" t="e">
        <v>#N/A</v>
      </c>
      <c r="QM352" s="1" t="e">
        <v>#N/A</v>
      </c>
      <c r="QN352" s="1" t="e">
        <v>#N/A</v>
      </c>
      <c r="QO352" s="1" t="e">
        <v>#N/A</v>
      </c>
      <c r="QP352" s="1" t="e">
        <v>#N/A</v>
      </c>
    </row>
    <row r="353" spans="1:458" ht="26.25" x14ac:dyDescent="0.4">
      <c r="A353" s="347"/>
      <c r="B353" s="348"/>
      <c r="C353" s="288"/>
      <c r="D353" s="349"/>
      <c r="E353" s="350"/>
      <c r="F353" s="351"/>
      <c r="G353" s="352"/>
      <c r="H353" s="348"/>
      <c r="I353" s="353"/>
      <c r="J353" s="353"/>
      <c r="PJ353" s="1" t="e">
        <v>#N/A</v>
      </c>
      <c r="PK353" s="1" t="e">
        <v>#N/A</v>
      </c>
      <c r="PL353" s="1" t="e">
        <v>#N/A</v>
      </c>
      <c r="PM353" s="1" t="e">
        <v>#N/A</v>
      </c>
      <c r="PN353" s="1" t="e">
        <v>#N/A</v>
      </c>
      <c r="PO353" s="1" t="e">
        <v>#N/A</v>
      </c>
      <c r="PP353" s="1" t="e">
        <v>#N/A</v>
      </c>
      <c r="PQ353" s="1" t="e">
        <v>#N/A</v>
      </c>
      <c r="PR353" s="1" t="e">
        <v>#N/A</v>
      </c>
      <c r="PS353" s="1" t="e">
        <v>#N/A</v>
      </c>
      <c r="PT353" s="1" t="e">
        <v>#N/A</v>
      </c>
      <c r="PU353" s="1" t="e">
        <v>#N/A</v>
      </c>
      <c r="PV353" s="1" t="e">
        <v>#N/A</v>
      </c>
      <c r="PW353" s="1" t="e">
        <v>#N/A</v>
      </c>
      <c r="PX353" s="1" t="e">
        <v>#N/A</v>
      </c>
      <c r="PY353" s="1" t="e">
        <v>#N/A</v>
      </c>
      <c r="PZ353" s="1" t="e">
        <v>#N/A</v>
      </c>
      <c r="QA353" s="1" t="e">
        <v>#N/A</v>
      </c>
      <c r="QB353" s="1" t="e">
        <v>#N/A</v>
      </c>
      <c r="QC353" s="1" t="e">
        <v>#N/A</v>
      </c>
      <c r="QD353" s="1" t="e">
        <v>#N/A</v>
      </c>
      <c r="QE353" s="1" t="e">
        <v>#N/A</v>
      </c>
      <c r="QF353" s="1" t="e">
        <v>#N/A</v>
      </c>
      <c r="QG353" s="1" t="e">
        <v>#N/A</v>
      </c>
      <c r="QH353" s="1" t="e">
        <v>#N/A</v>
      </c>
      <c r="QI353" s="1" t="e">
        <v>#N/A</v>
      </c>
      <c r="QJ353" s="1" t="e">
        <v>#N/A</v>
      </c>
      <c r="QK353" s="1" t="e">
        <v>#N/A</v>
      </c>
      <c r="QL353" s="1" t="e">
        <v>#N/A</v>
      </c>
      <c r="QM353" s="1" t="e">
        <v>#N/A</v>
      </c>
      <c r="QN353" s="1" t="e">
        <v>#N/A</v>
      </c>
      <c r="QO353" s="1" t="e">
        <v>#N/A</v>
      </c>
      <c r="QP353" s="1" t="e">
        <v>#N/A</v>
      </c>
    </row>
    <row r="354" spans="1:458" ht="26.25" x14ac:dyDescent="0.4">
      <c r="A354" s="347"/>
      <c r="B354" s="348"/>
      <c r="C354" s="288"/>
      <c r="D354" s="349"/>
      <c r="E354" s="350"/>
      <c r="F354" s="351"/>
      <c r="G354" s="352"/>
      <c r="H354" s="348"/>
      <c r="I354" s="353"/>
      <c r="J354" s="353"/>
      <c r="PJ354" s="1" t="e">
        <v>#N/A</v>
      </c>
      <c r="PK354" s="1" t="e">
        <v>#N/A</v>
      </c>
      <c r="PL354" s="1" t="e">
        <v>#N/A</v>
      </c>
      <c r="PM354" s="1" t="e">
        <v>#N/A</v>
      </c>
      <c r="PN354" s="1" t="e">
        <v>#N/A</v>
      </c>
      <c r="PO354" s="1" t="e">
        <v>#N/A</v>
      </c>
      <c r="PP354" s="1" t="e">
        <v>#N/A</v>
      </c>
      <c r="PQ354" s="1" t="e">
        <v>#N/A</v>
      </c>
      <c r="PR354" s="1" t="e">
        <v>#N/A</v>
      </c>
      <c r="PS354" s="1" t="e">
        <v>#N/A</v>
      </c>
      <c r="PT354" s="1" t="e">
        <v>#N/A</v>
      </c>
      <c r="PU354" s="1" t="e">
        <v>#N/A</v>
      </c>
      <c r="PV354" s="1" t="e">
        <v>#N/A</v>
      </c>
      <c r="PW354" s="1" t="e">
        <v>#N/A</v>
      </c>
      <c r="PX354" s="1" t="e">
        <v>#N/A</v>
      </c>
      <c r="PY354" s="1" t="e">
        <v>#N/A</v>
      </c>
      <c r="PZ354" s="1" t="e">
        <v>#N/A</v>
      </c>
      <c r="QA354" s="1" t="e">
        <v>#N/A</v>
      </c>
      <c r="QB354" s="1" t="e">
        <v>#N/A</v>
      </c>
      <c r="QC354" s="1" t="e">
        <v>#N/A</v>
      </c>
      <c r="QD354" s="1" t="e">
        <v>#N/A</v>
      </c>
      <c r="QE354" s="1" t="e">
        <v>#N/A</v>
      </c>
      <c r="QF354" s="1" t="e">
        <v>#N/A</v>
      </c>
      <c r="QG354" s="1" t="e">
        <v>#N/A</v>
      </c>
      <c r="QH354" s="1" t="e">
        <v>#N/A</v>
      </c>
      <c r="QI354" s="1" t="e">
        <v>#N/A</v>
      </c>
      <c r="QJ354" s="1" t="e">
        <v>#N/A</v>
      </c>
      <c r="QK354" s="1" t="e">
        <v>#N/A</v>
      </c>
      <c r="QL354" s="1" t="e">
        <v>#N/A</v>
      </c>
      <c r="QM354" s="1" t="e">
        <v>#N/A</v>
      </c>
      <c r="QN354" s="1" t="e">
        <v>#N/A</v>
      </c>
      <c r="QO354" s="1" t="e">
        <v>#N/A</v>
      </c>
      <c r="QP354" s="1" t="e">
        <v>#N/A</v>
      </c>
    </row>
    <row r="355" spans="1:458" ht="26.25" x14ac:dyDescent="0.4">
      <c r="A355" s="347"/>
      <c r="B355" s="348"/>
      <c r="C355" s="288"/>
      <c r="D355" s="349"/>
      <c r="E355" s="350"/>
      <c r="F355" s="351"/>
      <c r="G355" s="352"/>
      <c r="H355" s="348"/>
      <c r="I355" s="353"/>
      <c r="J355" s="353"/>
      <c r="PJ355" s="1" t="e">
        <v>#N/A</v>
      </c>
      <c r="PK355" s="1" t="e">
        <v>#N/A</v>
      </c>
      <c r="PL355" s="1" t="e">
        <v>#N/A</v>
      </c>
      <c r="PM355" s="1" t="e">
        <v>#N/A</v>
      </c>
      <c r="PN355" s="1" t="e">
        <v>#N/A</v>
      </c>
      <c r="PO355" s="1" t="e">
        <v>#N/A</v>
      </c>
      <c r="PP355" s="1" t="e">
        <v>#N/A</v>
      </c>
      <c r="PQ355" s="1" t="e">
        <v>#N/A</v>
      </c>
      <c r="PR355" s="1" t="e">
        <v>#N/A</v>
      </c>
      <c r="PS355" s="1" t="e">
        <v>#N/A</v>
      </c>
      <c r="PT355" s="1" t="e">
        <v>#N/A</v>
      </c>
      <c r="PU355" s="1" t="e">
        <v>#N/A</v>
      </c>
      <c r="PV355" s="1" t="e">
        <v>#N/A</v>
      </c>
      <c r="PW355" s="1" t="e">
        <v>#N/A</v>
      </c>
      <c r="PX355" s="1" t="e">
        <v>#N/A</v>
      </c>
      <c r="PY355" s="1" t="e">
        <v>#N/A</v>
      </c>
      <c r="PZ355" s="1" t="e">
        <v>#N/A</v>
      </c>
      <c r="QA355" s="1" t="e">
        <v>#N/A</v>
      </c>
      <c r="QB355" s="1" t="e">
        <v>#N/A</v>
      </c>
      <c r="QC355" s="1" t="e">
        <v>#N/A</v>
      </c>
      <c r="QD355" s="1" t="e">
        <v>#N/A</v>
      </c>
      <c r="QE355" s="1" t="e">
        <v>#N/A</v>
      </c>
      <c r="QF355" s="1" t="e">
        <v>#N/A</v>
      </c>
      <c r="QG355" s="1" t="e">
        <v>#N/A</v>
      </c>
      <c r="QH355" s="1" t="e">
        <v>#N/A</v>
      </c>
      <c r="QI355" s="1" t="e">
        <v>#N/A</v>
      </c>
      <c r="QJ355" s="1" t="e">
        <v>#N/A</v>
      </c>
      <c r="QK355" s="1" t="e">
        <v>#N/A</v>
      </c>
      <c r="QL355" s="1" t="e">
        <v>#N/A</v>
      </c>
      <c r="QM355" s="1" t="e">
        <v>#N/A</v>
      </c>
      <c r="QN355" s="1" t="e">
        <v>#N/A</v>
      </c>
      <c r="QO355" s="1" t="e">
        <v>#N/A</v>
      </c>
      <c r="QP355" s="1" t="e">
        <v>#N/A</v>
      </c>
    </row>
    <row r="356" spans="1:458" ht="26.25" x14ac:dyDescent="0.4">
      <c r="A356" s="347"/>
      <c r="B356" s="348"/>
      <c r="C356" s="288"/>
      <c r="D356" s="349"/>
      <c r="E356" s="350"/>
      <c r="F356" s="351"/>
      <c r="G356" s="352"/>
      <c r="H356" s="348"/>
      <c r="I356" s="353"/>
      <c r="J356" s="353"/>
      <c r="PJ356" s="1" t="e">
        <v>#N/A</v>
      </c>
      <c r="PK356" s="1" t="e">
        <v>#N/A</v>
      </c>
      <c r="PL356" s="1" t="e">
        <v>#N/A</v>
      </c>
      <c r="PM356" s="1" t="e">
        <v>#N/A</v>
      </c>
      <c r="PN356" s="1" t="e">
        <v>#N/A</v>
      </c>
      <c r="PO356" s="1" t="e">
        <v>#N/A</v>
      </c>
      <c r="PP356" s="1" t="e">
        <v>#N/A</v>
      </c>
      <c r="PQ356" s="1" t="e">
        <v>#N/A</v>
      </c>
      <c r="PR356" s="1" t="e">
        <v>#N/A</v>
      </c>
      <c r="PS356" s="1" t="e">
        <v>#N/A</v>
      </c>
      <c r="PT356" s="1" t="e">
        <v>#N/A</v>
      </c>
      <c r="PU356" s="1" t="e">
        <v>#N/A</v>
      </c>
      <c r="PV356" s="1" t="e">
        <v>#N/A</v>
      </c>
      <c r="PW356" s="1" t="e">
        <v>#N/A</v>
      </c>
      <c r="PX356" s="1" t="e">
        <v>#N/A</v>
      </c>
      <c r="PY356" s="1" t="e">
        <v>#N/A</v>
      </c>
      <c r="PZ356" s="1" t="e">
        <v>#N/A</v>
      </c>
      <c r="QA356" s="1" t="e">
        <v>#N/A</v>
      </c>
      <c r="QB356" s="1" t="e">
        <v>#N/A</v>
      </c>
      <c r="QC356" s="1" t="e">
        <v>#N/A</v>
      </c>
      <c r="QD356" s="1" t="e">
        <v>#N/A</v>
      </c>
      <c r="QE356" s="1" t="e">
        <v>#N/A</v>
      </c>
      <c r="QF356" s="1" t="e">
        <v>#N/A</v>
      </c>
      <c r="QG356" s="1" t="e">
        <v>#N/A</v>
      </c>
      <c r="QH356" s="1" t="e">
        <v>#N/A</v>
      </c>
      <c r="QI356" s="1" t="e">
        <v>#N/A</v>
      </c>
      <c r="QJ356" s="1" t="e">
        <v>#N/A</v>
      </c>
      <c r="QK356" s="1" t="e">
        <v>#N/A</v>
      </c>
      <c r="QL356" s="1" t="e">
        <v>#N/A</v>
      </c>
      <c r="QM356" s="1" t="e">
        <v>#N/A</v>
      </c>
      <c r="QN356" s="1" t="e">
        <v>#N/A</v>
      </c>
      <c r="QO356" s="1" t="e">
        <v>#N/A</v>
      </c>
      <c r="QP356" s="1" t="e">
        <v>#N/A</v>
      </c>
    </row>
    <row r="357" spans="1:458" ht="26.25" x14ac:dyDescent="0.4">
      <c r="A357" s="347"/>
      <c r="B357" s="348"/>
      <c r="C357" s="288"/>
      <c r="D357" s="349"/>
      <c r="E357" s="350"/>
      <c r="F357" s="351"/>
      <c r="G357" s="352"/>
      <c r="H357" s="348"/>
      <c r="I357" s="353"/>
      <c r="J357" s="353"/>
      <c r="PJ357" s="1" t="e">
        <v>#N/A</v>
      </c>
      <c r="PK357" s="1" t="e">
        <v>#N/A</v>
      </c>
      <c r="PL357" s="1" t="e">
        <v>#N/A</v>
      </c>
      <c r="PM357" s="1" t="e">
        <v>#N/A</v>
      </c>
      <c r="PN357" s="1" t="e">
        <v>#N/A</v>
      </c>
      <c r="PO357" s="1" t="e">
        <v>#N/A</v>
      </c>
      <c r="PP357" s="1" t="e">
        <v>#N/A</v>
      </c>
      <c r="PQ357" s="1" t="e">
        <v>#N/A</v>
      </c>
      <c r="PR357" s="1" t="e">
        <v>#N/A</v>
      </c>
      <c r="PS357" s="1" t="e">
        <v>#N/A</v>
      </c>
      <c r="PT357" s="1" t="e">
        <v>#N/A</v>
      </c>
      <c r="PU357" s="1" t="e">
        <v>#N/A</v>
      </c>
      <c r="PV357" s="1" t="e">
        <v>#N/A</v>
      </c>
      <c r="PW357" s="1" t="e">
        <v>#N/A</v>
      </c>
      <c r="PX357" s="1" t="e">
        <v>#N/A</v>
      </c>
      <c r="PY357" s="1" t="e">
        <v>#N/A</v>
      </c>
      <c r="PZ357" s="1" t="e">
        <v>#N/A</v>
      </c>
      <c r="QA357" s="1" t="e">
        <v>#N/A</v>
      </c>
      <c r="QB357" s="1" t="e">
        <v>#N/A</v>
      </c>
      <c r="QC357" s="1" t="e">
        <v>#N/A</v>
      </c>
      <c r="QD357" s="1" t="e">
        <v>#N/A</v>
      </c>
      <c r="QE357" s="1" t="e">
        <v>#N/A</v>
      </c>
      <c r="QF357" s="1" t="e">
        <v>#N/A</v>
      </c>
      <c r="QG357" s="1" t="e">
        <v>#N/A</v>
      </c>
      <c r="QH357" s="1" t="e">
        <v>#N/A</v>
      </c>
      <c r="QI357" s="1" t="e">
        <v>#N/A</v>
      </c>
      <c r="QJ357" s="1" t="e">
        <v>#N/A</v>
      </c>
      <c r="QK357" s="1" t="e">
        <v>#N/A</v>
      </c>
      <c r="QL357" s="1" t="e">
        <v>#N/A</v>
      </c>
      <c r="QM357" s="1" t="e">
        <v>#N/A</v>
      </c>
      <c r="QN357" s="1" t="e">
        <v>#N/A</v>
      </c>
      <c r="QO357" s="1" t="e">
        <v>#N/A</v>
      </c>
      <c r="QP357" s="1" t="e">
        <v>#N/A</v>
      </c>
    </row>
    <row r="358" spans="1:458" ht="26.25" x14ac:dyDescent="0.4">
      <c r="A358" s="347"/>
      <c r="B358" s="348"/>
      <c r="C358" s="288"/>
      <c r="D358" s="349"/>
      <c r="E358" s="350"/>
      <c r="F358" s="351"/>
      <c r="G358" s="352"/>
      <c r="H358" s="348"/>
      <c r="I358" s="353"/>
      <c r="J358" s="353"/>
      <c r="PJ358" s="1" t="e">
        <v>#N/A</v>
      </c>
      <c r="PK358" s="1" t="e">
        <v>#N/A</v>
      </c>
      <c r="PL358" s="1" t="e">
        <v>#N/A</v>
      </c>
      <c r="PM358" s="1" t="e">
        <v>#N/A</v>
      </c>
      <c r="PN358" s="1" t="e">
        <v>#N/A</v>
      </c>
      <c r="PO358" s="1" t="e">
        <v>#N/A</v>
      </c>
      <c r="PP358" s="1" t="e">
        <v>#N/A</v>
      </c>
      <c r="PQ358" s="1" t="e">
        <v>#N/A</v>
      </c>
      <c r="PR358" s="1" t="e">
        <v>#N/A</v>
      </c>
      <c r="PS358" s="1" t="e">
        <v>#N/A</v>
      </c>
      <c r="PT358" s="1" t="e">
        <v>#N/A</v>
      </c>
      <c r="PU358" s="1" t="e">
        <v>#N/A</v>
      </c>
      <c r="PV358" s="1" t="e">
        <v>#N/A</v>
      </c>
      <c r="PW358" s="1" t="e">
        <v>#N/A</v>
      </c>
      <c r="PX358" s="1" t="e">
        <v>#N/A</v>
      </c>
      <c r="PY358" s="1" t="e">
        <v>#N/A</v>
      </c>
      <c r="PZ358" s="1" t="e">
        <v>#N/A</v>
      </c>
      <c r="QA358" s="1" t="e">
        <v>#N/A</v>
      </c>
      <c r="QB358" s="1" t="e">
        <v>#N/A</v>
      </c>
      <c r="QC358" s="1" t="e">
        <v>#N/A</v>
      </c>
      <c r="QD358" s="1" t="e">
        <v>#N/A</v>
      </c>
      <c r="QE358" s="1" t="e">
        <v>#N/A</v>
      </c>
      <c r="QF358" s="1" t="e">
        <v>#N/A</v>
      </c>
      <c r="QG358" s="1" t="e">
        <v>#N/A</v>
      </c>
      <c r="QH358" s="1" t="e">
        <v>#N/A</v>
      </c>
      <c r="QI358" s="1" t="e">
        <v>#N/A</v>
      </c>
      <c r="QJ358" s="1" t="e">
        <v>#N/A</v>
      </c>
      <c r="QK358" s="1" t="e">
        <v>#N/A</v>
      </c>
      <c r="QL358" s="1" t="e">
        <v>#N/A</v>
      </c>
      <c r="QM358" s="1" t="e">
        <v>#N/A</v>
      </c>
      <c r="QN358" s="1" t="e">
        <v>#N/A</v>
      </c>
      <c r="QO358" s="1" t="e">
        <v>#N/A</v>
      </c>
      <c r="QP358" s="1" t="e">
        <v>#N/A</v>
      </c>
    </row>
    <row r="359" spans="1:458" ht="26.25" x14ac:dyDescent="0.4">
      <c r="A359" s="347"/>
      <c r="B359" s="348"/>
      <c r="C359" s="288"/>
      <c r="D359" s="349"/>
      <c r="E359" s="350"/>
      <c r="F359" s="351"/>
      <c r="G359" s="352"/>
      <c r="H359" s="348"/>
      <c r="I359" s="353"/>
      <c r="J359" s="353"/>
      <c r="PJ359" s="1" t="e">
        <v>#N/A</v>
      </c>
      <c r="PK359" s="1" t="e">
        <v>#N/A</v>
      </c>
      <c r="PL359" s="1" t="e">
        <v>#N/A</v>
      </c>
      <c r="PM359" s="1" t="e">
        <v>#N/A</v>
      </c>
      <c r="PN359" s="1" t="e">
        <v>#N/A</v>
      </c>
      <c r="PO359" s="1" t="e">
        <v>#N/A</v>
      </c>
      <c r="PP359" s="1" t="e">
        <v>#N/A</v>
      </c>
      <c r="PQ359" s="1" t="e">
        <v>#N/A</v>
      </c>
      <c r="PR359" s="1" t="e">
        <v>#N/A</v>
      </c>
      <c r="PS359" s="1" t="e">
        <v>#N/A</v>
      </c>
      <c r="PT359" s="1" t="e">
        <v>#N/A</v>
      </c>
      <c r="PU359" s="1" t="e">
        <v>#N/A</v>
      </c>
      <c r="PV359" s="1" t="e">
        <v>#N/A</v>
      </c>
      <c r="PW359" s="1" t="e">
        <v>#N/A</v>
      </c>
      <c r="PX359" s="1" t="e">
        <v>#N/A</v>
      </c>
      <c r="PY359" s="1" t="e">
        <v>#N/A</v>
      </c>
      <c r="PZ359" s="1" t="e">
        <v>#N/A</v>
      </c>
      <c r="QA359" s="1" t="e">
        <v>#N/A</v>
      </c>
      <c r="QB359" s="1" t="e">
        <v>#N/A</v>
      </c>
      <c r="QC359" s="1" t="e">
        <v>#N/A</v>
      </c>
      <c r="QD359" s="1" t="e">
        <v>#N/A</v>
      </c>
      <c r="QE359" s="1" t="e">
        <v>#N/A</v>
      </c>
      <c r="QF359" s="1" t="e">
        <v>#N/A</v>
      </c>
      <c r="QG359" s="1" t="e">
        <v>#N/A</v>
      </c>
      <c r="QH359" s="1" t="e">
        <v>#N/A</v>
      </c>
      <c r="QI359" s="1" t="e">
        <v>#N/A</v>
      </c>
      <c r="QJ359" s="1" t="e">
        <v>#N/A</v>
      </c>
      <c r="QK359" s="1" t="e">
        <v>#N/A</v>
      </c>
      <c r="QL359" s="1" t="e">
        <v>#N/A</v>
      </c>
      <c r="QM359" s="1" t="e">
        <v>#N/A</v>
      </c>
      <c r="QN359" s="1" t="e">
        <v>#N/A</v>
      </c>
      <c r="QO359" s="1" t="e">
        <v>#N/A</v>
      </c>
      <c r="QP359" s="1" t="e">
        <v>#N/A</v>
      </c>
    </row>
    <row r="360" spans="1:458" ht="26.25" x14ac:dyDescent="0.4">
      <c r="A360" s="347"/>
      <c r="B360" s="348"/>
      <c r="C360" s="288"/>
      <c r="D360" s="349"/>
      <c r="E360" s="350"/>
      <c r="F360" s="351"/>
      <c r="G360" s="352"/>
      <c r="H360" s="348"/>
      <c r="I360" s="353"/>
      <c r="J360" s="353"/>
      <c r="PJ360" s="1" t="e">
        <v>#N/A</v>
      </c>
      <c r="PK360" s="1" t="e">
        <v>#N/A</v>
      </c>
      <c r="PL360" s="1" t="e">
        <v>#N/A</v>
      </c>
      <c r="PM360" s="1" t="e">
        <v>#N/A</v>
      </c>
      <c r="PN360" s="1" t="e">
        <v>#N/A</v>
      </c>
      <c r="PO360" s="1" t="e">
        <v>#N/A</v>
      </c>
      <c r="PP360" s="1" t="e">
        <v>#N/A</v>
      </c>
      <c r="PQ360" s="1" t="e">
        <v>#N/A</v>
      </c>
      <c r="PR360" s="1" t="e">
        <v>#N/A</v>
      </c>
      <c r="PS360" s="1" t="e">
        <v>#N/A</v>
      </c>
      <c r="PT360" s="1" t="e">
        <v>#N/A</v>
      </c>
      <c r="PU360" s="1" t="e">
        <v>#N/A</v>
      </c>
      <c r="PV360" s="1" t="e">
        <v>#N/A</v>
      </c>
      <c r="PW360" s="1" t="e">
        <v>#N/A</v>
      </c>
      <c r="PX360" s="1" t="e">
        <v>#N/A</v>
      </c>
      <c r="PY360" s="1" t="e">
        <v>#N/A</v>
      </c>
      <c r="PZ360" s="1" t="e">
        <v>#N/A</v>
      </c>
      <c r="QA360" s="1" t="e">
        <v>#N/A</v>
      </c>
      <c r="QB360" s="1" t="e">
        <v>#N/A</v>
      </c>
      <c r="QC360" s="1" t="e">
        <v>#N/A</v>
      </c>
      <c r="QD360" s="1" t="e">
        <v>#N/A</v>
      </c>
      <c r="QE360" s="1" t="e">
        <v>#N/A</v>
      </c>
      <c r="QF360" s="1" t="e">
        <v>#N/A</v>
      </c>
      <c r="QG360" s="1" t="e">
        <v>#N/A</v>
      </c>
      <c r="QH360" s="1" t="e">
        <v>#N/A</v>
      </c>
      <c r="QI360" s="1" t="e">
        <v>#N/A</v>
      </c>
      <c r="QJ360" s="1" t="e">
        <v>#N/A</v>
      </c>
      <c r="QK360" s="1" t="e">
        <v>#N/A</v>
      </c>
      <c r="QL360" s="1" t="e">
        <v>#N/A</v>
      </c>
      <c r="QM360" s="1" t="e">
        <v>#N/A</v>
      </c>
      <c r="QN360" s="1" t="e">
        <v>#N/A</v>
      </c>
      <c r="QO360" s="1" t="e">
        <v>#N/A</v>
      </c>
      <c r="QP360" s="1" t="e">
        <v>#N/A</v>
      </c>
    </row>
    <row r="361" spans="1:458" ht="26.25" x14ac:dyDescent="0.4">
      <c r="A361" s="347"/>
      <c r="B361" s="348"/>
      <c r="C361" s="288"/>
      <c r="D361" s="349"/>
      <c r="E361" s="350"/>
      <c r="F361" s="351"/>
      <c r="G361" s="352"/>
      <c r="H361" s="348"/>
      <c r="I361" s="353"/>
      <c r="J361" s="353"/>
      <c r="PJ361" s="1" t="e">
        <v>#N/A</v>
      </c>
      <c r="PK361" s="1" t="e">
        <v>#N/A</v>
      </c>
      <c r="PL361" s="1" t="e">
        <v>#N/A</v>
      </c>
      <c r="PM361" s="1" t="e">
        <v>#N/A</v>
      </c>
      <c r="PN361" s="1" t="e">
        <v>#N/A</v>
      </c>
      <c r="PO361" s="1" t="e">
        <v>#N/A</v>
      </c>
      <c r="PP361" s="1" t="e">
        <v>#N/A</v>
      </c>
      <c r="PQ361" s="1" t="e">
        <v>#N/A</v>
      </c>
      <c r="PR361" s="1" t="e">
        <v>#N/A</v>
      </c>
      <c r="PS361" s="1" t="e">
        <v>#N/A</v>
      </c>
      <c r="PT361" s="1" t="e">
        <v>#N/A</v>
      </c>
      <c r="PU361" s="1" t="e">
        <v>#N/A</v>
      </c>
      <c r="PV361" s="1" t="e">
        <v>#N/A</v>
      </c>
      <c r="PW361" s="1" t="e">
        <v>#N/A</v>
      </c>
      <c r="PX361" s="1" t="e">
        <v>#N/A</v>
      </c>
      <c r="PY361" s="1" t="e">
        <v>#N/A</v>
      </c>
      <c r="PZ361" s="1" t="e">
        <v>#N/A</v>
      </c>
      <c r="QA361" s="1" t="e">
        <v>#N/A</v>
      </c>
      <c r="QB361" s="1" t="e">
        <v>#N/A</v>
      </c>
      <c r="QC361" s="1" t="e">
        <v>#N/A</v>
      </c>
      <c r="QD361" s="1" t="e">
        <v>#N/A</v>
      </c>
      <c r="QE361" s="1" t="e">
        <v>#N/A</v>
      </c>
      <c r="QF361" s="1" t="e">
        <v>#N/A</v>
      </c>
      <c r="QG361" s="1" t="e">
        <v>#N/A</v>
      </c>
      <c r="QH361" s="1" t="e">
        <v>#N/A</v>
      </c>
      <c r="QI361" s="1" t="e">
        <v>#N/A</v>
      </c>
      <c r="QJ361" s="1" t="e">
        <v>#N/A</v>
      </c>
      <c r="QK361" s="1" t="e">
        <v>#N/A</v>
      </c>
      <c r="QL361" s="1" t="e">
        <v>#N/A</v>
      </c>
      <c r="QM361" s="1" t="e">
        <v>#N/A</v>
      </c>
      <c r="QN361" s="1" t="e">
        <v>#N/A</v>
      </c>
      <c r="QO361" s="1" t="e">
        <v>#N/A</v>
      </c>
      <c r="QP361" s="1" t="e">
        <v>#N/A</v>
      </c>
    </row>
    <row r="362" spans="1:458" ht="26.25" x14ac:dyDescent="0.4">
      <c r="A362" s="347"/>
      <c r="B362" s="348"/>
      <c r="C362" s="288"/>
      <c r="D362" s="349"/>
      <c r="E362" s="350"/>
      <c r="F362" s="351"/>
      <c r="G362" s="352"/>
      <c r="H362" s="348"/>
      <c r="I362" s="353"/>
      <c r="J362" s="353"/>
      <c r="PJ362" s="1" t="e">
        <v>#N/A</v>
      </c>
      <c r="PK362" s="1" t="e">
        <v>#N/A</v>
      </c>
      <c r="PL362" s="1" t="e">
        <v>#N/A</v>
      </c>
      <c r="PM362" s="1" t="e">
        <v>#N/A</v>
      </c>
      <c r="PN362" s="1" t="e">
        <v>#N/A</v>
      </c>
      <c r="PO362" s="1" t="e">
        <v>#N/A</v>
      </c>
      <c r="PP362" s="1" t="e">
        <v>#N/A</v>
      </c>
      <c r="PQ362" s="1" t="e">
        <v>#N/A</v>
      </c>
      <c r="PR362" s="1" t="e">
        <v>#N/A</v>
      </c>
      <c r="PS362" s="1" t="e">
        <v>#N/A</v>
      </c>
      <c r="PT362" s="1" t="e">
        <v>#N/A</v>
      </c>
      <c r="PU362" s="1" t="e">
        <v>#N/A</v>
      </c>
      <c r="PV362" s="1" t="e">
        <v>#N/A</v>
      </c>
      <c r="PW362" s="1" t="e">
        <v>#N/A</v>
      </c>
      <c r="PX362" s="1" t="e">
        <v>#N/A</v>
      </c>
      <c r="PY362" s="1" t="e">
        <v>#N/A</v>
      </c>
      <c r="PZ362" s="1" t="e">
        <v>#N/A</v>
      </c>
      <c r="QA362" s="1" t="e">
        <v>#N/A</v>
      </c>
      <c r="QB362" s="1" t="e">
        <v>#N/A</v>
      </c>
      <c r="QC362" s="1" t="e">
        <v>#N/A</v>
      </c>
      <c r="QD362" s="1" t="e">
        <v>#N/A</v>
      </c>
      <c r="QE362" s="1" t="e">
        <v>#N/A</v>
      </c>
      <c r="QF362" s="1" t="e">
        <v>#N/A</v>
      </c>
      <c r="QG362" s="1" t="e">
        <v>#N/A</v>
      </c>
      <c r="QH362" s="1" t="e">
        <v>#N/A</v>
      </c>
      <c r="QI362" s="1" t="e">
        <v>#N/A</v>
      </c>
      <c r="QJ362" s="1" t="e">
        <v>#N/A</v>
      </c>
      <c r="QK362" s="1" t="e">
        <v>#N/A</v>
      </c>
      <c r="QL362" s="1" t="e">
        <v>#N/A</v>
      </c>
      <c r="QM362" s="1" t="e">
        <v>#N/A</v>
      </c>
      <c r="QN362" s="1" t="e">
        <v>#N/A</v>
      </c>
      <c r="QO362" s="1" t="e">
        <v>#N/A</v>
      </c>
      <c r="QP362" s="1" t="e">
        <v>#N/A</v>
      </c>
    </row>
    <row r="363" spans="1:458" ht="26.25" x14ac:dyDescent="0.4">
      <c r="A363" s="347"/>
      <c r="B363" s="348"/>
      <c r="C363" s="288"/>
      <c r="D363" s="349"/>
      <c r="E363" s="350"/>
      <c r="F363" s="351"/>
      <c r="G363" s="352"/>
      <c r="H363" s="348"/>
      <c r="I363" s="353"/>
      <c r="J363" s="353"/>
      <c r="PJ363" s="1" t="e">
        <v>#N/A</v>
      </c>
      <c r="PK363" s="1" t="e">
        <v>#N/A</v>
      </c>
      <c r="PL363" s="1" t="e">
        <v>#N/A</v>
      </c>
      <c r="PM363" s="1" t="e">
        <v>#N/A</v>
      </c>
      <c r="PN363" s="1" t="e">
        <v>#N/A</v>
      </c>
      <c r="PO363" s="1" t="e">
        <v>#N/A</v>
      </c>
      <c r="PP363" s="1" t="e">
        <v>#N/A</v>
      </c>
      <c r="PQ363" s="1" t="e">
        <v>#N/A</v>
      </c>
      <c r="PR363" s="1" t="e">
        <v>#N/A</v>
      </c>
      <c r="PS363" s="1" t="e">
        <v>#N/A</v>
      </c>
      <c r="PT363" s="1" t="e">
        <v>#N/A</v>
      </c>
      <c r="PU363" s="1" t="e">
        <v>#N/A</v>
      </c>
      <c r="PV363" s="1" t="e">
        <v>#N/A</v>
      </c>
      <c r="PW363" s="1" t="e">
        <v>#N/A</v>
      </c>
      <c r="PX363" s="1" t="e">
        <v>#N/A</v>
      </c>
      <c r="PY363" s="1" t="e">
        <v>#N/A</v>
      </c>
      <c r="PZ363" s="1" t="e">
        <v>#N/A</v>
      </c>
      <c r="QA363" s="1" t="e">
        <v>#N/A</v>
      </c>
      <c r="QB363" s="1" t="e">
        <v>#N/A</v>
      </c>
      <c r="QC363" s="1" t="e">
        <v>#N/A</v>
      </c>
      <c r="QD363" s="1" t="e">
        <v>#N/A</v>
      </c>
      <c r="QE363" s="1" t="e">
        <v>#N/A</v>
      </c>
      <c r="QF363" s="1" t="e">
        <v>#N/A</v>
      </c>
      <c r="QG363" s="1" t="e">
        <v>#N/A</v>
      </c>
      <c r="QH363" s="1" t="e">
        <v>#N/A</v>
      </c>
      <c r="QI363" s="1" t="e">
        <v>#N/A</v>
      </c>
      <c r="QJ363" s="1" t="e">
        <v>#N/A</v>
      </c>
      <c r="QK363" s="1" t="e">
        <v>#N/A</v>
      </c>
      <c r="QL363" s="1" t="e">
        <v>#N/A</v>
      </c>
      <c r="QM363" s="1" t="e">
        <v>#N/A</v>
      </c>
      <c r="QN363" s="1" t="e">
        <v>#N/A</v>
      </c>
      <c r="QO363" s="1" t="e">
        <v>#N/A</v>
      </c>
      <c r="QP363" s="1" t="e">
        <v>#N/A</v>
      </c>
    </row>
    <row r="364" spans="1:458" ht="26.25" x14ac:dyDescent="0.4">
      <c r="A364" s="347"/>
      <c r="B364" s="348"/>
      <c r="C364" s="288"/>
      <c r="D364" s="349"/>
      <c r="E364" s="350"/>
      <c r="F364" s="351"/>
      <c r="G364" s="352"/>
      <c r="H364" s="348"/>
      <c r="I364" s="353"/>
      <c r="J364" s="353"/>
      <c r="PJ364" s="1" t="e">
        <v>#N/A</v>
      </c>
      <c r="PK364" s="1" t="e">
        <v>#N/A</v>
      </c>
      <c r="PL364" s="1" t="e">
        <v>#N/A</v>
      </c>
      <c r="PM364" s="1" t="e">
        <v>#N/A</v>
      </c>
      <c r="PN364" s="1" t="e">
        <v>#N/A</v>
      </c>
      <c r="PO364" s="1" t="e">
        <v>#N/A</v>
      </c>
      <c r="PP364" s="1" t="e">
        <v>#N/A</v>
      </c>
      <c r="PQ364" s="1" t="e">
        <v>#N/A</v>
      </c>
      <c r="PR364" s="1" t="e">
        <v>#N/A</v>
      </c>
      <c r="PS364" s="1" t="e">
        <v>#N/A</v>
      </c>
      <c r="PT364" s="1" t="e">
        <v>#N/A</v>
      </c>
      <c r="PU364" s="1" t="e">
        <v>#N/A</v>
      </c>
      <c r="PV364" s="1" t="e">
        <v>#N/A</v>
      </c>
      <c r="PW364" s="1" t="e">
        <v>#N/A</v>
      </c>
      <c r="PX364" s="1" t="e">
        <v>#N/A</v>
      </c>
      <c r="PY364" s="1" t="e">
        <v>#N/A</v>
      </c>
      <c r="PZ364" s="1" t="e">
        <v>#N/A</v>
      </c>
      <c r="QA364" s="1" t="e">
        <v>#N/A</v>
      </c>
      <c r="QB364" s="1" t="e">
        <v>#N/A</v>
      </c>
      <c r="QC364" s="1" t="e">
        <v>#N/A</v>
      </c>
      <c r="QD364" s="1" t="e">
        <v>#N/A</v>
      </c>
      <c r="QE364" s="1" t="e">
        <v>#N/A</v>
      </c>
      <c r="QF364" s="1" t="e">
        <v>#N/A</v>
      </c>
      <c r="QG364" s="1" t="e">
        <v>#N/A</v>
      </c>
      <c r="QH364" s="1" t="e">
        <v>#N/A</v>
      </c>
      <c r="QI364" s="1" t="e">
        <v>#N/A</v>
      </c>
      <c r="QJ364" s="1" t="e">
        <v>#N/A</v>
      </c>
      <c r="QK364" s="1" t="e">
        <v>#N/A</v>
      </c>
      <c r="QL364" s="1" t="e">
        <v>#N/A</v>
      </c>
      <c r="QM364" s="1" t="e">
        <v>#N/A</v>
      </c>
      <c r="QN364" s="1" t="e">
        <v>#N/A</v>
      </c>
      <c r="QO364" s="1" t="e">
        <v>#N/A</v>
      </c>
      <c r="QP364" s="1" t="e">
        <v>#N/A</v>
      </c>
    </row>
    <row r="365" spans="1:458" ht="26.25" x14ac:dyDescent="0.4">
      <c r="A365" s="347"/>
      <c r="B365" s="348"/>
      <c r="C365" s="288"/>
      <c r="D365" s="349"/>
      <c r="E365" s="350"/>
      <c r="F365" s="351"/>
      <c r="G365" s="352"/>
      <c r="H365" s="348"/>
      <c r="I365" s="353"/>
      <c r="J365" s="353"/>
      <c r="PJ365" s="1" t="e">
        <v>#N/A</v>
      </c>
      <c r="PK365" s="1" t="e">
        <v>#N/A</v>
      </c>
      <c r="PL365" s="1" t="e">
        <v>#N/A</v>
      </c>
      <c r="PM365" s="1" t="e">
        <v>#N/A</v>
      </c>
      <c r="PN365" s="1" t="e">
        <v>#N/A</v>
      </c>
      <c r="PO365" s="1" t="e">
        <v>#N/A</v>
      </c>
      <c r="PP365" s="1" t="e">
        <v>#N/A</v>
      </c>
      <c r="PQ365" s="1" t="e">
        <v>#N/A</v>
      </c>
      <c r="PR365" s="1" t="e">
        <v>#N/A</v>
      </c>
      <c r="PS365" s="1" t="e">
        <v>#N/A</v>
      </c>
      <c r="PT365" s="1" t="e">
        <v>#N/A</v>
      </c>
      <c r="PU365" s="1" t="e">
        <v>#N/A</v>
      </c>
      <c r="PV365" s="1" t="e">
        <v>#N/A</v>
      </c>
      <c r="PW365" s="1" t="e">
        <v>#N/A</v>
      </c>
      <c r="PX365" s="1" t="e">
        <v>#N/A</v>
      </c>
      <c r="PY365" s="1" t="e">
        <v>#N/A</v>
      </c>
      <c r="PZ365" s="1" t="e">
        <v>#N/A</v>
      </c>
      <c r="QA365" s="1" t="e">
        <v>#N/A</v>
      </c>
      <c r="QB365" s="1" t="e">
        <v>#N/A</v>
      </c>
      <c r="QC365" s="1" t="e">
        <v>#N/A</v>
      </c>
      <c r="QD365" s="1" t="e">
        <v>#N/A</v>
      </c>
      <c r="QE365" s="1" t="e">
        <v>#N/A</v>
      </c>
      <c r="QF365" s="1" t="e">
        <v>#N/A</v>
      </c>
      <c r="QG365" s="1" t="e">
        <v>#N/A</v>
      </c>
      <c r="QH365" s="1" t="e">
        <v>#N/A</v>
      </c>
      <c r="QI365" s="1" t="e">
        <v>#N/A</v>
      </c>
      <c r="QJ365" s="1" t="e">
        <v>#N/A</v>
      </c>
      <c r="QK365" s="1" t="e">
        <v>#N/A</v>
      </c>
      <c r="QL365" s="1" t="e">
        <v>#N/A</v>
      </c>
      <c r="QM365" s="1" t="e">
        <v>#N/A</v>
      </c>
      <c r="QN365" s="1" t="e">
        <v>#N/A</v>
      </c>
      <c r="QO365" s="1" t="e">
        <v>#N/A</v>
      </c>
      <c r="QP365" s="1" t="e">
        <v>#N/A</v>
      </c>
    </row>
    <row r="366" spans="1:458" ht="26.25" x14ac:dyDescent="0.4">
      <c r="A366" s="347"/>
      <c r="B366" s="348"/>
      <c r="C366" s="288"/>
      <c r="D366" s="349"/>
      <c r="E366" s="350"/>
      <c r="F366" s="351"/>
      <c r="G366" s="352"/>
      <c r="H366" s="348"/>
      <c r="I366" s="353"/>
      <c r="J366" s="353"/>
      <c r="PJ366" s="1" t="e">
        <v>#N/A</v>
      </c>
      <c r="PK366" s="1" t="e">
        <v>#N/A</v>
      </c>
      <c r="PL366" s="1" t="e">
        <v>#N/A</v>
      </c>
      <c r="PM366" s="1" t="e">
        <v>#N/A</v>
      </c>
      <c r="PN366" s="1" t="e">
        <v>#N/A</v>
      </c>
      <c r="PO366" s="1" t="e">
        <v>#N/A</v>
      </c>
      <c r="PP366" s="1" t="e">
        <v>#N/A</v>
      </c>
      <c r="PQ366" s="1" t="e">
        <v>#N/A</v>
      </c>
      <c r="PR366" s="1" t="e">
        <v>#N/A</v>
      </c>
      <c r="PS366" s="1" t="e">
        <v>#N/A</v>
      </c>
      <c r="PT366" s="1" t="e">
        <v>#N/A</v>
      </c>
      <c r="PU366" s="1" t="e">
        <v>#N/A</v>
      </c>
      <c r="PV366" s="1" t="e">
        <v>#N/A</v>
      </c>
      <c r="PW366" s="1" t="e">
        <v>#N/A</v>
      </c>
      <c r="PX366" s="1" t="e">
        <v>#N/A</v>
      </c>
      <c r="PY366" s="1" t="e">
        <v>#N/A</v>
      </c>
      <c r="PZ366" s="1" t="e">
        <v>#N/A</v>
      </c>
      <c r="QA366" s="1" t="e">
        <v>#N/A</v>
      </c>
      <c r="QB366" s="1" t="e">
        <v>#N/A</v>
      </c>
      <c r="QC366" s="1" t="e">
        <v>#N/A</v>
      </c>
      <c r="QD366" s="1" t="e">
        <v>#N/A</v>
      </c>
      <c r="QE366" s="1" t="e">
        <v>#N/A</v>
      </c>
      <c r="QF366" s="1" t="e">
        <v>#N/A</v>
      </c>
      <c r="QG366" s="1" t="e">
        <v>#N/A</v>
      </c>
      <c r="QH366" s="1" t="e">
        <v>#N/A</v>
      </c>
      <c r="QI366" s="1" t="e">
        <v>#N/A</v>
      </c>
      <c r="QJ366" s="1" t="e">
        <v>#N/A</v>
      </c>
      <c r="QK366" s="1" t="e">
        <v>#N/A</v>
      </c>
      <c r="QL366" s="1" t="e">
        <v>#N/A</v>
      </c>
      <c r="QM366" s="1" t="e">
        <v>#N/A</v>
      </c>
      <c r="QN366" s="1" t="e">
        <v>#N/A</v>
      </c>
      <c r="QO366" s="1" t="e">
        <v>#N/A</v>
      </c>
      <c r="QP366" s="1" t="e">
        <v>#N/A</v>
      </c>
    </row>
    <row r="367" spans="1:458" ht="26.25" x14ac:dyDescent="0.4">
      <c r="A367" s="347"/>
      <c r="B367" s="348"/>
      <c r="C367" s="288"/>
      <c r="D367" s="349"/>
      <c r="E367" s="350"/>
      <c r="F367" s="351"/>
      <c r="G367" s="352"/>
      <c r="H367" s="348"/>
      <c r="I367" s="353"/>
      <c r="J367" s="353"/>
      <c r="PJ367" s="1" t="e">
        <v>#N/A</v>
      </c>
      <c r="PK367" s="1" t="e">
        <v>#N/A</v>
      </c>
      <c r="PL367" s="1" t="e">
        <v>#N/A</v>
      </c>
      <c r="PM367" s="1" t="e">
        <v>#N/A</v>
      </c>
      <c r="PN367" s="1" t="e">
        <v>#N/A</v>
      </c>
      <c r="PO367" s="1" t="e">
        <v>#N/A</v>
      </c>
      <c r="PP367" s="1" t="e">
        <v>#N/A</v>
      </c>
      <c r="PQ367" s="1" t="e">
        <v>#N/A</v>
      </c>
      <c r="PR367" s="1" t="e">
        <v>#N/A</v>
      </c>
      <c r="PS367" s="1" t="e">
        <v>#N/A</v>
      </c>
      <c r="PT367" s="1" t="e">
        <v>#N/A</v>
      </c>
      <c r="PU367" s="1" t="e">
        <v>#N/A</v>
      </c>
      <c r="PV367" s="1" t="e">
        <v>#N/A</v>
      </c>
      <c r="PW367" s="1" t="e">
        <v>#N/A</v>
      </c>
      <c r="PX367" s="1" t="e">
        <v>#N/A</v>
      </c>
      <c r="PY367" s="1" t="e">
        <v>#N/A</v>
      </c>
      <c r="PZ367" s="1" t="e">
        <v>#N/A</v>
      </c>
      <c r="QA367" s="1" t="e">
        <v>#N/A</v>
      </c>
      <c r="QB367" s="1" t="e">
        <v>#N/A</v>
      </c>
      <c r="QC367" s="1" t="e">
        <v>#N/A</v>
      </c>
      <c r="QD367" s="1" t="e">
        <v>#N/A</v>
      </c>
      <c r="QE367" s="1" t="e">
        <v>#N/A</v>
      </c>
      <c r="QF367" s="1" t="e">
        <v>#N/A</v>
      </c>
      <c r="QG367" s="1" t="e">
        <v>#N/A</v>
      </c>
      <c r="QH367" s="1" t="e">
        <v>#N/A</v>
      </c>
      <c r="QI367" s="1" t="e">
        <v>#N/A</v>
      </c>
      <c r="QJ367" s="1" t="e">
        <v>#N/A</v>
      </c>
      <c r="QK367" s="1" t="e">
        <v>#N/A</v>
      </c>
      <c r="QL367" s="1" t="e">
        <v>#N/A</v>
      </c>
      <c r="QM367" s="1" t="e">
        <v>#N/A</v>
      </c>
      <c r="QN367" s="1" t="e">
        <v>#N/A</v>
      </c>
      <c r="QO367" s="1" t="e">
        <v>#N/A</v>
      </c>
      <c r="QP367" s="1" t="e">
        <v>#N/A</v>
      </c>
    </row>
    <row r="368" spans="1:458" ht="26.25" x14ac:dyDescent="0.4">
      <c r="A368" s="347"/>
      <c r="B368" s="348"/>
      <c r="C368" s="288"/>
      <c r="D368" s="349"/>
      <c r="E368" s="350"/>
      <c r="F368" s="351"/>
      <c r="G368" s="352"/>
      <c r="H368" s="348"/>
      <c r="I368" s="353"/>
      <c r="J368" s="353"/>
      <c r="PJ368" s="1" t="e">
        <v>#N/A</v>
      </c>
      <c r="PK368" s="1" t="e">
        <v>#N/A</v>
      </c>
      <c r="PL368" s="1" t="e">
        <v>#N/A</v>
      </c>
      <c r="PM368" s="1" t="e">
        <v>#N/A</v>
      </c>
      <c r="PN368" s="1" t="e">
        <v>#N/A</v>
      </c>
      <c r="PO368" s="1" t="e">
        <v>#N/A</v>
      </c>
      <c r="PP368" s="1" t="e">
        <v>#N/A</v>
      </c>
      <c r="PQ368" s="1" t="e">
        <v>#N/A</v>
      </c>
      <c r="PR368" s="1" t="e">
        <v>#N/A</v>
      </c>
      <c r="PS368" s="1" t="e">
        <v>#N/A</v>
      </c>
      <c r="PT368" s="1" t="e">
        <v>#N/A</v>
      </c>
      <c r="PU368" s="1" t="e">
        <v>#N/A</v>
      </c>
      <c r="PV368" s="1" t="e">
        <v>#N/A</v>
      </c>
      <c r="PW368" s="1" t="e">
        <v>#N/A</v>
      </c>
      <c r="PX368" s="1" t="e">
        <v>#N/A</v>
      </c>
      <c r="PY368" s="1" t="e">
        <v>#N/A</v>
      </c>
      <c r="PZ368" s="1" t="e">
        <v>#N/A</v>
      </c>
      <c r="QA368" s="1" t="e">
        <v>#N/A</v>
      </c>
      <c r="QB368" s="1" t="e">
        <v>#N/A</v>
      </c>
      <c r="QC368" s="1" t="e">
        <v>#N/A</v>
      </c>
      <c r="QD368" s="1" t="e">
        <v>#N/A</v>
      </c>
      <c r="QE368" s="1" t="e">
        <v>#N/A</v>
      </c>
      <c r="QF368" s="1" t="e">
        <v>#N/A</v>
      </c>
      <c r="QG368" s="1" t="e">
        <v>#N/A</v>
      </c>
      <c r="QH368" s="1" t="e">
        <v>#N/A</v>
      </c>
      <c r="QI368" s="1" t="e">
        <v>#N/A</v>
      </c>
      <c r="QJ368" s="1" t="e">
        <v>#N/A</v>
      </c>
      <c r="QK368" s="1" t="e">
        <v>#N/A</v>
      </c>
      <c r="QL368" s="1" t="e">
        <v>#N/A</v>
      </c>
      <c r="QM368" s="1" t="e">
        <v>#N/A</v>
      </c>
      <c r="QN368" s="1" t="e">
        <v>#N/A</v>
      </c>
      <c r="QO368" s="1" t="e">
        <v>#N/A</v>
      </c>
      <c r="QP368" s="1" t="e">
        <v>#N/A</v>
      </c>
    </row>
    <row r="369" spans="1:458" ht="26.25" x14ac:dyDescent="0.4">
      <c r="A369" s="347"/>
      <c r="B369" s="348"/>
      <c r="C369" s="288"/>
      <c r="D369" s="349"/>
      <c r="E369" s="350"/>
      <c r="F369" s="351"/>
      <c r="G369" s="352"/>
      <c r="H369" s="348"/>
      <c r="I369" s="353"/>
      <c r="J369" s="353"/>
      <c r="PJ369" s="1" t="e">
        <v>#N/A</v>
      </c>
      <c r="PK369" s="1" t="e">
        <v>#N/A</v>
      </c>
      <c r="PL369" s="1" t="e">
        <v>#N/A</v>
      </c>
      <c r="PM369" s="1" t="e">
        <v>#N/A</v>
      </c>
      <c r="PN369" s="1" t="e">
        <v>#N/A</v>
      </c>
      <c r="PO369" s="1" t="e">
        <v>#N/A</v>
      </c>
      <c r="PP369" s="1" t="e">
        <v>#N/A</v>
      </c>
      <c r="PQ369" s="1" t="e">
        <v>#N/A</v>
      </c>
      <c r="PR369" s="1" t="e">
        <v>#N/A</v>
      </c>
      <c r="PS369" s="1" t="e">
        <v>#N/A</v>
      </c>
      <c r="PT369" s="1" t="e">
        <v>#N/A</v>
      </c>
      <c r="PU369" s="1" t="e">
        <v>#N/A</v>
      </c>
      <c r="PV369" s="1" t="e">
        <v>#N/A</v>
      </c>
      <c r="PW369" s="1" t="e">
        <v>#N/A</v>
      </c>
      <c r="PX369" s="1" t="e">
        <v>#N/A</v>
      </c>
      <c r="PY369" s="1" t="e">
        <v>#N/A</v>
      </c>
      <c r="PZ369" s="1" t="e">
        <v>#N/A</v>
      </c>
      <c r="QA369" s="1" t="e">
        <v>#N/A</v>
      </c>
      <c r="QB369" s="1" t="e">
        <v>#N/A</v>
      </c>
      <c r="QC369" s="1" t="e">
        <v>#N/A</v>
      </c>
      <c r="QD369" s="1" t="e">
        <v>#N/A</v>
      </c>
      <c r="QE369" s="1" t="e">
        <v>#N/A</v>
      </c>
      <c r="QF369" s="1" t="e">
        <v>#N/A</v>
      </c>
      <c r="QG369" s="1" t="e">
        <v>#N/A</v>
      </c>
      <c r="QH369" s="1" t="e">
        <v>#N/A</v>
      </c>
      <c r="QI369" s="1" t="e">
        <v>#N/A</v>
      </c>
      <c r="QJ369" s="1" t="e">
        <v>#N/A</v>
      </c>
      <c r="QK369" s="1" t="e">
        <v>#N/A</v>
      </c>
      <c r="QL369" s="1" t="e">
        <v>#N/A</v>
      </c>
      <c r="QM369" s="1" t="e">
        <v>#N/A</v>
      </c>
      <c r="QN369" s="1" t="e">
        <v>#N/A</v>
      </c>
      <c r="QO369" s="1" t="e">
        <v>#N/A</v>
      </c>
      <c r="QP369" s="1" t="e">
        <v>#N/A</v>
      </c>
    </row>
    <row r="370" spans="1:458" ht="26.25" x14ac:dyDescent="0.4">
      <c r="A370" s="347"/>
      <c r="B370" s="348"/>
      <c r="C370" s="288"/>
      <c r="D370" s="349"/>
      <c r="E370" s="350"/>
      <c r="F370" s="351"/>
      <c r="G370" s="352"/>
      <c r="H370" s="348"/>
      <c r="I370" s="353"/>
      <c r="J370" s="353"/>
      <c r="PJ370" s="1" t="e">
        <v>#N/A</v>
      </c>
      <c r="PK370" s="1" t="e">
        <v>#N/A</v>
      </c>
      <c r="PL370" s="1" t="e">
        <v>#N/A</v>
      </c>
      <c r="PM370" s="1" t="e">
        <v>#N/A</v>
      </c>
      <c r="PN370" s="1" t="e">
        <v>#N/A</v>
      </c>
      <c r="PO370" s="1" t="e">
        <v>#N/A</v>
      </c>
      <c r="PP370" s="1" t="e">
        <v>#N/A</v>
      </c>
      <c r="PQ370" s="1" t="e">
        <v>#N/A</v>
      </c>
      <c r="PR370" s="1" t="e">
        <v>#N/A</v>
      </c>
      <c r="PS370" s="1" t="e">
        <v>#N/A</v>
      </c>
      <c r="PT370" s="1" t="e">
        <v>#N/A</v>
      </c>
      <c r="PU370" s="1" t="e">
        <v>#N/A</v>
      </c>
      <c r="PV370" s="1" t="e">
        <v>#N/A</v>
      </c>
      <c r="PW370" s="1" t="e">
        <v>#N/A</v>
      </c>
      <c r="PX370" s="1" t="e">
        <v>#N/A</v>
      </c>
      <c r="PY370" s="1" t="e">
        <v>#N/A</v>
      </c>
      <c r="PZ370" s="1" t="e">
        <v>#N/A</v>
      </c>
      <c r="QA370" s="1" t="e">
        <v>#N/A</v>
      </c>
      <c r="QB370" s="1" t="e">
        <v>#N/A</v>
      </c>
      <c r="QC370" s="1" t="e">
        <v>#N/A</v>
      </c>
      <c r="QD370" s="1" t="e">
        <v>#N/A</v>
      </c>
      <c r="QE370" s="1" t="e">
        <v>#N/A</v>
      </c>
      <c r="QF370" s="1" t="e">
        <v>#N/A</v>
      </c>
      <c r="QG370" s="1" t="e">
        <v>#N/A</v>
      </c>
      <c r="QH370" s="1" t="e">
        <v>#N/A</v>
      </c>
      <c r="QI370" s="1" t="e">
        <v>#N/A</v>
      </c>
      <c r="QJ370" s="1" t="e">
        <v>#N/A</v>
      </c>
      <c r="QK370" s="1" t="e">
        <v>#N/A</v>
      </c>
      <c r="QL370" s="1" t="e">
        <v>#N/A</v>
      </c>
      <c r="QM370" s="1" t="e">
        <v>#N/A</v>
      </c>
      <c r="QN370" s="1" t="e">
        <v>#N/A</v>
      </c>
      <c r="QO370" s="1" t="e">
        <v>#N/A</v>
      </c>
      <c r="QP370" s="1" t="e">
        <v>#N/A</v>
      </c>
    </row>
    <row r="371" spans="1:458" ht="26.25" x14ac:dyDescent="0.4">
      <c r="A371" s="347"/>
      <c r="B371" s="348"/>
      <c r="C371" s="288"/>
      <c r="D371" s="349"/>
      <c r="E371" s="350"/>
      <c r="F371" s="351"/>
      <c r="G371" s="352"/>
      <c r="H371" s="348"/>
      <c r="I371" s="353"/>
      <c r="J371" s="353"/>
      <c r="PJ371" s="1" t="e">
        <v>#N/A</v>
      </c>
      <c r="PK371" s="1" t="e">
        <v>#N/A</v>
      </c>
      <c r="PL371" s="1" t="e">
        <v>#N/A</v>
      </c>
      <c r="PM371" s="1" t="e">
        <v>#N/A</v>
      </c>
      <c r="PN371" s="1" t="e">
        <v>#N/A</v>
      </c>
      <c r="PO371" s="1" t="e">
        <v>#N/A</v>
      </c>
      <c r="PP371" s="1" t="e">
        <v>#N/A</v>
      </c>
      <c r="PQ371" s="1" t="e">
        <v>#N/A</v>
      </c>
      <c r="PR371" s="1" t="e">
        <v>#N/A</v>
      </c>
      <c r="PS371" s="1" t="e">
        <v>#N/A</v>
      </c>
      <c r="PT371" s="1" t="e">
        <v>#N/A</v>
      </c>
      <c r="PU371" s="1" t="e">
        <v>#N/A</v>
      </c>
      <c r="PV371" s="1" t="e">
        <v>#N/A</v>
      </c>
      <c r="PW371" s="1" t="e">
        <v>#N/A</v>
      </c>
      <c r="PX371" s="1" t="e">
        <v>#N/A</v>
      </c>
      <c r="PY371" s="1" t="e">
        <v>#N/A</v>
      </c>
      <c r="PZ371" s="1" t="e">
        <v>#N/A</v>
      </c>
      <c r="QA371" s="1" t="e">
        <v>#N/A</v>
      </c>
      <c r="QB371" s="1" t="e">
        <v>#N/A</v>
      </c>
      <c r="QC371" s="1" t="e">
        <v>#N/A</v>
      </c>
      <c r="QD371" s="1" t="e">
        <v>#N/A</v>
      </c>
      <c r="QE371" s="1" t="e">
        <v>#N/A</v>
      </c>
      <c r="QF371" s="1" t="e">
        <v>#N/A</v>
      </c>
      <c r="QG371" s="1" t="e">
        <v>#N/A</v>
      </c>
      <c r="QH371" s="1" t="e">
        <v>#N/A</v>
      </c>
      <c r="QI371" s="1" t="e">
        <v>#N/A</v>
      </c>
      <c r="QJ371" s="1" t="e">
        <v>#N/A</v>
      </c>
      <c r="QK371" s="1" t="e">
        <v>#N/A</v>
      </c>
      <c r="QL371" s="1" t="e">
        <v>#N/A</v>
      </c>
      <c r="QM371" s="1" t="e">
        <v>#N/A</v>
      </c>
      <c r="QN371" s="1" t="e">
        <v>#N/A</v>
      </c>
      <c r="QO371" s="1" t="e">
        <v>#N/A</v>
      </c>
      <c r="QP371" s="1" t="e">
        <v>#N/A</v>
      </c>
    </row>
    <row r="372" spans="1:458" ht="26.25" x14ac:dyDescent="0.4">
      <c r="A372" s="347"/>
      <c r="B372" s="348"/>
      <c r="C372" s="288"/>
      <c r="D372" s="349"/>
      <c r="E372" s="350"/>
      <c r="F372" s="351"/>
      <c r="G372" s="352"/>
      <c r="H372" s="348"/>
      <c r="I372" s="353"/>
      <c r="J372" s="353"/>
      <c r="PJ372" s="1" t="e">
        <v>#N/A</v>
      </c>
      <c r="PK372" s="1" t="e">
        <v>#N/A</v>
      </c>
      <c r="PL372" s="1" t="e">
        <v>#N/A</v>
      </c>
      <c r="PM372" s="1" t="e">
        <v>#N/A</v>
      </c>
      <c r="PN372" s="1" t="e">
        <v>#N/A</v>
      </c>
      <c r="PO372" s="1" t="e">
        <v>#N/A</v>
      </c>
      <c r="PP372" s="1" t="e">
        <v>#N/A</v>
      </c>
      <c r="PQ372" s="1" t="e">
        <v>#N/A</v>
      </c>
      <c r="PR372" s="1" t="e">
        <v>#N/A</v>
      </c>
      <c r="PS372" s="1" t="e">
        <v>#N/A</v>
      </c>
      <c r="PT372" s="1" t="e">
        <v>#N/A</v>
      </c>
      <c r="PU372" s="1" t="e">
        <v>#N/A</v>
      </c>
      <c r="PV372" s="1" t="e">
        <v>#N/A</v>
      </c>
      <c r="PW372" s="1" t="e">
        <v>#N/A</v>
      </c>
      <c r="PX372" s="1" t="e">
        <v>#N/A</v>
      </c>
      <c r="PY372" s="1" t="e">
        <v>#N/A</v>
      </c>
      <c r="PZ372" s="1" t="e">
        <v>#N/A</v>
      </c>
      <c r="QA372" s="1" t="e">
        <v>#N/A</v>
      </c>
      <c r="QB372" s="1" t="e">
        <v>#N/A</v>
      </c>
      <c r="QC372" s="1" t="e">
        <v>#N/A</v>
      </c>
      <c r="QD372" s="1" t="e">
        <v>#N/A</v>
      </c>
      <c r="QE372" s="1" t="e">
        <v>#N/A</v>
      </c>
      <c r="QF372" s="1" t="e">
        <v>#N/A</v>
      </c>
      <c r="QG372" s="1" t="e">
        <v>#N/A</v>
      </c>
      <c r="QH372" s="1" t="e">
        <v>#N/A</v>
      </c>
      <c r="QI372" s="1" t="e">
        <v>#N/A</v>
      </c>
      <c r="QJ372" s="1" t="e">
        <v>#N/A</v>
      </c>
      <c r="QK372" s="1" t="e">
        <v>#N/A</v>
      </c>
      <c r="QL372" s="1" t="e">
        <v>#N/A</v>
      </c>
      <c r="QM372" s="1" t="e">
        <v>#N/A</v>
      </c>
      <c r="QN372" s="1" t="e">
        <v>#N/A</v>
      </c>
      <c r="QO372" s="1" t="e">
        <v>#N/A</v>
      </c>
      <c r="QP372" s="1" t="e">
        <v>#N/A</v>
      </c>
    </row>
    <row r="373" spans="1:458" ht="26.25" x14ac:dyDescent="0.4">
      <c r="A373" s="347"/>
      <c r="B373" s="348"/>
      <c r="C373" s="288"/>
      <c r="D373" s="349"/>
      <c r="E373" s="350"/>
      <c r="F373" s="351"/>
      <c r="G373" s="352"/>
      <c r="H373" s="348"/>
      <c r="I373" s="353"/>
      <c r="J373" s="353"/>
      <c r="PJ373" s="1" t="e">
        <v>#N/A</v>
      </c>
      <c r="PK373" s="1" t="e">
        <v>#N/A</v>
      </c>
      <c r="PL373" s="1" t="e">
        <v>#N/A</v>
      </c>
      <c r="PM373" s="1" t="e">
        <v>#N/A</v>
      </c>
      <c r="PN373" s="1" t="e">
        <v>#N/A</v>
      </c>
      <c r="PO373" s="1" t="e">
        <v>#N/A</v>
      </c>
      <c r="PP373" s="1" t="e">
        <v>#N/A</v>
      </c>
      <c r="PQ373" s="1" t="e">
        <v>#N/A</v>
      </c>
      <c r="PR373" s="1" t="e">
        <v>#N/A</v>
      </c>
      <c r="PS373" s="1" t="e">
        <v>#N/A</v>
      </c>
      <c r="PT373" s="1" t="e">
        <v>#N/A</v>
      </c>
      <c r="PU373" s="1" t="e">
        <v>#N/A</v>
      </c>
      <c r="PV373" s="1" t="e">
        <v>#N/A</v>
      </c>
      <c r="PW373" s="1" t="e">
        <v>#N/A</v>
      </c>
      <c r="PX373" s="1" t="e">
        <v>#N/A</v>
      </c>
      <c r="PY373" s="1" t="e">
        <v>#N/A</v>
      </c>
      <c r="PZ373" s="1" t="e">
        <v>#N/A</v>
      </c>
      <c r="QA373" s="1" t="e">
        <v>#N/A</v>
      </c>
      <c r="QB373" s="1" t="e">
        <v>#N/A</v>
      </c>
      <c r="QC373" s="1" t="e">
        <v>#N/A</v>
      </c>
      <c r="QD373" s="1" t="e">
        <v>#N/A</v>
      </c>
      <c r="QE373" s="1" t="e">
        <v>#N/A</v>
      </c>
      <c r="QF373" s="1" t="e">
        <v>#N/A</v>
      </c>
      <c r="QG373" s="1" t="e">
        <v>#N/A</v>
      </c>
      <c r="QH373" s="1" t="e">
        <v>#N/A</v>
      </c>
      <c r="QI373" s="1" t="e">
        <v>#N/A</v>
      </c>
      <c r="QJ373" s="1" t="e">
        <v>#N/A</v>
      </c>
      <c r="QK373" s="1" t="e">
        <v>#N/A</v>
      </c>
      <c r="QL373" s="1" t="e">
        <v>#N/A</v>
      </c>
      <c r="QM373" s="1" t="e">
        <v>#N/A</v>
      </c>
      <c r="QN373" s="1" t="e">
        <v>#N/A</v>
      </c>
      <c r="QO373" s="1" t="e">
        <v>#N/A</v>
      </c>
      <c r="QP373" s="1" t="e">
        <v>#N/A</v>
      </c>
    </row>
    <row r="374" spans="1:458" ht="26.25" x14ac:dyDescent="0.4">
      <c r="A374" s="347"/>
      <c r="B374" s="348"/>
      <c r="C374" s="288"/>
      <c r="D374" s="349"/>
      <c r="E374" s="350"/>
      <c r="F374" s="351"/>
      <c r="G374" s="352"/>
      <c r="H374" s="348"/>
      <c r="I374" s="353"/>
      <c r="J374" s="353"/>
      <c r="PJ374" s="1" t="e">
        <v>#N/A</v>
      </c>
      <c r="PK374" s="1" t="e">
        <v>#N/A</v>
      </c>
      <c r="PL374" s="1" t="e">
        <v>#N/A</v>
      </c>
      <c r="PM374" s="1" t="e">
        <v>#N/A</v>
      </c>
      <c r="PN374" s="1" t="e">
        <v>#N/A</v>
      </c>
      <c r="PO374" s="1" t="e">
        <v>#N/A</v>
      </c>
      <c r="PP374" s="1" t="e">
        <v>#N/A</v>
      </c>
      <c r="PQ374" s="1" t="e">
        <v>#N/A</v>
      </c>
      <c r="PR374" s="1" t="e">
        <v>#N/A</v>
      </c>
      <c r="PS374" s="1" t="e">
        <v>#N/A</v>
      </c>
      <c r="PT374" s="1" t="e">
        <v>#N/A</v>
      </c>
      <c r="PU374" s="1" t="e">
        <v>#N/A</v>
      </c>
      <c r="PV374" s="1" t="e">
        <v>#N/A</v>
      </c>
      <c r="PW374" s="1" t="e">
        <v>#N/A</v>
      </c>
      <c r="PX374" s="1" t="e">
        <v>#N/A</v>
      </c>
      <c r="PY374" s="1" t="e">
        <v>#N/A</v>
      </c>
      <c r="PZ374" s="1" t="e">
        <v>#N/A</v>
      </c>
      <c r="QA374" s="1" t="e">
        <v>#N/A</v>
      </c>
      <c r="QB374" s="1" t="e">
        <v>#N/A</v>
      </c>
      <c r="QC374" s="1" t="e">
        <v>#N/A</v>
      </c>
      <c r="QD374" s="1" t="e">
        <v>#N/A</v>
      </c>
      <c r="QE374" s="1" t="e">
        <v>#N/A</v>
      </c>
      <c r="QF374" s="1" t="e">
        <v>#N/A</v>
      </c>
      <c r="QG374" s="1" t="e">
        <v>#N/A</v>
      </c>
      <c r="QH374" s="1" t="e">
        <v>#N/A</v>
      </c>
      <c r="QI374" s="1" t="e">
        <v>#N/A</v>
      </c>
      <c r="QJ374" s="1" t="e">
        <v>#N/A</v>
      </c>
      <c r="QK374" s="1" t="e">
        <v>#N/A</v>
      </c>
      <c r="QL374" s="1" t="e">
        <v>#N/A</v>
      </c>
      <c r="QM374" s="1" t="e">
        <v>#N/A</v>
      </c>
      <c r="QN374" s="1" t="e">
        <v>#N/A</v>
      </c>
      <c r="QO374" s="1" t="e">
        <v>#N/A</v>
      </c>
      <c r="QP374" s="1" t="e">
        <v>#N/A</v>
      </c>
    </row>
    <row r="375" spans="1:458" ht="26.25" x14ac:dyDescent="0.4">
      <c r="A375" s="347"/>
      <c r="B375" s="348"/>
      <c r="C375" s="288"/>
      <c r="D375" s="349"/>
      <c r="E375" s="350"/>
      <c r="F375" s="351"/>
      <c r="G375" s="352"/>
      <c r="H375" s="348"/>
      <c r="I375" s="353"/>
      <c r="J375" s="353"/>
      <c r="PJ375" s="1" t="e">
        <v>#N/A</v>
      </c>
      <c r="PK375" s="1" t="e">
        <v>#N/A</v>
      </c>
      <c r="PL375" s="1" t="e">
        <v>#N/A</v>
      </c>
      <c r="PM375" s="1" t="e">
        <v>#N/A</v>
      </c>
      <c r="PN375" s="1" t="e">
        <v>#N/A</v>
      </c>
      <c r="PO375" s="1" t="e">
        <v>#N/A</v>
      </c>
      <c r="PP375" s="1" t="e">
        <v>#N/A</v>
      </c>
      <c r="PQ375" s="1" t="e">
        <v>#N/A</v>
      </c>
      <c r="PR375" s="1" t="e">
        <v>#N/A</v>
      </c>
      <c r="PS375" s="1" t="e">
        <v>#N/A</v>
      </c>
      <c r="PT375" s="1" t="e">
        <v>#N/A</v>
      </c>
      <c r="PU375" s="1" t="e">
        <v>#N/A</v>
      </c>
      <c r="PV375" s="1" t="e">
        <v>#N/A</v>
      </c>
      <c r="PW375" s="1" t="e">
        <v>#N/A</v>
      </c>
      <c r="PX375" s="1" t="e">
        <v>#N/A</v>
      </c>
      <c r="PY375" s="1" t="e">
        <v>#N/A</v>
      </c>
      <c r="PZ375" s="1" t="e">
        <v>#N/A</v>
      </c>
      <c r="QA375" s="1" t="e">
        <v>#N/A</v>
      </c>
      <c r="QB375" s="1" t="e">
        <v>#N/A</v>
      </c>
      <c r="QC375" s="1" t="e">
        <v>#N/A</v>
      </c>
      <c r="QD375" s="1" t="e">
        <v>#N/A</v>
      </c>
      <c r="QE375" s="1" t="e">
        <v>#N/A</v>
      </c>
      <c r="QF375" s="1" t="e">
        <v>#N/A</v>
      </c>
      <c r="QG375" s="1" t="e">
        <v>#N/A</v>
      </c>
      <c r="QH375" s="1" t="e">
        <v>#N/A</v>
      </c>
      <c r="QI375" s="1" t="e">
        <v>#N/A</v>
      </c>
      <c r="QJ375" s="1" t="e">
        <v>#N/A</v>
      </c>
      <c r="QK375" s="1" t="e">
        <v>#N/A</v>
      </c>
      <c r="QL375" s="1" t="e">
        <v>#N/A</v>
      </c>
      <c r="QM375" s="1" t="e">
        <v>#N/A</v>
      </c>
      <c r="QN375" s="1" t="e">
        <v>#N/A</v>
      </c>
      <c r="QO375" s="1" t="e">
        <v>#N/A</v>
      </c>
      <c r="QP375" s="1" t="e">
        <v>#N/A</v>
      </c>
    </row>
    <row r="376" spans="1:458" ht="26.25" x14ac:dyDescent="0.4">
      <c r="A376" s="347"/>
      <c r="B376" s="348"/>
      <c r="C376" s="288"/>
      <c r="D376" s="349"/>
      <c r="E376" s="350"/>
      <c r="F376" s="351"/>
      <c r="G376" s="352"/>
      <c r="H376" s="348"/>
      <c r="I376" s="353"/>
      <c r="J376" s="353"/>
      <c r="PJ376" s="1" t="e">
        <v>#N/A</v>
      </c>
      <c r="PK376" s="1" t="e">
        <v>#N/A</v>
      </c>
      <c r="PL376" s="1" t="e">
        <v>#N/A</v>
      </c>
      <c r="PM376" s="1" t="e">
        <v>#N/A</v>
      </c>
      <c r="PN376" s="1" t="e">
        <v>#N/A</v>
      </c>
      <c r="PO376" s="1" t="e">
        <v>#N/A</v>
      </c>
      <c r="PP376" s="1" t="e">
        <v>#N/A</v>
      </c>
      <c r="PQ376" s="1" t="e">
        <v>#N/A</v>
      </c>
      <c r="PR376" s="1" t="e">
        <v>#N/A</v>
      </c>
      <c r="PS376" s="1" t="e">
        <v>#N/A</v>
      </c>
      <c r="PT376" s="1" t="e">
        <v>#N/A</v>
      </c>
      <c r="PU376" s="1" t="e">
        <v>#N/A</v>
      </c>
      <c r="PV376" s="1" t="e">
        <v>#N/A</v>
      </c>
      <c r="PW376" s="1" t="e">
        <v>#N/A</v>
      </c>
      <c r="PX376" s="1" t="e">
        <v>#N/A</v>
      </c>
      <c r="PY376" s="1" t="e">
        <v>#N/A</v>
      </c>
      <c r="PZ376" s="1" t="e">
        <v>#N/A</v>
      </c>
      <c r="QA376" s="1" t="e">
        <v>#N/A</v>
      </c>
      <c r="QB376" s="1" t="e">
        <v>#N/A</v>
      </c>
      <c r="QC376" s="1" t="e">
        <v>#N/A</v>
      </c>
      <c r="QD376" s="1" t="e">
        <v>#N/A</v>
      </c>
      <c r="QE376" s="1" t="e">
        <v>#N/A</v>
      </c>
      <c r="QF376" s="1" t="e">
        <v>#N/A</v>
      </c>
      <c r="QG376" s="1" t="e">
        <v>#N/A</v>
      </c>
      <c r="QH376" s="1" t="e">
        <v>#N/A</v>
      </c>
      <c r="QI376" s="1" t="e">
        <v>#N/A</v>
      </c>
      <c r="QJ376" s="1" t="e">
        <v>#N/A</v>
      </c>
      <c r="QK376" s="1" t="e">
        <v>#N/A</v>
      </c>
      <c r="QL376" s="1" t="e">
        <v>#N/A</v>
      </c>
      <c r="QM376" s="1" t="e">
        <v>#N/A</v>
      </c>
      <c r="QN376" s="1" t="e">
        <v>#N/A</v>
      </c>
      <c r="QO376" s="1" t="e">
        <v>#N/A</v>
      </c>
      <c r="QP376" s="1" t="e">
        <v>#N/A</v>
      </c>
    </row>
    <row r="377" spans="1:458" ht="26.25" x14ac:dyDescent="0.4">
      <c r="A377" s="347"/>
      <c r="B377" s="348"/>
      <c r="C377" s="288"/>
      <c r="D377" s="349"/>
      <c r="E377" s="350"/>
      <c r="F377" s="351"/>
      <c r="G377" s="352"/>
      <c r="H377" s="348"/>
      <c r="I377" s="353"/>
      <c r="J377" s="353"/>
      <c r="PJ377" s="1" t="e">
        <v>#N/A</v>
      </c>
      <c r="PK377" s="1" t="e">
        <v>#N/A</v>
      </c>
      <c r="PL377" s="1" t="e">
        <v>#N/A</v>
      </c>
      <c r="PM377" s="1" t="e">
        <v>#N/A</v>
      </c>
      <c r="PN377" s="1" t="e">
        <v>#N/A</v>
      </c>
      <c r="PO377" s="1" t="e">
        <v>#N/A</v>
      </c>
      <c r="PP377" s="1" t="e">
        <v>#N/A</v>
      </c>
      <c r="PQ377" s="1" t="e">
        <v>#N/A</v>
      </c>
      <c r="PR377" s="1" t="e">
        <v>#N/A</v>
      </c>
      <c r="PS377" s="1" t="e">
        <v>#N/A</v>
      </c>
      <c r="PT377" s="1" t="e">
        <v>#N/A</v>
      </c>
      <c r="PU377" s="1" t="e">
        <v>#N/A</v>
      </c>
      <c r="PV377" s="1" t="e">
        <v>#N/A</v>
      </c>
      <c r="PW377" s="1" t="e">
        <v>#N/A</v>
      </c>
      <c r="PX377" s="1" t="e">
        <v>#N/A</v>
      </c>
      <c r="PY377" s="1" t="e">
        <v>#N/A</v>
      </c>
      <c r="PZ377" s="1" t="e">
        <v>#N/A</v>
      </c>
      <c r="QA377" s="1" t="e">
        <v>#N/A</v>
      </c>
      <c r="QB377" s="1" t="e">
        <v>#N/A</v>
      </c>
      <c r="QC377" s="1" t="e">
        <v>#N/A</v>
      </c>
      <c r="QD377" s="1" t="e">
        <v>#N/A</v>
      </c>
      <c r="QE377" s="1" t="e">
        <v>#N/A</v>
      </c>
      <c r="QF377" s="1" t="e">
        <v>#N/A</v>
      </c>
      <c r="QG377" s="1" t="e">
        <v>#N/A</v>
      </c>
      <c r="QH377" s="1" t="e">
        <v>#N/A</v>
      </c>
      <c r="QI377" s="1" t="e">
        <v>#N/A</v>
      </c>
      <c r="QJ377" s="1" t="e">
        <v>#N/A</v>
      </c>
      <c r="QK377" s="1" t="e">
        <v>#N/A</v>
      </c>
      <c r="QL377" s="1" t="e">
        <v>#N/A</v>
      </c>
      <c r="QM377" s="1" t="e">
        <v>#N/A</v>
      </c>
      <c r="QN377" s="1" t="e">
        <v>#N/A</v>
      </c>
      <c r="QO377" s="1" t="e">
        <v>#N/A</v>
      </c>
      <c r="QP377" s="1" t="e">
        <v>#N/A</v>
      </c>
    </row>
    <row r="378" spans="1:458" ht="26.25" x14ac:dyDescent="0.4">
      <c r="A378" s="347"/>
      <c r="B378" s="348"/>
      <c r="C378" s="288"/>
      <c r="D378" s="349"/>
      <c r="E378" s="350"/>
      <c r="F378" s="351"/>
      <c r="G378" s="352"/>
      <c r="H378" s="348"/>
      <c r="I378" s="353"/>
      <c r="J378" s="353"/>
      <c r="PJ378" s="1" t="e">
        <v>#N/A</v>
      </c>
      <c r="PK378" s="1" t="e">
        <v>#N/A</v>
      </c>
      <c r="PL378" s="1" t="e">
        <v>#N/A</v>
      </c>
      <c r="PM378" s="1" t="e">
        <v>#N/A</v>
      </c>
      <c r="PN378" s="1" t="e">
        <v>#N/A</v>
      </c>
      <c r="PO378" s="1" t="e">
        <v>#N/A</v>
      </c>
      <c r="PP378" s="1" t="e">
        <v>#N/A</v>
      </c>
      <c r="PQ378" s="1" t="e">
        <v>#N/A</v>
      </c>
      <c r="PR378" s="1" t="e">
        <v>#N/A</v>
      </c>
      <c r="PS378" s="1" t="e">
        <v>#N/A</v>
      </c>
      <c r="PT378" s="1" t="e">
        <v>#N/A</v>
      </c>
      <c r="PU378" s="1" t="e">
        <v>#N/A</v>
      </c>
      <c r="PV378" s="1" t="e">
        <v>#N/A</v>
      </c>
      <c r="PW378" s="1" t="e">
        <v>#N/A</v>
      </c>
      <c r="PX378" s="1" t="e">
        <v>#N/A</v>
      </c>
      <c r="PY378" s="1" t="e">
        <v>#N/A</v>
      </c>
      <c r="PZ378" s="1" t="e">
        <v>#N/A</v>
      </c>
      <c r="QA378" s="1" t="e">
        <v>#N/A</v>
      </c>
      <c r="QB378" s="1" t="e">
        <v>#N/A</v>
      </c>
      <c r="QC378" s="1" t="e">
        <v>#N/A</v>
      </c>
      <c r="QD378" s="1" t="e">
        <v>#N/A</v>
      </c>
      <c r="QE378" s="1" t="e">
        <v>#N/A</v>
      </c>
      <c r="QF378" s="1" t="e">
        <v>#N/A</v>
      </c>
      <c r="QG378" s="1" t="e">
        <v>#N/A</v>
      </c>
      <c r="QH378" s="1" t="e">
        <v>#N/A</v>
      </c>
      <c r="QI378" s="1" t="e">
        <v>#N/A</v>
      </c>
      <c r="QJ378" s="1" t="e">
        <v>#N/A</v>
      </c>
      <c r="QK378" s="1" t="e">
        <v>#N/A</v>
      </c>
      <c r="QL378" s="1" t="e">
        <v>#N/A</v>
      </c>
      <c r="QM378" s="1" t="e">
        <v>#N/A</v>
      </c>
      <c r="QN378" s="1" t="e">
        <v>#N/A</v>
      </c>
      <c r="QO378" s="1" t="e">
        <v>#N/A</v>
      </c>
      <c r="QP378" s="1" t="e">
        <v>#N/A</v>
      </c>
    </row>
    <row r="379" spans="1:458" ht="26.25" x14ac:dyDescent="0.4">
      <c r="A379" s="347"/>
      <c r="B379" s="348"/>
      <c r="C379" s="288"/>
      <c r="D379" s="349"/>
      <c r="E379" s="350"/>
      <c r="F379" s="351"/>
      <c r="G379" s="352"/>
      <c r="H379" s="348"/>
      <c r="I379" s="353"/>
      <c r="J379" s="353"/>
      <c r="PJ379" s="1" t="e">
        <v>#N/A</v>
      </c>
      <c r="PK379" s="1" t="e">
        <v>#N/A</v>
      </c>
      <c r="PL379" s="1" t="e">
        <v>#N/A</v>
      </c>
      <c r="PM379" s="1" t="e">
        <v>#N/A</v>
      </c>
      <c r="PN379" s="1" t="e">
        <v>#N/A</v>
      </c>
      <c r="PO379" s="1" t="e">
        <v>#N/A</v>
      </c>
      <c r="PP379" s="1" t="e">
        <v>#N/A</v>
      </c>
      <c r="PQ379" s="1" t="e">
        <v>#N/A</v>
      </c>
      <c r="PR379" s="1" t="e">
        <v>#N/A</v>
      </c>
      <c r="PS379" s="1" t="e">
        <v>#N/A</v>
      </c>
      <c r="PT379" s="1" t="e">
        <v>#N/A</v>
      </c>
      <c r="PU379" s="1" t="e">
        <v>#N/A</v>
      </c>
      <c r="PV379" s="1" t="e">
        <v>#N/A</v>
      </c>
      <c r="PW379" s="1" t="e">
        <v>#N/A</v>
      </c>
      <c r="PX379" s="1" t="e">
        <v>#N/A</v>
      </c>
      <c r="PY379" s="1" t="e">
        <v>#N/A</v>
      </c>
      <c r="PZ379" s="1" t="e">
        <v>#N/A</v>
      </c>
      <c r="QA379" s="1" t="e">
        <v>#N/A</v>
      </c>
      <c r="QB379" s="1" t="e">
        <v>#N/A</v>
      </c>
      <c r="QC379" s="1" t="e">
        <v>#N/A</v>
      </c>
      <c r="QD379" s="1" t="e">
        <v>#N/A</v>
      </c>
      <c r="QE379" s="1" t="e">
        <v>#N/A</v>
      </c>
      <c r="QF379" s="1" t="e">
        <v>#N/A</v>
      </c>
      <c r="QG379" s="1" t="e">
        <v>#N/A</v>
      </c>
      <c r="QH379" s="1" t="e">
        <v>#N/A</v>
      </c>
      <c r="QI379" s="1" t="e">
        <v>#N/A</v>
      </c>
      <c r="QJ379" s="1" t="e">
        <v>#N/A</v>
      </c>
      <c r="QK379" s="1" t="e">
        <v>#N/A</v>
      </c>
      <c r="QL379" s="1" t="e">
        <v>#N/A</v>
      </c>
      <c r="QM379" s="1" t="e">
        <v>#N/A</v>
      </c>
      <c r="QN379" s="1" t="e">
        <v>#N/A</v>
      </c>
      <c r="QO379" s="1" t="e">
        <v>#N/A</v>
      </c>
      <c r="QP379" s="1" t="e">
        <v>#N/A</v>
      </c>
    </row>
    <row r="380" spans="1:458" ht="26.25" x14ac:dyDescent="0.4">
      <c r="A380" s="347"/>
      <c r="B380" s="348"/>
      <c r="C380" s="288"/>
      <c r="D380" s="349"/>
      <c r="E380" s="350"/>
      <c r="F380" s="351"/>
      <c r="G380" s="352"/>
      <c r="H380" s="348"/>
      <c r="I380" s="353"/>
      <c r="J380" s="353"/>
      <c r="PJ380" s="1" t="e">
        <v>#N/A</v>
      </c>
      <c r="PK380" s="1" t="e">
        <v>#N/A</v>
      </c>
      <c r="PL380" s="1" t="e">
        <v>#N/A</v>
      </c>
      <c r="PM380" s="1" t="e">
        <v>#N/A</v>
      </c>
      <c r="PN380" s="1" t="e">
        <v>#N/A</v>
      </c>
      <c r="PO380" s="1" t="e">
        <v>#N/A</v>
      </c>
      <c r="PP380" s="1" t="e">
        <v>#N/A</v>
      </c>
      <c r="PQ380" s="1" t="e">
        <v>#N/A</v>
      </c>
      <c r="PR380" s="1" t="e">
        <v>#N/A</v>
      </c>
      <c r="PS380" s="1" t="e">
        <v>#N/A</v>
      </c>
      <c r="PT380" s="1" t="e">
        <v>#N/A</v>
      </c>
      <c r="PU380" s="1" t="e">
        <v>#N/A</v>
      </c>
      <c r="PV380" s="1" t="e">
        <v>#N/A</v>
      </c>
      <c r="PW380" s="1" t="e">
        <v>#N/A</v>
      </c>
      <c r="PX380" s="1" t="e">
        <v>#N/A</v>
      </c>
      <c r="PY380" s="1" t="e">
        <v>#N/A</v>
      </c>
      <c r="PZ380" s="1" t="e">
        <v>#N/A</v>
      </c>
      <c r="QA380" s="1" t="e">
        <v>#N/A</v>
      </c>
      <c r="QB380" s="1" t="e">
        <v>#N/A</v>
      </c>
      <c r="QC380" s="1" t="e">
        <v>#N/A</v>
      </c>
      <c r="QD380" s="1" t="e">
        <v>#N/A</v>
      </c>
      <c r="QE380" s="1" t="e">
        <v>#N/A</v>
      </c>
      <c r="QF380" s="1" t="e">
        <v>#N/A</v>
      </c>
      <c r="QG380" s="1" t="e">
        <v>#N/A</v>
      </c>
      <c r="QH380" s="1" t="e">
        <v>#N/A</v>
      </c>
      <c r="QI380" s="1" t="e">
        <v>#N/A</v>
      </c>
      <c r="QJ380" s="1" t="e">
        <v>#N/A</v>
      </c>
      <c r="QK380" s="1" t="e">
        <v>#N/A</v>
      </c>
      <c r="QL380" s="1" t="e">
        <v>#N/A</v>
      </c>
      <c r="QM380" s="1" t="e">
        <v>#N/A</v>
      </c>
      <c r="QN380" s="1" t="e">
        <v>#N/A</v>
      </c>
      <c r="QO380" s="1" t="e">
        <v>#N/A</v>
      </c>
      <c r="QP380" s="1" t="e">
        <v>#N/A</v>
      </c>
    </row>
    <row r="381" spans="1:458" ht="26.25" x14ac:dyDescent="0.4">
      <c r="A381" s="347"/>
      <c r="B381" s="348"/>
      <c r="C381" s="288"/>
      <c r="D381" s="349"/>
      <c r="E381" s="350"/>
      <c r="F381" s="351"/>
      <c r="G381" s="352"/>
      <c r="H381" s="348"/>
      <c r="I381" s="353"/>
      <c r="J381" s="353"/>
      <c r="PJ381" s="1" t="e">
        <v>#N/A</v>
      </c>
      <c r="PK381" s="1" t="e">
        <v>#N/A</v>
      </c>
      <c r="PL381" s="1" t="e">
        <v>#N/A</v>
      </c>
      <c r="PM381" s="1" t="e">
        <v>#N/A</v>
      </c>
      <c r="PN381" s="1" t="e">
        <v>#N/A</v>
      </c>
      <c r="PO381" s="1" t="e">
        <v>#N/A</v>
      </c>
      <c r="PP381" s="1" t="e">
        <v>#N/A</v>
      </c>
      <c r="PQ381" s="1" t="e">
        <v>#N/A</v>
      </c>
      <c r="PR381" s="1" t="e">
        <v>#N/A</v>
      </c>
      <c r="PS381" s="1" t="e">
        <v>#N/A</v>
      </c>
      <c r="PT381" s="1" t="e">
        <v>#N/A</v>
      </c>
      <c r="PU381" s="1" t="e">
        <v>#N/A</v>
      </c>
      <c r="PV381" s="1" t="e">
        <v>#N/A</v>
      </c>
      <c r="PW381" s="1" t="e">
        <v>#N/A</v>
      </c>
      <c r="PX381" s="1" t="e">
        <v>#N/A</v>
      </c>
      <c r="PY381" s="1" t="e">
        <v>#N/A</v>
      </c>
      <c r="PZ381" s="1" t="e">
        <v>#N/A</v>
      </c>
      <c r="QA381" s="1" t="e">
        <v>#N/A</v>
      </c>
      <c r="QB381" s="1" t="e">
        <v>#N/A</v>
      </c>
      <c r="QC381" s="1" t="e">
        <v>#N/A</v>
      </c>
      <c r="QD381" s="1" t="e">
        <v>#N/A</v>
      </c>
      <c r="QE381" s="1" t="e">
        <v>#N/A</v>
      </c>
      <c r="QF381" s="1" t="e">
        <v>#N/A</v>
      </c>
      <c r="QG381" s="1" t="e">
        <v>#N/A</v>
      </c>
      <c r="QH381" s="1" t="e">
        <v>#N/A</v>
      </c>
      <c r="QI381" s="1" t="e">
        <v>#N/A</v>
      </c>
      <c r="QJ381" s="1" t="e">
        <v>#N/A</v>
      </c>
      <c r="QK381" s="1" t="e">
        <v>#N/A</v>
      </c>
      <c r="QL381" s="1" t="e">
        <v>#N/A</v>
      </c>
      <c r="QM381" s="1" t="e">
        <v>#N/A</v>
      </c>
      <c r="QN381" s="1" t="e">
        <v>#N/A</v>
      </c>
      <c r="QO381" s="1" t="e">
        <v>#N/A</v>
      </c>
      <c r="QP381" s="1" t="e">
        <v>#N/A</v>
      </c>
    </row>
    <row r="382" spans="1:458" ht="26.25" x14ac:dyDescent="0.4">
      <c r="A382" s="347"/>
      <c r="B382" s="348"/>
      <c r="C382" s="288"/>
      <c r="D382" s="349"/>
      <c r="E382" s="350"/>
      <c r="F382" s="351"/>
      <c r="G382" s="352"/>
      <c r="H382" s="348"/>
      <c r="I382" s="353"/>
      <c r="J382" s="353"/>
      <c r="PJ382" s="1" t="e">
        <v>#N/A</v>
      </c>
      <c r="PK382" s="1" t="e">
        <v>#N/A</v>
      </c>
      <c r="PL382" s="1" t="e">
        <v>#N/A</v>
      </c>
      <c r="PM382" s="1" t="e">
        <v>#N/A</v>
      </c>
      <c r="PN382" s="1" t="e">
        <v>#N/A</v>
      </c>
      <c r="PO382" s="1" t="e">
        <v>#N/A</v>
      </c>
      <c r="PP382" s="1" t="e">
        <v>#N/A</v>
      </c>
      <c r="PQ382" s="1" t="e">
        <v>#N/A</v>
      </c>
      <c r="PR382" s="1" t="e">
        <v>#N/A</v>
      </c>
      <c r="PS382" s="1" t="e">
        <v>#N/A</v>
      </c>
      <c r="PT382" s="1" t="e">
        <v>#N/A</v>
      </c>
      <c r="PU382" s="1" t="e">
        <v>#N/A</v>
      </c>
      <c r="PV382" s="1" t="e">
        <v>#N/A</v>
      </c>
      <c r="PW382" s="1" t="e">
        <v>#N/A</v>
      </c>
      <c r="PX382" s="1" t="e">
        <v>#N/A</v>
      </c>
      <c r="PY382" s="1" t="e">
        <v>#N/A</v>
      </c>
      <c r="PZ382" s="1" t="e">
        <v>#N/A</v>
      </c>
      <c r="QA382" s="1" t="e">
        <v>#N/A</v>
      </c>
      <c r="QB382" s="1" t="e">
        <v>#N/A</v>
      </c>
      <c r="QC382" s="1" t="e">
        <v>#N/A</v>
      </c>
      <c r="QD382" s="1" t="e">
        <v>#N/A</v>
      </c>
      <c r="QE382" s="1" t="e">
        <v>#N/A</v>
      </c>
      <c r="QF382" s="1" t="e">
        <v>#N/A</v>
      </c>
      <c r="QG382" s="1" t="e">
        <v>#N/A</v>
      </c>
      <c r="QH382" s="1" t="e">
        <v>#N/A</v>
      </c>
      <c r="QI382" s="1" t="e">
        <v>#N/A</v>
      </c>
      <c r="QJ382" s="1" t="e">
        <v>#N/A</v>
      </c>
      <c r="QK382" s="1" t="e">
        <v>#N/A</v>
      </c>
      <c r="QL382" s="1" t="e">
        <v>#N/A</v>
      </c>
      <c r="QM382" s="1" t="e">
        <v>#N/A</v>
      </c>
      <c r="QN382" s="1" t="e">
        <v>#N/A</v>
      </c>
      <c r="QO382" s="1" t="e">
        <v>#N/A</v>
      </c>
      <c r="QP382" s="1" t="e">
        <v>#N/A</v>
      </c>
    </row>
    <row r="383" spans="1:458" ht="26.25" x14ac:dyDescent="0.4">
      <c r="A383" s="347"/>
      <c r="B383" s="348"/>
      <c r="C383" s="288"/>
      <c r="D383" s="349"/>
      <c r="E383" s="350"/>
      <c r="F383" s="351"/>
      <c r="G383" s="352"/>
      <c r="H383" s="348"/>
      <c r="I383" s="353"/>
      <c r="J383" s="353"/>
      <c r="PJ383" s="1" t="e">
        <v>#N/A</v>
      </c>
      <c r="PK383" s="1" t="e">
        <v>#N/A</v>
      </c>
      <c r="PL383" s="1" t="e">
        <v>#N/A</v>
      </c>
      <c r="PM383" s="1" t="e">
        <v>#N/A</v>
      </c>
      <c r="PN383" s="1" t="e">
        <v>#N/A</v>
      </c>
      <c r="PO383" s="1" t="e">
        <v>#N/A</v>
      </c>
      <c r="PP383" s="1" t="e">
        <v>#N/A</v>
      </c>
      <c r="PQ383" s="1" t="e">
        <v>#N/A</v>
      </c>
      <c r="PR383" s="1" t="e">
        <v>#N/A</v>
      </c>
      <c r="PS383" s="1" t="e">
        <v>#N/A</v>
      </c>
      <c r="PT383" s="1" t="e">
        <v>#N/A</v>
      </c>
      <c r="PU383" s="1" t="e">
        <v>#N/A</v>
      </c>
      <c r="PV383" s="1" t="e">
        <v>#N/A</v>
      </c>
      <c r="PW383" s="1" t="e">
        <v>#N/A</v>
      </c>
      <c r="PX383" s="1" t="e">
        <v>#N/A</v>
      </c>
      <c r="PY383" s="1" t="e">
        <v>#N/A</v>
      </c>
      <c r="PZ383" s="1" t="e">
        <v>#N/A</v>
      </c>
      <c r="QA383" s="1" t="e">
        <v>#N/A</v>
      </c>
      <c r="QB383" s="1" t="e">
        <v>#N/A</v>
      </c>
      <c r="QC383" s="1" t="e">
        <v>#N/A</v>
      </c>
      <c r="QD383" s="1" t="e">
        <v>#N/A</v>
      </c>
      <c r="QE383" s="1" t="e">
        <v>#N/A</v>
      </c>
      <c r="QF383" s="1" t="e">
        <v>#N/A</v>
      </c>
      <c r="QG383" s="1" t="e">
        <v>#N/A</v>
      </c>
      <c r="QH383" s="1" t="e">
        <v>#N/A</v>
      </c>
      <c r="QI383" s="1" t="e">
        <v>#N/A</v>
      </c>
      <c r="QJ383" s="1" t="e">
        <v>#N/A</v>
      </c>
      <c r="QK383" s="1" t="e">
        <v>#N/A</v>
      </c>
      <c r="QL383" s="1" t="e">
        <v>#N/A</v>
      </c>
      <c r="QM383" s="1" t="e">
        <v>#N/A</v>
      </c>
      <c r="QN383" s="1" t="e">
        <v>#N/A</v>
      </c>
      <c r="QO383" s="1" t="e">
        <v>#N/A</v>
      </c>
      <c r="QP383" s="1" t="e">
        <v>#N/A</v>
      </c>
    </row>
    <row r="384" spans="1:458" ht="26.25" x14ac:dyDescent="0.4">
      <c r="A384" s="347"/>
      <c r="B384" s="348"/>
      <c r="C384" s="288"/>
      <c r="D384" s="349"/>
      <c r="E384" s="350"/>
      <c r="F384" s="351"/>
      <c r="G384" s="352"/>
      <c r="H384" s="348"/>
      <c r="I384" s="353"/>
      <c r="J384" s="353"/>
      <c r="PJ384" s="1" t="e">
        <v>#N/A</v>
      </c>
      <c r="PK384" s="1" t="e">
        <v>#N/A</v>
      </c>
      <c r="PL384" s="1" t="e">
        <v>#N/A</v>
      </c>
      <c r="PM384" s="1" t="e">
        <v>#N/A</v>
      </c>
      <c r="PN384" s="1" t="e">
        <v>#N/A</v>
      </c>
      <c r="PO384" s="1" t="e">
        <v>#N/A</v>
      </c>
      <c r="PP384" s="1" t="e">
        <v>#N/A</v>
      </c>
      <c r="PQ384" s="1" t="e">
        <v>#N/A</v>
      </c>
      <c r="PR384" s="1" t="e">
        <v>#N/A</v>
      </c>
      <c r="PS384" s="1" t="e">
        <v>#N/A</v>
      </c>
      <c r="PT384" s="1" t="e">
        <v>#N/A</v>
      </c>
      <c r="PU384" s="1" t="e">
        <v>#N/A</v>
      </c>
      <c r="PV384" s="1" t="e">
        <v>#N/A</v>
      </c>
      <c r="PW384" s="1" t="e">
        <v>#N/A</v>
      </c>
      <c r="PX384" s="1" t="e">
        <v>#N/A</v>
      </c>
      <c r="PY384" s="1" t="e">
        <v>#N/A</v>
      </c>
      <c r="PZ384" s="1" t="e">
        <v>#N/A</v>
      </c>
      <c r="QA384" s="1" t="e">
        <v>#N/A</v>
      </c>
      <c r="QB384" s="1" t="e">
        <v>#N/A</v>
      </c>
      <c r="QC384" s="1" t="e">
        <v>#N/A</v>
      </c>
      <c r="QD384" s="1" t="e">
        <v>#N/A</v>
      </c>
      <c r="QE384" s="1" t="e">
        <v>#N/A</v>
      </c>
      <c r="QF384" s="1" t="e">
        <v>#N/A</v>
      </c>
      <c r="QG384" s="1" t="e">
        <v>#N/A</v>
      </c>
      <c r="QH384" s="1" t="e">
        <v>#N/A</v>
      </c>
      <c r="QI384" s="1" t="e">
        <v>#N/A</v>
      </c>
      <c r="QJ384" s="1" t="e">
        <v>#N/A</v>
      </c>
      <c r="QK384" s="1" t="e">
        <v>#N/A</v>
      </c>
      <c r="QL384" s="1" t="e">
        <v>#N/A</v>
      </c>
      <c r="QM384" s="1" t="e">
        <v>#N/A</v>
      </c>
      <c r="QN384" s="1" t="e">
        <v>#N/A</v>
      </c>
      <c r="QO384" s="1" t="e">
        <v>#N/A</v>
      </c>
      <c r="QP384" s="1" t="e">
        <v>#N/A</v>
      </c>
    </row>
    <row r="385" spans="1:458" ht="26.25" x14ac:dyDescent="0.4">
      <c r="A385" s="347"/>
      <c r="B385" s="348"/>
      <c r="C385" s="288"/>
      <c r="D385" s="349"/>
      <c r="E385" s="350"/>
      <c r="F385" s="351"/>
      <c r="G385" s="352"/>
      <c r="H385" s="348"/>
      <c r="I385" s="353"/>
      <c r="J385" s="353"/>
      <c r="PJ385" s="1" t="e">
        <v>#N/A</v>
      </c>
      <c r="PK385" s="1" t="e">
        <v>#N/A</v>
      </c>
      <c r="PL385" s="1" t="e">
        <v>#N/A</v>
      </c>
      <c r="PM385" s="1" t="e">
        <v>#N/A</v>
      </c>
      <c r="PN385" s="1" t="e">
        <v>#N/A</v>
      </c>
      <c r="PO385" s="1" t="e">
        <v>#N/A</v>
      </c>
      <c r="PP385" s="1" t="e">
        <v>#N/A</v>
      </c>
      <c r="PQ385" s="1" t="e">
        <v>#N/A</v>
      </c>
      <c r="PR385" s="1" t="e">
        <v>#N/A</v>
      </c>
      <c r="PS385" s="1" t="e">
        <v>#N/A</v>
      </c>
      <c r="PT385" s="1" t="e">
        <v>#N/A</v>
      </c>
      <c r="PU385" s="1" t="e">
        <v>#N/A</v>
      </c>
      <c r="PV385" s="1" t="e">
        <v>#N/A</v>
      </c>
      <c r="PW385" s="1" t="e">
        <v>#N/A</v>
      </c>
      <c r="PX385" s="1" t="e">
        <v>#N/A</v>
      </c>
      <c r="PY385" s="1" t="e">
        <v>#N/A</v>
      </c>
      <c r="PZ385" s="1" t="e">
        <v>#N/A</v>
      </c>
      <c r="QA385" s="1" t="e">
        <v>#N/A</v>
      </c>
      <c r="QB385" s="1" t="e">
        <v>#N/A</v>
      </c>
      <c r="QC385" s="1" t="e">
        <v>#N/A</v>
      </c>
      <c r="QD385" s="1" t="e">
        <v>#N/A</v>
      </c>
      <c r="QE385" s="1" t="e">
        <v>#N/A</v>
      </c>
      <c r="QF385" s="1" t="e">
        <v>#N/A</v>
      </c>
      <c r="QG385" s="1" t="e">
        <v>#N/A</v>
      </c>
      <c r="QH385" s="1" t="e">
        <v>#N/A</v>
      </c>
      <c r="QI385" s="1" t="e">
        <v>#N/A</v>
      </c>
      <c r="QJ385" s="1" t="e">
        <v>#N/A</v>
      </c>
      <c r="QK385" s="1" t="e">
        <v>#N/A</v>
      </c>
      <c r="QL385" s="1" t="e">
        <v>#N/A</v>
      </c>
      <c r="QM385" s="1" t="e">
        <v>#N/A</v>
      </c>
      <c r="QN385" s="1" t="e">
        <v>#N/A</v>
      </c>
      <c r="QO385" s="1" t="e">
        <v>#N/A</v>
      </c>
      <c r="QP385" s="1" t="e">
        <v>#N/A</v>
      </c>
    </row>
    <row r="386" spans="1:458" ht="26.25" x14ac:dyDescent="0.4">
      <c r="A386" s="347"/>
      <c r="B386" s="348"/>
      <c r="C386" s="288"/>
      <c r="D386" s="349"/>
      <c r="E386" s="350"/>
      <c r="F386" s="351"/>
      <c r="G386" s="352"/>
      <c r="H386" s="348"/>
      <c r="I386" s="353"/>
      <c r="J386" s="353"/>
      <c r="PJ386" s="1" t="e">
        <v>#N/A</v>
      </c>
      <c r="PK386" s="1" t="e">
        <v>#N/A</v>
      </c>
      <c r="PL386" s="1" t="e">
        <v>#N/A</v>
      </c>
      <c r="PM386" s="1" t="e">
        <v>#N/A</v>
      </c>
      <c r="PN386" s="1" t="e">
        <v>#N/A</v>
      </c>
      <c r="PO386" s="1" t="e">
        <v>#N/A</v>
      </c>
      <c r="PP386" s="1" t="e">
        <v>#N/A</v>
      </c>
      <c r="PQ386" s="1" t="e">
        <v>#N/A</v>
      </c>
      <c r="PR386" s="1" t="e">
        <v>#N/A</v>
      </c>
      <c r="PS386" s="1" t="e">
        <v>#N/A</v>
      </c>
      <c r="PT386" s="1" t="e">
        <v>#N/A</v>
      </c>
      <c r="PU386" s="1" t="e">
        <v>#N/A</v>
      </c>
      <c r="PV386" s="1" t="e">
        <v>#N/A</v>
      </c>
      <c r="PW386" s="1" t="e">
        <v>#N/A</v>
      </c>
      <c r="PX386" s="1" t="e">
        <v>#N/A</v>
      </c>
      <c r="PY386" s="1" t="e">
        <v>#N/A</v>
      </c>
      <c r="PZ386" s="1" t="e">
        <v>#N/A</v>
      </c>
      <c r="QA386" s="1" t="e">
        <v>#N/A</v>
      </c>
      <c r="QB386" s="1" t="e">
        <v>#N/A</v>
      </c>
      <c r="QC386" s="1" t="e">
        <v>#N/A</v>
      </c>
      <c r="QD386" s="1" t="e">
        <v>#N/A</v>
      </c>
      <c r="QE386" s="1" t="e">
        <v>#N/A</v>
      </c>
      <c r="QF386" s="1" t="e">
        <v>#N/A</v>
      </c>
      <c r="QG386" s="1" t="e">
        <v>#N/A</v>
      </c>
      <c r="QH386" s="1" t="e">
        <v>#N/A</v>
      </c>
      <c r="QI386" s="1" t="e">
        <v>#N/A</v>
      </c>
      <c r="QJ386" s="1" t="e">
        <v>#N/A</v>
      </c>
      <c r="QK386" s="1" t="e">
        <v>#N/A</v>
      </c>
      <c r="QL386" s="1" t="e">
        <v>#N/A</v>
      </c>
      <c r="QM386" s="1" t="e">
        <v>#N/A</v>
      </c>
      <c r="QN386" s="1" t="e">
        <v>#N/A</v>
      </c>
      <c r="QO386" s="1" t="e">
        <v>#N/A</v>
      </c>
      <c r="QP386" s="1" t="e">
        <v>#N/A</v>
      </c>
    </row>
    <row r="387" spans="1:458" ht="26.25" x14ac:dyDescent="0.4">
      <c r="A387" s="347"/>
      <c r="B387" s="348"/>
      <c r="C387" s="288"/>
      <c r="D387" s="349"/>
      <c r="E387" s="350"/>
      <c r="F387" s="351"/>
      <c r="G387" s="352"/>
      <c r="H387" s="348"/>
      <c r="I387" s="353"/>
      <c r="J387" s="353"/>
      <c r="PJ387" s="1" t="e">
        <v>#N/A</v>
      </c>
      <c r="PK387" s="1" t="e">
        <v>#N/A</v>
      </c>
      <c r="PL387" s="1" t="e">
        <v>#N/A</v>
      </c>
      <c r="PM387" s="1" t="e">
        <v>#N/A</v>
      </c>
      <c r="PN387" s="1" t="e">
        <v>#N/A</v>
      </c>
      <c r="PO387" s="1" t="e">
        <v>#N/A</v>
      </c>
      <c r="PP387" s="1" t="e">
        <v>#N/A</v>
      </c>
      <c r="PQ387" s="1" t="e">
        <v>#N/A</v>
      </c>
      <c r="PR387" s="1" t="e">
        <v>#N/A</v>
      </c>
      <c r="PS387" s="1" t="e">
        <v>#N/A</v>
      </c>
      <c r="PT387" s="1" t="e">
        <v>#N/A</v>
      </c>
      <c r="PU387" s="1" t="e">
        <v>#N/A</v>
      </c>
      <c r="PV387" s="1" t="e">
        <v>#N/A</v>
      </c>
      <c r="PW387" s="1" t="e">
        <v>#N/A</v>
      </c>
      <c r="PX387" s="1" t="e">
        <v>#N/A</v>
      </c>
      <c r="PY387" s="1" t="e">
        <v>#N/A</v>
      </c>
      <c r="PZ387" s="1" t="e">
        <v>#N/A</v>
      </c>
      <c r="QA387" s="1" t="e">
        <v>#N/A</v>
      </c>
      <c r="QB387" s="1" t="e">
        <v>#N/A</v>
      </c>
      <c r="QC387" s="1" t="e">
        <v>#N/A</v>
      </c>
      <c r="QD387" s="1" t="e">
        <v>#N/A</v>
      </c>
      <c r="QE387" s="1" t="e">
        <v>#N/A</v>
      </c>
      <c r="QF387" s="1" t="e">
        <v>#N/A</v>
      </c>
      <c r="QG387" s="1" t="e">
        <v>#N/A</v>
      </c>
      <c r="QH387" s="1" t="e">
        <v>#N/A</v>
      </c>
      <c r="QI387" s="1" t="e">
        <v>#N/A</v>
      </c>
      <c r="QJ387" s="1" t="e">
        <v>#N/A</v>
      </c>
      <c r="QK387" s="1" t="e">
        <v>#N/A</v>
      </c>
      <c r="QL387" s="1" t="e">
        <v>#N/A</v>
      </c>
      <c r="QM387" s="1" t="e">
        <v>#N/A</v>
      </c>
      <c r="QN387" s="1" t="e">
        <v>#N/A</v>
      </c>
      <c r="QO387" s="1" t="e">
        <v>#N/A</v>
      </c>
      <c r="QP387" s="1" t="e">
        <v>#N/A</v>
      </c>
    </row>
    <row r="388" spans="1:458" ht="26.25" x14ac:dyDescent="0.4">
      <c r="A388" s="347"/>
      <c r="B388" s="348"/>
      <c r="C388" s="288"/>
      <c r="D388" s="349"/>
      <c r="E388" s="350"/>
      <c r="F388" s="351"/>
      <c r="G388" s="352"/>
      <c r="H388" s="348"/>
      <c r="I388" s="353"/>
      <c r="J388" s="353"/>
      <c r="PJ388" s="1" t="e">
        <v>#N/A</v>
      </c>
      <c r="PK388" s="1" t="e">
        <v>#N/A</v>
      </c>
      <c r="PL388" s="1" t="e">
        <v>#N/A</v>
      </c>
      <c r="PM388" s="1" t="e">
        <v>#N/A</v>
      </c>
      <c r="PN388" s="1" t="e">
        <v>#N/A</v>
      </c>
      <c r="PO388" s="1" t="e">
        <v>#N/A</v>
      </c>
      <c r="PP388" s="1" t="e">
        <v>#N/A</v>
      </c>
      <c r="PQ388" s="1" t="e">
        <v>#N/A</v>
      </c>
      <c r="PR388" s="1" t="e">
        <v>#N/A</v>
      </c>
      <c r="PS388" s="1" t="e">
        <v>#N/A</v>
      </c>
      <c r="PT388" s="1" t="e">
        <v>#N/A</v>
      </c>
      <c r="PU388" s="1" t="e">
        <v>#N/A</v>
      </c>
      <c r="PV388" s="1" t="e">
        <v>#N/A</v>
      </c>
      <c r="PW388" s="1" t="e">
        <v>#N/A</v>
      </c>
      <c r="PX388" s="1" t="e">
        <v>#N/A</v>
      </c>
      <c r="PY388" s="1" t="e">
        <v>#N/A</v>
      </c>
      <c r="PZ388" s="1" t="e">
        <v>#N/A</v>
      </c>
      <c r="QA388" s="1" t="e">
        <v>#N/A</v>
      </c>
      <c r="QB388" s="1" t="e">
        <v>#N/A</v>
      </c>
      <c r="QC388" s="1" t="e">
        <v>#N/A</v>
      </c>
      <c r="QD388" s="1" t="e">
        <v>#N/A</v>
      </c>
      <c r="QE388" s="1" t="e">
        <v>#N/A</v>
      </c>
      <c r="QF388" s="1" t="e">
        <v>#N/A</v>
      </c>
      <c r="QG388" s="1" t="e">
        <v>#N/A</v>
      </c>
      <c r="QH388" s="1" t="e">
        <v>#N/A</v>
      </c>
      <c r="QI388" s="1" t="e">
        <v>#N/A</v>
      </c>
      <c r="QJ388" s="1" t="e">
        <v>#N/A</v>
      </c>
      <c r="QK388" s="1" t="e">
        <v>#N/A</v>
      </c>
      <c r="QL388" s="1" t="e">
        <v>#N/A</v>
      </c>
      <c r="QM388" s="1" t="e">
        <v>#N/A</v>
      </c>
      <c r="QN388" s="1" t="e">
        <v>#N/A</v>
      </c>
      <c r="QO388" s="1" t="e">
        <v>#N/A</v>
      </c>
      <c r="QP388" s="1" t="e">
        <v>#N/A</v>
      </c>
    </row>
    <row r="389" spans="1:458" ht="26.25" x14ac:dyDescent="0.4">
      <c r="A389" s="347"/>
      <c r="B389" s="348"/>
      <c r="C389" s="288"/>
      <c r="D389" s="349"/>
      <c r="E389" s="350"/>
      <c r="F389" s="351"/>
      <c r="G389" s="352"/>
      <c r="H389" s="348"/>
      <c r="I389" s="353"/>
      <c r="J389" s="353"/>
      <c r="PJ389" s="1" t="e">
        <v>#N/A</v>
      </c>
      <c r="PK389" s="1" t="e">
        <v>#N/A</v>
      </c>
      <c r="PL389" s="1" t="e">
        <v>#N/A</v>
      </c>
      <c r="PM389" s="1" t="e">
        <v>#N/A</v>
      </c>
      <c r="PN389" s="1" t="e">
        <v>#N/A</v>
      </c>
      <c r="PO389" s="1" t="e">
        <v>#N/A</v>
      </c>
      <c r="PP389" s="1" t="e">
        <v>#N/A</v>
      </c>
      <c r="PQ389" s="1" t="e">
        <v>#N/A</v>
      </c>
      <c r="PR389" s="1" t="e">
        <v>#N/A</v>
      </c>
      <c r="PS389" s="1" t="e">
        <v>#N/A</v>
      </c>
      <c r="PT389" s="1" t="e">
        <v>#N/A</v>
      </c>
      <c r="PU389" s="1" t="e">
        <v>#N/A</v>
      </c>
      <c r="PV389" s="1" t="e">
        <v>#N/A</v>
      </c>
      <c r="PW389" s="1" t="e">
        <v>#N/A</v>
      </c>
      <c r="PX389" s="1" t="e">
        <v>#N/A</v>
      </c>
      <c r="PY389" s="1" t="e">
        <v>#N/A</v>
      </c>
      <c r="PZ389" s="1" t="e">
        <v>#N/A</v>
      </c>
      <c r="QA389" s="1" t="e">
        <v>#N/A</v>
      </c>
      <c r="QB389" s="1" t="e">
        <v>#N/A</v>
      </c>
      <c r="QC389" s="1" t="e">
        <v>#N/A</v>
      </c>
      <c r="QD389" s="1" t="e">
        <v>#N/A</v>
      </c>
      <c r="QE389" s="1" t="e">
        <v>#N/A</v>
      </c>
      <c r="QF389" s="1" t="e">
        <v>#N/A</v>
      </c>
      <c r="QG389" s="1" t="e">
        <v>#N/A</v>
      </c>
      <c r="QH389" s="1" t="e">
        <v>#N/A</v>
      </c>
      <c r="QI389" s="1" t="e">
        <v>#N/A</v>
      </c>
      <c r="QJ389" s="1" t="e">
        <v>#N/A</v>
      </c>
      <c r="QK389" s="1" t="e">
        <v>#N/A</v>
      </c>
      <c r="QL389" s="1" t="e">
        <v>#N/A</v>
      </c>
      <c r="QM389" s="1" t="e">
        <v>#N/A</v>
      </c>
      <c r="QN389" s="1" t="e">
        <v>#N/A</v>
      </c>
      <c r="QO389" s="1" t="e">
        <v>#N/A</v>
      </c>
      <c r="QP389" s="1" t="e">
        <v>#N/A</v>
      </c>
    </row>
    <row r="390" spans="1:458" ht="26.25" x14ac:dyDescent="0.4">
      <c r="A390" s="347"/>
      <c r="B390" s="348"/>
      <c r="C390" s="288"/>
      <c r="D390" s="349"/>
      <c r="E390" s="350"/>
      <c r="F390" s="351"/>
      <c r="G390" s="352"/>
      <c r="H390" s="348"/>
      <c r="I390" s="353"/>
      <c r="J390" s="353"/>
      <c r="PJ390" s="1" t="e">
        <v>#N/A</v>
      </c>
      <c r="PK390" s="1" t="e">
        <v>#N/A</v>
      </c>
      <c r="PL390" s="1" t="e">
        <v>#N/A</v>
      </c>
      <c r="PM390" s="1" t="e">
        <v>#N/A</v>
      </c>
      <c r="PN390" s="1" t="e">
        <v>#N/A</v>
      </c>
      <c r="PO390" s="1" t="e">
        <v>#N/A</v>
      </c>
      <c r="PP390" s="1" t="e">
        <v>#N/A</v>
      </c>
      <c r="PQ390" s="1" t="e">
        <v>#N/A</v>
      </c>
      <c r="PR390" s="1" t="e">
        <v>#N/A</v>
      </c>
      <c r="PS390" s="1" t="e">
        <v>#N/A</v>
      </c>
      <c r="PT390" s="1" t="e">
        <v>#N/A</v>
      </c>
      <c r="PU390" s="1" t="e">
        <v>#N/A</v>
      </c>
      <c r="PV390" s="1" t="e">
        <v>#N/A</v>
      </c>
      <c r="PW390" s="1" t="e">
        <v>#N/A</v>
      </c>
      <c r="PX390" s="1" t="e">
        <v>#N/A</v>
      </c>
      <c r="PY390" s="1" t="e">
        <v>#N/A</v>
      </c>
      <c r="PZ390" s="1" t="e">
        <v>#N/A</v>
      </c>
      <c r="QA390" s="1" t="e">
        <v>#N/A</v>
      </c>
      <c r="QB390" s="1" t="e">
        <v>#N/A</v>
      </c>
      <c r="QC390" s="1" t="e">
        <v>#N/A</v>
      </c>
      <c r="QD390" s="1" t="e">
        <v>#N/A</v>
      </c>
      <c r="QE390" s="1" t="e">
        <v>#N/A</v>
      </c>
      <c r="QF390" s="1" t="e">
        <v>#N/A</v>
      </c>
      <c r="QG390" s="1" t="e">
        <v>#N/A</v>
      </c>
      <c r="QH390" s="1" t="e">
        <v>#N/A</v>
      </c>
      <c r="QI390" s="1" t="e">
        <v>#N/A</v>
      </c>
      <c r="QJ390" s="1" t="e">
        <v>#N/A</v>
      </c>
      <c r="QK390" s="1" t="e">
        <v>#N/A</v>
      </c>
      <c r="QL390" s="1" t="e">
        <v>#N/A</v>
      </c>
      <c r="QM390" s="1" t="e">
        <v>#N/A</v>
      </c>
      <c r="QN390" s="1" t="e">
        <v>#N/A</v>
      </c>
      <c r="QO390" s="1" t="e">
        <v>#N/A</v>
      </c>
      <c r="QP390" s="1" t="e">
        <v>#N/A</v>
      </c>
    </row>
    <row r="391" spans="1:458" ht="26.25" x14ac:dyDescent="0.4">
      <c r="A391" s="347"/>
      <c r="B391" s="348"/>
      <c r="C391" s="288"/>
      <c r="D391" s="349"/>
      <c r="E391" s="350"/>
      <c r="F391" s="351"/>
      <c r="G391" s="352"/>
      <c r="H391" s="348"/>
      <c r="I391" s="353"/>
      <c r="J391" s="353"/>
      <c r="PJ391" s="1" t="e">
        <v>#N/A</v>
      </c>
      <c r="PK391" s="1" t="e">
        <v>#N/A</v>
      </c>
      <c r="PL391" s="1" t="e">
        <v>#N/A</v>
      </c>
      <c r="PM391" s="1" t="e">
        <v>#N/A</v>
      </c>
      <c r="PN391" s="1" t="e">
        <v>#N/A</v>
      </c>
      <c r="PO391" s="1" t="e">
        <v>#N/A</v>
      </c>
      <c r="PP391" s="1" t="e">
        <v>#N/A</v>
      </c>
      <c r="PQ391" s="1" t="e">
        <v>#N/A</v>
      </c>
      <c r="PR391" s="1" t="e">
        <v>#N/A</v>
      </c>
      <c r="PS391" s="1" t="e">
        <v>#N/A</v>
      </c>
      <c r="PT391" s="1" t="e">
        <v>#N/A</v>
      </c>
      <c r="PU391" s="1" t="e">
        <v>#N/A</v>
      </c>
      <c r="PV391" s="1" t="e">
        <v>#N/A</v>
      </c>
      <c r="PW391" s="1" t="e">
        <v>#N/A</v>
      </c>
      <c r="PX391" s="1" t="e">
        <v>#N/A</v>
      </c>
      <c r="PY391" s="1" t="e">
        <v>#N/A</v>
      </c>
      <c r="PZ391" s="1" t="e">
        <v>#N/A</v>
      </c>
      <c r="QA391" s="1" t="e">
        <v>#N/A</v>
      </c>
      <c r="QB391" s="1" t="e">
        <v>#N/A</v>
      </c>
      <c r="QC391" s="1" t="e">
        <v>#N/A</v>
      </c>
      <c r="QD391" s="1" t="e">
        <v>#N/A</v>
      </c>
      <c r="QE391" s="1" t="e">
        <v>#N/A</v>
      </c>
      <c r="QF391" s="1" t="e">
        <v>#N/A</v>
      </c>
      <c r="QG391" s="1" t="e">
        <v>#N/A</v>
      </c>
      <c r="QH391" s="1" t="e">
        <v>#N/A</v>
      </c>
      <c r="QI391" s="1" t="e">
        <v>#N/A</v>
      </c>
      <c r="QJ391" s="1" t="e">
        <v>#N/A</v>
      </c>
      <c r="QK391" s="1" t="e">
        <v>#N/A</v>
      </c>
      <c r="QL391" s="1" t="e">
        <v>#N/A</v>
      </c>
      <c r="QM391" s="1" t="e">
        <v>#N/A</v>
      </c>
      <c r="QN391" s="1" t="e">
        <v>#N/A</v>
      </c>
      <c r="QO391" s="1" t="e">
        <v>#N/A</v>
      </c>
      <c r="QP391" s="1" t="e">
        <v>#N/A</v>
      </c>
    </row>
    <row r="392" spans="1:458" ht="26.25" x14ac:dyDescent="0.4">
      <c r="A392" s="347"/>
      <c r="B392" s="348"/>
      <c r="C392" s="288"/>
      <c r="D392" s="349"/>
      <c r="E392" s="350"/>
      <c r="F392" s="351"/>
      <c r="G392" s="352"/>
      <c r="H392" s="348"/>
      <c r="I392" s="353"/>
      <c r="J392" s="353"/>
      <c r="PJ392" s="1" t="e">
        <v>#N/A</v>
      </c>
      <c r="PK392" s="1" t="e">
        <v>#N/A</v>
      </c>
      <c r="PL392" s="1" t="e">
        <v>#N/A</v>
      </c>
      <c r="PM392" s="1" t="e">
        <v>#N/A</v>
      </c>
      <c r="PN392" s="1" t="e">
        <v>#N/A</v>
      </c>
      <c r="PO392" s="1" t="e">
        <v>#N/A</v>
      </c>
      <c r="PP392" s="1" t="e">
        <v>#N/A</v>
      </c>
      <c r="PQ392" s="1" t="e">
        <v>#N/A</v>
      </c>
      <c r="PR392" s="1" t="e">
        <v>#N/A</v>
      </c>
      <c r="PS392" s="1" t="e">
        <v>#N/A</v>
      </c>
      <c r="PT392" s="1" t="e">
        <v>#N/A</v>
      </c>
      <c r="PU392" s="1" t="e">
        <v>#N/A</v>
      </c>
      <c r="PV392" s="1" t="e">
        <v>#N/A</v>
      </c>
      <c r="PW392" s="1" t="e">
        <v>#N/A</v>
      </c>
      <c r="PX392" s="1" t="e">
        <v>#N/A</v>
      </c>
      <c r="PY392" s="1" t="e">
        <v>#N/A</v>
      </c>
      <c r="PZ392" s="1" t="e">
        <v>#N/A</v>
      </c>
      <c r="QA392" s="1" t="e">
        <v>#N/A</v>
      </c>
      <c r="QB392" s="1" t="e">
        <v>#N/A</v>
      </c>
      <c r="QC392" s="1" t="e">
        <v>#N/A</v>
      </c>
      <c r="QD392" s="1" t="e">
        <v>#N/A</v>
      </c>
      <c r="QE392" s="1" t="e">
        <v>#N/A</v>
      </c>
      <c r="QF392" s="1" t="e">
        <v>#N/A</v>
      </c>
      <c r="QG392" s="1" t="e">
        <v>#N/A</v>
      </c>
      <c r="QH392" s="1" t="e">
        <v>#N/A</v>
      </c>
      <c r="QI392" s="1" t="e">
        <v>#N/A</v>
      </c>
      <c r="QJ392" s="1" t="e">
        <v>#N/A</v>
      </c>
      <c r="QK392" s="1" t="e">
        <v>#N/A</v>
      </c>
      <c r="QL392" s="1" t="e">
        <v>#N/A</v>
      </c>
      <c r="QM392" s="1" t="e">
        <v>#N/A</v>
      </c>
      <c r="QN392" s="1" t="e">
        <v>#N/A</v>
      </c>
      <c r="QO392" s="1" t="e">
        <v>#N/A</v>
      </c>
      <c r="QP392" s="1" t="e">
        <v>#N/A</v>
      </c>
    </row>
    <row r="393" spans="1:458" ht="26.25" x14ac:dyDescent="0.4">
      <c r="A393" s="347"/>
      <c r="B393" s="348"/>
      <c r="C393" s="288"/>
      <c r="D393" s="349"/>
      <c r="E393" s="350"/>
      <c r="F393" s="351"/>
      <c r="G393" s="352"/>
      <c r="H393" s="348"/>
      <c r="I393" s="353"/>
      <c r="J393" s="353"/>
      <c r="PJ393" s="1" t="e">
        <v>#N/A</v>
      </c>
      <c r="PK393" s="1" t="e">
        <v>#N/A</v>
      </c>
      <c r="PL393" s="1" t="e">
        <v>#N/A</v>
      </c>
      <c r="PM393" s="1" t="e">
        <v>#N/A</v>
      </c>
      <c r="PN393" s="1" t="e">
        <v>#N/A</v>
      </c>
      <c r="PO393" s="1" t="e">
        <v>#N/A</v>
      </c>
      <c r="PP393" s="1" t="e">
        <v>#N/A</v>
      </c>
      <c r="PQ393" s="1" t="e">
        <v>#N/A</v>
      </c>
      <c r="PR393" s="1" t="e">
        <v>#N/A</v>
      </c>
      <c r="PS393" s="1" t="e">
        <v>#N/A</v>
      </c>
      <c r="PT393" s="1" t="e">
        <v>#N/A</v>
      </c>
      <c r="PU393" s="1" t="e">
        <v>#N/A</v>
      </c>
      <c r="PV393" s="1" t="e">
        <v>#N/A</v>
      </c>
      <c r="PW393" s="1" t="e">
        <v>#N/A</v>
      </c>
      <c r="PX393" s="1" t="e">
        <v>#N/A</v>
      </c>
      <c r="PY393" s="1" t="e">
        <v>#N/A</v>
      </c>
      <c r="PZ393" s="1" t="e">
        <v>#N/A</v>
      </c>
      <c r="QA393" s="1" t="e">
        <v>#N/A</v>
      </c>
      <c r="QB393" s="1" t="e">
        <v>#N/A</v>
      </c>
      <c r="QC393" s="1" t="e">
        <v>#N/A</v>
      </c>
      <c r="QD393" s="1" t="e">
        <v>#N/A</v>
      </c>
      <c r="QE393" s="1" t="e">
        <v>#N/A</v>
      </c>
      <c r="QF393" s="1" t="e">
        <v>#N/A</v>
      </c>
      <c r="QG393" s="1" t="e">
        <v>#N/A</v>
      </c>
      <c r="QH393" s="1" t="e">
        <v>#N/A</v>
      </c>
      <c r="QI393" s="1" t="e">
        <v>#N/A</v>
      </c>
      <c r="QJ393" s="1" t="e">
        <v>#N/A</v>
      </c>
      <c r="QK393" s="1" t="e">
        <v>#N/A</v>
      </c>
      <c r="QL393" s="1" t="e">
        <v>#N/A</v>
      </c>
      <c r="QM393" s="1" t="e">
        <v>#N/A</v>
      </c>
      <c r="QN393" s="1" t="e">
        <v>#N/A</v>
      </c>
      <c r="QO393" s="1" t="e">
        <v>#N/A</v>
      </c>
      <c r="QP393" s="1" t="e">
        <v>#N/A</v>
      </c>
    </row>
    <row r="394" spans="1:458" ht="26.25" x14ac:dyDescent="0.4">
      <c r="A394" s="347"/>
      <c r="B394" s="348"/>
      <c r="C394" s="288"/>
      <c r="D394" s="349"/>
      <c r="E394" s="350"/>
      <c r="F394" s="351"/>
      <c r="G394" s="352"/>
      <c r="H394" s="348"/>
      <c r="I394" s="353"/>
      <c r="J394" s="353"/>
      <c r="PJ394" s="1" t="e">
        <v>#N/A</v>
      </c>
      <c r="PK394" s="1" t="e">
        <v>#N/A</v>
      </c>
      <c r="PL394" s="1" t="e">
        <v>#N/A</v>
      </c>
      <c r="PM394" s="1" t="e">
        <v>#N/A</v>
      </c>
      <c r="PN394" s="1" t="e">
        <v>#N/A</v>
      </c>
      <c r="PO394" s="1" t="e">
        <v>#N/A</v>
      </c>
      <c r="PP394" s="1" t="e">
        <v>#N/A</v>
      </c>
      <c r="PQ394" s="1" t="e">
        <v>#N/A</v>
      </c>
      <c r="PR394" s="1" t="e">
        <v>#N/A</v>
      </c>
      <c r="PS394" s="1" t="e">
        <v>#N/A</v>
      </c>
      <c r="PT394" s="1" t="e">
        <v>#N/A</v>
      </c>
      <c r="PU394" s="1" t="e">
        <v>#N/A</v>
      </c>
      <c r="PV394" s="1" t="e">
        <v>#N/A</v>
      </c>
      <c r="PW394" s="1" t="e">
        <v>#N/A</v>
      </c>
      <c r="PX394" s="1" t="e">
        <v>#N/A</v>
      </c>
      <c r="PY394" s="1" t="e">
        <v>#N/A</v>
      </c>
      <c r="PZ394" s="1" t="e">
        <v>#N/A</v>
      </c>
      <c r="QA394" s="1" t="e">
        <v>#N/A</v>
      </c>
      <c r="QB394" s="1" t="e">
        <v>#N/A</v>
      </c>
      <c r="QC394" s="1" t="e">
        <v>#N/A</v>
      </c>
      <c r="QD394" s="1" t="e">
        <v>#N/A</v>
      </c>
      <c r="QE394" s="1" t="e">
        <v>#N/A</v>
      </c>
      <c r="QF394" s="1" t="e">
        <v>#N/A</v>
      </c>
      <c r="QG394" s="1" t="e">
        <v>#N/A</v>
      </c>
      <c r="QH394" s="1" t="e">
        <v>#N/A</v>
      </c>
      <c r="QI394" s="1" t="e">
        <v>#N/A</v>
      </c>
      <c r="QJ394" s="1" t="e">
        <v>#N/A</v>
      </c>
      <c r="QK394" s="1" t="e">
        <v>#N/A</v>
      </c>
      <c r="QL394" s="1" t="e">
        <v>#N/A</v>
      </c>
      <c r="QM394" s="1" t="e">
        <v>#N/A</v>
      </c>
      <c r="QN394" s="1" t="e">
        <v>#N/A</v>
      </c>
      <c r="QO394" s="1" t="e">
        <v>#N/A</v>
      </c>
      <c r="QP394" s="1" t="e">
        <v>#N/A</v>
      </c>
    </row>
    <row r="395" spans="1:458" ht="26.25" x14ac:dyDescent="0.4">
      <c r="A395" s="347"/>
      <c r="B395" s="348"/>
      <c r="C395" s="288"/>
      <c r="D395" s="349"/>
      <c r="E395" s="350"/>
      <c r="F395" s="351"/>
      <c r="G395" s="352"/>
      <c r="H395" s="348"/>
      <c r="I395" s="353"/>
      <c r="J395" s="353"/>
      <c r="PJ395" s="1" t="e">
        <v>#N/A</v>
      </c>
      <c r="PK395" s="1" t="e">
        <v>#N/A</v>
      </c>
      <c r="PL395" s="1" t="e">
        <v>#N/A</v>
      </c>
      <c r="PM395" s="1" t="e">
        <v>#N/A</v>
      </c>
      <c r="PN395" s="1" t="e">
        <v>#N/A</v>
      </c>
      <c r="PO395" s="1" t="e">
        <v>#N/A</v>
      </c>
      <c r="PP395" s="1" t="e">
        <v>#N/A</v>
      </c>
      <c r="PQ395" s="1" t="e">
        <v>#N/A</v>
      </c>
      <c r="PR395" s="1" t="e">
        <v>#N/A</v>
      </c>
      <c r="PS395" s="1" t="e">
        <v>#N/A</v>
      </c>
      <c r="PT395" s="1" t="e">
        <v>#N/A</v>
      </c>
      <c r="PU395" s="1" t="e">
        <v>#N/A</v>
      </c>
      <c r="PV395" s="1" t="e">
        <v>#N/A</v>
      </c>
      <c r="PW395" s="1" t="e">
        <v>#N/A</v>
      </c>
      <c r="PX395" s="1" t="e">
        <v>#N/A</v>
      </c>
      <c r="PY395" s="1" t="e">
        <v>#N/A</v>
      </c>
      <c r="PZ395" s="1" t="e">
        <v>#N/A</v>
      </c>
      <c r="QA395" s="1" t="e">
        <v>#N/A</v>
      </c>
      <c r="QB395" s="1" t="e">
        <v>#N/A</v>
      </c>
      <c r="QC395" s="1" t="e">
        <v>#N/A</v>
      </c>
      <c r="QD395" s="1" t="e">
        <v>#N/A</v>
      </c>
      <c r="QE395" s="1" t="e">
        <v>#N/A</v>
      </c>
      <c r="QF395" s="1" t="e">
        <v>#N/A</v>
      </c>
      <c r="QG395" s="1" t="e">
        <v>#N/A</v>
      </c>
      <c r="QH395" s="1" t="e">
        <v>#N/A</v>
      </c>
      <c r="QI395" s="1" t="e">
        <v>#N/A</v>
      </c>
      <c r="QJ395" s="1" t="e">
        <v>#N/A</v>
      </c>
      <c r="QK395" s="1" t="e">
        <v>#N/A</v>
      </c>
      <c r="QL395" s="1" t="e">
        <v>#N/A</v>
      </c>
      <c r="QM395" s="1" t="e">
        <v>#N/A</v>
      </c>
      <c r="QN395" s="1" t="e">
        <v>#N/A</v>
      </c>
      <c r="QO395" s="1" t="e">
        <v>#N/A</v>
      </c>
      <c r="QP395" s="1" t="e">
        <v>#N/A</v>
      </c>
    </row>
    <row r="396" spans="1:458" ht="26.25" x14ac:dyDescent="0.4">
      <c r="A396" s="347"/>
      <c r="B396" s="348"/>
      <c r="C396" s="288"/>
      <c r="D396" s="349"/>
      <c r="E396" s="350"/>
      <c r="F396" s="351"/>
      <c r="G396" s="352"/>
      <c r="H396" s="348"/>
      <c r="I396" s="353"/>
      <c r="J396" s="353"/>
      <c r="PJ396" s="1" t="e">
        <v>#N/A</v>
      </c>
      <c r="PK396" s="1" t="e">
        <v>#N/A</v>
      </c>
      <c r="PL396" s="1" t="e">
        <v>#N/A</v>
      </c>
      <c r="PM396" s="1" t="e">
        <v>#N/A</v>
      </c>
      <c r="PN396" s="1" t="e">
        <v>#N/A</v>
      </c>
      <c r="PO396" s="1" t="e">
        <v>#N/A</v>
      </c>
      <c r="PP396" s="1" t="e">
        <v>#N/A</v>
      </c>
      <c r="PQ396" s="1" t="e">
        <v>#N/A</v>
      </c>
      <c r="PR396" s="1" t="e">
        <v>#N/A</v>
      </c>
      <c r="PS396" s="1" t="e">
        <v>#N/A</v>
      </c>
      <c r="PT396" s="1" t="e">
        <v>#N/A</v>
      </c>
      <c r="PU396" s="1" t="e">
        <v>#N/A</v>
      </c>
      <c r="PV396" s="1" t="e">
        <v>#N/A</v>
      </c>
      <c r="PW396" s="1" t="e">
        <v>#N/A</v>
      </c>
      <c r="PX396" s="1" t="e">
        <v>#N/A</v>
      </c>
      <c r="PY396" s="1" t="e">
        <v>#N/A</v>
      </c>
      <c r="PZ396" s="1" t="e">
        <v>#N/A</v>
      </c>
      <c r="QA396" s="1" t="e">
        <v>#N/A</v>
      </c>
      <c r="QB396" s="1" t="e">
        <v>#N/A</v>
      </c>
      <c r="QC396" s="1" t="e">
        <v>#N/A</v>
      </c>
      <c r="QD396" s="1" t="e">
        <v>#N/A</v>
      </c>
      <c r="QE396" s="1" t="e">
        <v>#N/A</v>
      </c>
      <c r="QF396" s="1" t="e">
        <v>#N/A</v>
      </c>
      <c r="QG396" s="1" t="e">
        <v>#N/A</v>
      </c>
      <c r="QH396" s="1" t="e">
        <v>#N/A</v>
      </c>
      <c r="QI396" s="1" t="e">
        <v>#N/A</v>
      </c>
      <c r="QJ396" s="1" t="e">
        <v>#N/A</v>
      </c>
      <c r="QK396" s="1" t="e">
        <v>#N/A</v>
      </c>
      <c r="QL396" s="1" t="e">
        <v>#N/A</v>
      </c>
      <c r="QM396" s="1" t="e">
        <v>#N/A</v>
      </c>
      <c r="QN396" s="1" t="e">
        <v>#N/A</v>
      </c>
      <c r="QO396" s="1" t="e">
        <v>#N/A</v>
      </c>
      <c r="QP396" s="1" t="e">
        <v>#N/A</v>
      </c>
    </row>
    <row r="397" spans="1:458" ht="26.25" x14ac:dyDescent="0.4">
      <c r="A397" s="347"/>
      <c r="B397" s="348"/>
      <c r="C397" s="288"/>
      <c r="D397" s="349"/>
      <c r="E397" s="350"/>
      <c r="F397" s="351"/>
      <c r="G397" s="352"/>
      <c r="H397" s="348"/>
      <c r="I397" s="353"/>
      <c r="J397" s="353"/>
      <c r="PJ397" s="1" t="e">
        <v>#N/A</v>
      </c>
      <c r="PK397" s="1" t="e">
        <v>#N/A</v>
      </c>
      <c r="PL397" s="1" t="e">
        <v>#N/A</v>
      </c>
      <c r="PM397" s="1" t="e">
        <v>#N/A</v>
      </c>
      <c r="PN397" s="1" t="e">
        <v>#N/A</v>
      </c>
      <c r="PO397" s="1" t="e">
        <v>#N/A</v>
      </c>
      <c r="PP397" s="1" t="e">
        <v>#N/A</v>
      </c>
      <c r="PQ397" s="1" t="e">
        <v>#N/A</v>
      </c>
      <c r="PR397" s="1" t="e">
        <v>#N/A</v>
      </c>
      <c r="PS397" s="1" t="e">
        <v>#N/A</v>
      </c>
      <c r="PT397" s="1" t="e">
        <v>#N/A</v>
      </c>
      <c r="PU397" s="1" t="e">
        <v>#N/A</v>
      </c>
      <c r="PV397" s="1" t="e">
        <v>#N/A</v>
      </c>
      <c r="PW397" s="1" t="e">
        <v>#N/A</v>
      </c>
      <c r="PX397" s="1" t="e">
        <v>#N/A</v>
      </c>
      <c r="PY397" s="1" t="e">
        <v>#N/A</v>
      </c>
      <c r="PZ397" s="1" t="e">
        <v>#N/A</v>
      </c>
      <c r="QA397" s="1" t="e">
        <v>#N/A</v>
      </c>
      <c r="QB397" s="1" t="e">
        <v>#N/A</v>
      </c>
      <c r="QC397" s="1" t="e">
        <v>#N/A</v>
      </c>
      <c r="QD397" s="1" t="e">
        <v>#N/A</v>
      </c>
      <c r="QE397" s="1" t="e">
        <v>#N/A</v>
      </c>
      <c r="QF397" s="1" t="e">
        <v>#N/A</v>
      </c>
      <c r="QG397" s="1" t="e">
        <v>#N/A</v>
      </c>
      <c r="QH397" s="1" t="e">
        <v>#N/A</v>
      </c>
      <c r="QI397" s="1" t="e">
        <v>#N/A</v>
      </c>
      <c r="QJ397" s="1" t="e">
        <v>#N/A</v>
      </c>
      <c r="QK397" s="1" t="e">
        <v>#N/A</v>
      </c>
      <c r="QL397" s="1" t="e">
        <v>#N/A</v>
      </c>
      <c r="QM397" s="1" t="e">
        <v>#N/A</v>
      </c>
      <c r="QN397" s="1" t="e">
        <v>#N/A</v>
      </c>
      <c r="QO397" s="1" t="e">
        <v>#N/A</v>
      </c>
      <c r="QP397" s="1" t="e">
        <v>#N/A</v>
      </c>
    </row>
    <row r="398" spans="1:458" ht="26.25" x14ac:dyDescent="0.4">
      <c r="A398" s="347"/>
      <c r="B398" s="348"/>
      <c r="C398" s="288"/>
      <c r="D398" s="349"/>
      <c r="E398" s="350"/>
      <c r="F398" s="351"/>
      <c r="G398" s="352"/>
      <c r="H398" s="348"/>
      <c r="I398" s="353"/>
      <c r="J398" s="353"/>
      <c r="PJ398" s="1" t="e">
        <v>#N/A</v>
      </c>
      <c r="PK398" s="1" t="e">
        <v>#N/A</v>
      </c>
      <c r="PL398" s="1" t="e">
        <v>#N/A</v>
      </c>
      <c r="PM398" s="1" t="e">
        <v>#N/A</v>
      </c>
      <c r="PN398" s="1" t="e">
        <v>#N/A</v>
      </c>
      <c r="PO398" s="1" t="e">
        <v>#N/A</v>
      </c>
      <c r="PP398" s="1" t="e">
        <v>#N/A</v>
      </c>
      <c r="PQ398" s="1" t="e">
        <v>#N/A</v>
      </c>
      <c r="PR398" s="1" t="e">
        <v>#N/A</v>
      </c>
      <c r="PS398" s="1" t="e">
        <v>#N/A</v>
      </c>
      <c r="PT398" s="1" t="e">
        <v>#N/A</v>
      </c>
      <c r="PU398" s="1" t="e">
        <v>#N/A</v>
      </c>
      <c r="PV398" s="1" t="e">
        <v>#N/A</v>
      </c>
      <c r="PW398" s="1" t="e">
        <v>#N/A</v>
      </c>
      <c r="PX398" s="1" t="e">
        <v>#N/A</v>
      </c>
      <c r="PY398" s="1" t="e">
        <v>#N/A</v>
      </c>
      <c r="PZ398" s="1" t="e">
        <v>#N/A</v>
      </c>
      <c r="QA398" s="1" t="e">
        <v>#N/A</v>
      </c>
      <c r="QB398" s="1" t="e">
        <v>#N/A</v>
      </c>
      <c r="QC398" s="1" t="e">
        <v>#N/A</v>
      </c>
      <c r="QD398" s="1" t="e">
        <v>#N/A</v>
      </c>
      <c r="QE398" s="1" t="e">
        <v>#N/A</v>
      </c>
      <c r="QF398" s="1" t="e">
        <v>#N/A</v>
      </c>
      <c r="QG398" s="1" t="e">
        <v>#N/A</v>
      </c>
      <c r="QH398" s="1" t="e">
        <v>#N/A</v>
      </c>
      <c r="QI398" s="1" t="e">
        <v>#N/A</v>
      </c>
      <c r="QJ398" s="1" t="e">
        <v>#N/A</v>
      </c>
      <c r="QK398" s="1" t="e">
        <v>#N/A</v>
      </c>
      <c r="QL398" s="1" t="e">
        <v>#N/A</v>
      </c>
      <c r="QM398" s="1" t="e">
        <v>#N/A</v>
      </c>
      <c r="QN398" s="1" t="e">
        <v>#N/A</v>
      </c>
      <c r="QO398" s="1" t="e">
        <v>#N/A</v>
      </c>
      <c r="QP398" s="1" t="e">
        <v>#N/A</v>
      </c>
    </row>
    <row r="399" spans="1:458" ht="26.25" x14ac:dyDescent="0.4">
      <c r="A399" s="347"/>
      <c r="B399" s="348"/>
      <c r="C399" s="288"/>
      <c r="D399" s="349"/>
      <c r="E399" s="350"/>
      <c r="F399" s="351"/>
      <c r="G399" s="352"/>
      <c r="H399" s="348"/>
      <c r="I399" s="353"/>
      <c r="J399" s="353"/>
      <c r="PJ399" s="1" t="e">
        <v>#N/A</v>
      </c>
      <c r="PK399" s="1" t="e">
        <v>#N/A</v>
      </c>
      <c r="PL399" s="1" t="e">
        <v>#N/A</v>
      </c>
      <c r="PM399" s="1" t="e">
        <v>#N/A</v>
      </c>
      <c r="PN399" s="1" t="e">
        <v>#N/A</v>
      </c>
      <c r="PO399" s="1" t="e">
        <v>#N/A</v>
      </c>
      <c r="PP399" s="1" t="e">
        <v>#N/A</v>
      </c>
      <c r="PQ399" s="1" t="e">
        <v>#N/A</v>
      </c>
      <c r="PR399" s="1" t="e">
        <v>#N/A</v>
      </c>
      <c r="PS399" s="1" t="e">
        <v>#N/A</v>
      </c>
      <c r="PT399" s="1" t="e">
        <v>#N/A</v>
      </c>
      <c r="PU399" s="1" t="e">
        <v>#N/A</v>
      </c>
      <c r="PV399" s="1" t="e">
        <v>#N/A</v>
      </c>
      <c r="PW399" s="1" t="e">
        <v>#N/A</v>
      </c>
      <c r="PX399" s="1" t="e">
        <v>#N/A</v>
      </c>
      <c r="PY399" s="1" t="e">
        <v>#N/A</v>
      </c>
      <c r="PZ399" s="1" t="e">
        <v>#N/A</v>
      </c>
      <c r="QA399" s="1" t="e">
        <v>#N/A</v>
      </c>
      <c r="QB399" s="1" t="e">
        <v>#N/A</v>
      </c>
      <c r="QC399" s="1" t="e">
        <v>#N/A</v>
      </c>
      <c r="QD399" s="1" t="e">
        <v>#N/A</v>
      </c>
      <c r="QE399" s="1" t="e">
        <v>#N/A</v>
      </c>
      <c r="QF399" s="1" t="e">
        <v>#N/A</v>
      </c>
      <c r="QG399" s="1" t="e">
        <v>#N/A</v>
      </c>
      <c r="QH399" s="1" t="e">
        <v>#N/A</v>
      </c>
      <c r="QI399" s="1" t="e">
        <v>#N/A</v>
      </c>
      <c r="QJ399" s="1" t="e">
        <v>#N/A</v>
      </c>
      <c r="QK399" s="1" t="e">
        <v>#N/A</v>
      </c>
      <c r="QL399" s="1" t="e">
        <v>#N/A</v>
      </c>
      <c r="QM399" s="1" t="e">
        <v>#N/A</v>
      </c>
      <c r="QN399" s="1" t="e">
        <v>#N/A</v>
      </c>
      <c r="QO399" s="1" t="e">
        <v>#N/A</v>
      </c>
      <c r="QP399" s="1" t="e">
        <v>#N/A</v>
      </c>
    </row>
    <row r="400" spans="1:458" ht="26.25" x14ac:dyDescent="0.4">
      <c r="A400" s="347"/>
      <c r="B400" s="348"/>
      <c r="C400" s="288"/>
      <c r="D400" s="349"/>
      <c r="E400" s="350"/>
      <c r="F400" s="351"/>
      <c r="G400" s="352"/>
      <c r="H400" s="348"/>
      <c r="I400" s="353"/>
      <c r="J400" s="353"/>
      <c r="PJ400" s="1" t="e">
        <v>#N/A</v>
      </c>
      <c r="PK400" s="1" t="e">
        <v>#N/A</v>
      </c>
      <c r="PL400" s="1" t="e">
        <v>#N/A</v>
      </c>
      <c r="PM400" s="1" t="e">
        <v>#N/A</v>
      </c>
      <c r="PN400" s="1" t="e">
        <v>#N/A</v>
      </c>
      <c r="PO400" s="1" t="e">
        <v>#N/A</v>
      </c>
      <c r="PP400" s="1" t="e">
        <v>#N/A</v>
      </c>
      <c r="PQ400" s="1" t="e">
        <v>#N/A</v>
      </c>
      <c r="PR400" s="1" t="e">
        <v>#N/A</v>
      </c>
      <c r="PS400" s="1" t="e">
        <v>#N/A</v>
      </c>
      <c r="PT400" s="1" t="e">
        <v>#N/A</v>
      </c>
      <c r="PU400" s="1" t="e">
        <v>#N/A</v>
      </c>
      <c r="PV400" s="1" t="e">
        <v>#N/A</v>
      </c>
      <c r="PW400" s="1" t="e">
        <v>#N/A</v>
      </c>
      <c r="PX400" s="1" t="e">
        <v>#N/A</v>
      </c>
      <c r="PY400" s="1" t="e">
        <v>#N/A</v>
      </c>
      <c r="PZ400" s="1" t="e">
        <v>#N/A</v>
      </c>
      <c r="QA400" s="1" t="e">
        <v>#N/A</v>
      </c>
      <c r="QB400" s="1" t="e">
        <v>#N/A</v>
      </c>
      <c r="QC400" s="1" t="e">
        <v>#N/A</v>
      </c>
      <c r="QD400" s="1" t="e">
        <v>#N/A</v>
      </c>
      <c r="QE400" s="1" t="e">
        <v>#N/A</v>
      </c>
      <c r="QF400" s="1" t="e">
        <v>#N/A</v>
      </c>
      <c r="QG400" s="1" t="e">
        <v>#N/A</v>
      </c>
      <c r="QH400" s="1" t="e">
        <v>#N/A</v>
      </c>
      <c r="QI400" s="1" t="e">
        <v>#N/A</v>
      </c>
      <c r="QJ400" s="1" t="e">
        <v>#N/A</v>
      </c>
      <c r="QK400" s="1" t="e">
        <v>#N/A</v>
      </c>
      <c r="QL400" s="1" t="e">
        <v>#N/A</v>
      </c>
      <c r="QM400" s="1" t="e">
        <v>#N/A</v>
      </c>
      <c r="QN400" s="1" t="e">
        <v>#N/A</v>
      </c>
      <c r="QO400" s="1" t="e">
        <v>#N/A</v>
      </c>
      <c r="QP400" s="1" t="e">
        <v>#N/A</v>
      </c>
    </row>
    <row r="401" spans="1:458" ht="26.25" x14ac:dyDescent="0.4">
      <c r="A401" s="347"/>
      <c r="B401" s="348"/>
      <c r="C401" s="288"/>
      <c r="D401" s="349"/>
      <c r="E401" s="350"/>
      <c r="F401" s="351"/>
      <c r="G401" s="352"/>
      <c r="H401" s="348"/>
      <c r="I401" s="353"/>
      <c r="J401" s="353"/>
      <c r="PJ401" s="1" t="e">
        <v>#N/A</v>
      </c>
      <c r="PK401" s="1" t="e">
        <v>#N/A</v>
      </c>
      <c r="PL401" s="1" t="e">
        <v>#N/A</v>
      </c>
      <c r="PM401" s="1" t="e">
        <v>#N/A</v>
      </c>
      <c r="PN401" s="1" t="e">
        <v>#N/A</v>
      </c>
      <c r="PO401" s="1" t="e">
        <v>#N/A</v>
      </c>
      <c r="PP401" s="1" t="e">
        <v>#N/A</v>
      </c>
      <c r="PQ401" s="1" t="e">
        <v>#N/A</v>
      </c>
      <c r="PR401" s="1" t="e">
        <v>#N/A</v>
      </c>
      <c r="PS401" s="1" t="e">
        <v>#N/A</v>
      </c>
      <c r="PT401" s="1" t="e">
        <v>#N/A</v>
      </c>
      <c r="PU401" s="1" t="e">
        <v>#N/A</v>
      </c>
      <c r="PV401" s="1" t="e">
        <v>#N/A</v>
      </c>
      <c r="PW401" s="1" t="e">
        <v>#N/A</v>
      </c>
      <c r="PX401" s="1" t="e">
        <v>#N/A</v>
      </c>
      <c r="PY401" s="1" t="e">
        <v>#N/A</v>
      </c>
      <c r="PZ401" s="1" t="e">
        <v>#N/A</v>
      </c>
      <c r="QA401" s="1" t="e">
        <v>#N/A</v>
      </c>
      <c r="QB401" s="1" t="e">
        <v>#N/A</v>
      </c>
      <c r="QC401" s="1" t="e">
        <v>#N/A</v>
      </c>
      <c r="QD401" s="1" t="e">
        <v>#N/A</v>
      </c>
      <c r="QE401" s="1" t="e">
        <v>#N/A</v>
      </c>
      <c r="QF401" s="1" t="e">
        <v>#N/A</v>
      </c>
      <c r="QG401" s="1" t="e">
        <v>#N/A</v>
      </c>
      <c r="QH401" s="1" t="e">
        <v>#N/A</v>
      </c>
      <c r="QI401" s="1" t="e">
        <v>#N/A</v>
      </c>
      <c r="QJ401" s="1" t="e">
        <v>#N/A</v>
      </c>
      <c r="QK401" s="1" t="e">
        <v>#N/A</v>
      </c>
      <c r="QL401" s="1" t="e">
        <v>#N/A</v>
      </c>
      <c r="QM401" s="1" t="e">
        <v>#N/A</v>
      </c>
      <c r="QN401" s="1" t="e">
        <v>#N/A</v>
      </c>
      <c r="QO401" s="1" t="e">
        <v>#N/A</v>
      </c>
      <c r="QP401" s="1" t="e">
        <v>#N/A</v>
      </c>
    </row>
    <row r="402" spans="1:458" ht="26.25" x14ac:dyDescent="0.4">
      <c r="A402" s="347"/>
      <c r="B402" s="348"/>
      <c r="C402" s="288"/>
      <c r="D402" s="349"/>
      <c r="E402" s="350"/>
      <c r="F402" s="351"/>
      <c r="G402" s="352"/>
      <c r="H402" s="348"/>
      <c r="I402" s="353"/>
      <c r="J402" s="353"/>
      <c r="PJ402" s="1" t="e">
        <v>#N/A</v>
      </c>
      <c r="PK402" s="1" t="e">
        <v>#N/A</v>
      </c>
      <c r="PL402" s="1" t="e">
        <v>#N/A</v>
      </c>
      <c r="PM402" s="1" t="e">
        <v>#N/A</v>
      </c>
      <c r="PN402" s="1" t="e">
        <v>#N/A</v>
      </c>
      <c r="PO402" s="1" t="e">
        <v>#N/A</v>
      </c>
      <c r="PP402" s="1" t="e">
        <v>#N/A</v>
      </c>
      <c r="PQ402" s="1" t="e">
        <v>#N/A</v>
      </c>
      <c r="PR402" s="1" t="e">
        <v>#N/A</v>
      </c>
      <c r="PS402" s="1" t="e">
        <v>#N/A</v>
      </c>
      <c r="PT402" s="1" t="e">
        <v>#N/A</v>
      </c>
      <c r="PU402" s="1" t="e">
        <v>#N/A</v>
      </c>
      <c r="PV402" s="1" t="e">
        <v>#N/A</v>
      </c>
      <c r="PW402" s="1" t="e">
        <v>#N/A</v>
      </c>
      <c r="PX402" s="1" t="e">
        <v>#N/A</v>
      </c>
      <c r="PY402" s="1" t="e">
        <v>#N/A</v>
      </c>
      <c r="PZ402" s="1" t="e">
        <v>#N/A</v>
      </c>
      <c r="QA402" s="1" t="e">
        <v>#N/A</v>
      </c>
      <c r="QB402" s="1" t="e">
        <v>#N/A</v>
      </c>
      <c r="QC402" s="1" t="e">
        <v>#N/A</v>
      </c>
      <c r="QD402" s="1" t="e">
        <v>#N/A</v>
      </c>
      <c r="QE402" s="1" t="e">
        <v>#N/A</v>
      </c>
      <c r="QF402" s="1" t="e">
        <v>#N/A</v>
      </c>
      <c r="QG402" s="1" t="e">
        <v>#N/A</v>
      </c>
      <c r="QH402" s="1" t="e">
        <v>#N/A</v>
      </c>
      <c r="QI402" s="1" t="e">
        <v>#N/A</v>
      </c>
      <c r="QJ402" s="1" t="e">
        <v>#N/A</v>
      </c>
      <c r="QK402" s="1" t="e">
        <v>#N/A</v>
      </c>
      <c r="QL402" s="1" t="e">
        <v>#N/A</v>
      </c>
      <c r="QM402" s="1" t="e">
        <v>#N/A</v>
      </c>
      <c r="QN402" s="1" t="e">
        <v>#N/A</v>
      </c>
      <c r="QO402" s="1" t="e">
        <v>#N/A</v>
      </c>
      <c r="QP402" s="1" t="e">
        <v>#N/A</v>
      </c>
    </row>
    <row r="403" spans="1:458" ht="26.25" x14ac:dyDescent="0.4">
      <c r="A403" s="347"/>
      <c r="B403" s="348"/>
      <c r="C403" s="288"/>
      <c r="D403" s="349"/>
      <c r="E403" s="350"/>
      <c r="F403" s="351"/>
      <c r="G403" s="352"/>
      <c r="H403" s="348"/>
      <c r="I403" s="353"/>
      <c r="J403" s="353"/>
      <c r="PJ403" s="1" t="e">
        <v>#N/A</v>
      </c>
      <c r="PK403" s="1" t="e">
        <v>#N/A</v>
      </c>
      <c r="PL403" s="1" t="e">
        <v>#N/A</v>
      </c>
      <c r="PM403" s="1" t="e">
        <v>#N/A</v>
      </c>
      <c r="PN403" s="1" t="e">
        <v>#N/A</v>
      </c>
      <c r="PO403" s="1" t="e">
        <v>#N/A</v>
      </c>
      <c r="PP403" s="1" t="e">
        <v>#N/A</v>
      </c>
      <c r="PQ403" s="1" t="e">
        <v>#N/A</v>
      </c>
      <c r="PR403" s="1" t="e">
        <v>#N/A</v>
      </c>
      <c r="PS403" s="1" t="e">
        <v>#N/A</v>
      </c>
      <c r="PT403" s="1" t="e">
        <v>#N/A</v>
      </c>
      <c r="PU403" s="1" t="e">
        <v>#N/A</v>
      </c>
      <c r="PV403" s="1" t="e">
        <v>#N/A</v>
      </c>
      <c r="PW403" s="1" t="e">
        <v>#N/A</v>
      </c>
      <c r="PX403" s="1" t="e">
        <v>#N/A</v>
      </c>
      <c r="PY403" s="1" t="e">
        <v>#N/A</v>
      </c>
      <c r="PZ403" s="1" t="e">
        <v>#N/A</v>
      </c>
      <c r="QA403" s="1" t="e">
        <v>#N/A</v>
      </c>
      <c r="QB403" s="1" t="e">
        <v>#N/A</v>
      </c>
      <c r="QC403" s="1" t="e">
        <v>#N/A</v>
      </c>
      <c r="QD403" s="1" t="e">
        <v>#N/A</v>
      </c>
      <c r="QE403" s="1" t="e">
        <v>#N/A</v>
      </c>
      <c r="QF403" s="1" t="e">
        <v>#N/A</v>
      </c>
      <c r="QG403" s="1" t="e">
        <v>#N/A</v>
      </c>
      <c r="QH403" s="1" t="e">
        <v>#N/A</v>
      </c>
      <c r="QI403" s="1" t="e">
        <v>#N/A</v>
      </c>
      <c r="QJ403" s="1" t="e">
        <v>#N/A</v>
      </c>
      <c r="QK403" s="1" t="e">
        <v>#N/A</v>
      </c>
      <c r="QL403" s="1" t="e">
        <v>#N/A</v>
      </c>
      <c r="QM403" s="1" t="e">
        <v>#N/A</v>
      </c>
      <c r="QN403" s="1" t="e">
        <v>#N/A</v>
      </c>
      <c r="QO403" s="1" t="e">
        <v>#N/A</v>
      </c>
      <c r="QP403" s="1" t="e">
        <v>#N/A</v>
      </c>
    </row>
    <row r="404" spans="1:458" ht="26.25" x14ac:dyDescent="0.4">
      <c r="A404" s="347"/>
      <c r="B404" s="348"/>
      <c r="C404" s="288"/>
      <c r="D404" s="349"/>
      <c r="E404" s="350"/>
      <c r="F404" s="351"/>
      <c r="G404" s="352"/>
      <c r="H404" s="348"/>
      <c r="I404" s="353"/>
      <c r="J404" s="353"/>
      <c r="PJ404" s="1" t="e">
        <v>#N/A</v>
      </c>
      <c r="PK404" s="1" t="e">
        <v>#N/A</v>
      </c>
      <c r="PL404" s="1" t="e">
        <v>#N/A</v>
      </c>
      <c r="PM404" s="1" t="e">
        <v>#N/A</v>
      </c>
      <c r="PN404" s="1" t="e">
        <v>#N/A</v>
      </c>
      <c r="PO404" s="1" t="e">
        <v>#N/A</v>
      </c>
      <c r="PP404" s="1" t="e">
        <v>#N/A</v>
      </c>
      <c r="PQ404" s="1" t="e">
        <v>#N/A</v>
      </c>
      <c r="PR404" s="1" t="e">
        <v>#N/A</v>
      </c>
      <c r="PS404" s="1" t="e">
        <v>#N/A</v>
      </c>
      <c r="PT404" s="1" t="e">
        <v>#N/A</v>
      </c>
      <c r="PU404" s="1" t="e">
        <v>#N/A</v>
      </c>
      <c r="PV404" s="1" t="e">
        <v>#N/A</v>
      </c>
      <c r="PW404" s="1" t="e">
        <v>#N/A</v>
      </c>
      <c r="PX404" s="1" t="e">
        <v>#N/A</v>
      </c>
      <c r="PY404" s="1" t="e">
        <v>#N/A</v>
      </c>
      <c r="PZ404" s="1" t="e">
        <v>#N/A</v>
      </c>
      <c r="QA404" s="1" t="e">
        <v>#N/A</v>
      </c>
      <c r="QB404" s="1" t="e">
        <v>#N/A</v>
      </c>
      <c r="QC404" s="1" t="e">
        <v>#N/A</v>
      </c>
      <c r="QD404" s="1" t="e">
        <v>#N/A</v>
      </c>
      <c r="QE404" s="1" t="e">
        <v>#N/A</v>
      </c>
      <c r="QF404" s="1" t="e">
        <v>#N/A</v>
      </c>
      <c r="QG404" s="1" t="e">
        <v>#N/A</v>
      </c>
      <c r="QH404" s="1" t="e">
        <v>#N/A</v>
      </c>
      <c r="QI404" s="1" t="e">
        <v>#N/A</v>
      </c>
      <c r="QJ404" s="1" t="e">
        <v>#N/A</v>
      </c>
      <c r="QK404" s="1" t="e">
        <v>#N/A</v>
      </c>
      <c r="QL404" s="1" t="e">
        <v>#N/A</v>
      </c>
      <c r="QM404" s="1" t="e">
        <v>#N/A</v>
      </c>
      <c r="QN404" s="1" t="e">
        <v>#N/A</v>
      </c>
      <c r="QO404" s="1" t="e">
        <v>#N/A</v>
      </c>
      <c r="QP404" s="1" t="e">
        <v>#N/A</v>
      </c>
    </row>
    <row r="405" spans="1:458" ht="26.25" x14ac:dyDescent="0.4">
      <c r="A405" s="347"/>
      <c r="B405" s="348"/>
      <c r="C405" s="288"/>
      <c r="D405" s="349"/>
      <c r="E405" s="350"/>
      <c r="F405" s="351"/>
      <c r="G405" s="352"/>
      <c r="H405" s="348"/>
      <c r="I405" s="353"/>
      <c r="J405" s="353"/>
      <c r="PJ405" s="1" t="e">
        <v>#N/A</v>
      </c>
      <c r="PK405" s="1" t="e">
        <v>#N/A</v>
      </c>
      <c r="PL405" s="1" t="e">
        <v>#N/A</v>
      </c>
      <c r="PM405" s="1" t="e">
        <v>#N/A</v>
      </c>
      <c r="PN405" s="1" t="e">
        <v>#N/A</v>
      </c>
      <c r="PO405" s="1" t="e">
        <v>#N/A</v>
      </c>
      <c r="PP405" s="1" t="e">
        <v>#N/A</v>
      </c>
      <c r="PQ405" s="1" t="e">
        <v>#N/A</v>
      </c>
      <c r="PR405" s="1" t="e">
        <v>#N/A</v>
      </c>
      <c r="PS405" s="1" t="e">
        <v>#N/A</v>
      </c>
      <c r="PT405" s="1" t="e">
        <v>#N/A</v>
      </c>
      <c r="PU405" s="1" t="e">
        <v>#N/A</v>
      </c>
      <c r="PV405" s="1" t="e">
        <v>#N/A</v>
      </c>
      <c r="PW405" s="1" t="e">
        <v>#N/A</v>
      </c>
      <c r="PX405" s="1" t="e">
        <v>#N/A</v>
      </c>
      <c r="PY405" s="1" t="e">
        <v>#N/A</v>
      </c>
      <c r="PZ405" s="1" t="e">
        <v>#N/A</v>
      </c>
      <c r="QA405" s="1" t="e">
        <v>#N/A</v>
      </c>
      <c r="QB405" s="1" t="e">
        <v>#N/A</v>
      </c>
      <c r="QC405" s="1" t="e">
        <v>#N/A</v>
      </c>
      <c r="QD405" s="1" t="e">
        <v>#N/A</v>
      </c>
      <c r="QE405" s="1" t="e">
        <v>#N/A</v>
      </c>
      <c r="QF405" s="1" t="e">
        <v>#N/A</v>
      </c>
      <c r="QG405" s="1" t="e">
        <v>#N/A</v>
      </c>
      <c r="QH405" s="1" t="e">
        <v>#N/A</v>
      </c>
      <c r="QI405" s="1" t="e">
        <v>#N/A</v>
      </c>
      <c r="QJ405" s="1" t="e">
        <v>#N/A</v>
      </c>
      <c r="QK405" s="1" t="e">
        <v>#N/A</v>
      </c>
      <c r="QL405" s="1" t="e">
        <v>#N/A</v>
      </c>
      <c r="QM405" s="1" t="e">
        <v>#N/A</v>
      </c>
      <c r="QN405" s="1" t="e">
        <v>#N/A</v>
      </c>
      <c r="QO405" s="1" t="e">
        <v>#N/A</v>
      </c>
      <c r="QP405" s="1" t="e">
        <v>#N/A</v>
      </c>
    </row>
    <row r="406" spans="1:458" ht="26.25" x14ac:dyDescent="0.4">
      <c r="A406" s="347"/>
      <c r="B406" s="348"/>
      <c r="C406" s="288"/>
      <c r="D406" s="349"/>
      <c r="E406" s="350"/>
      <c r="F406" s="351"/>
      <c r="G406" s="352"/>
      <c r="H406" s="348"/>
      <c r="I406" s="353"/>
      <c r="J406" s="353"/>
      <c r="PJ406" s="1" t="e">
        <v>#N/A</v>
      </c>
      <c r="PK406" s="1" t="e">
        <v>#N/A</v>
      </c>
      <c r="PL406" s="1" t="e">
        <v>#N/A</v>
      </c>
      <c r="PM406" s="1" t="e">
        <v>#N/A</v>
      </c>
      <c r="PN406" s="1" t="e">
        <v>#N/A</v>
      </c>
      <c r="PO406" s="1" t="e">
        <v>#N/A</v>
      </c>
      <c r="PP406" s="1" t="e">
        <v>#N/A</v>
      </c>
      <c r="PQ406" s="1" t="e">
        <v>#N/A</v>
      </c>
      <c r="PR406" s="1" t="e">
        <v>#N/A</v>
      </c>
      <c r="PS406" s="1" t="e">
        <v>#N/A</v>
      </c>
      <c r="PT406" s="1" t="e">
        <v>#N/A</v>
      </c>
      <c r="PU406" s="1" t="e">
        <v>#N/A</v>
      </c>
      <c r="PV406" s="1" t="e">
        <v>#N/A</v>
      </c>
      <c r="PW406" s="1" t="e">
        <v>#N/A</v>
      </c>
      <c r="PX406" s="1" t="e">
        <v>#N/A</v>
      </c>
      <c r="PY406" s="1" t="e">
        <v>#N/A</v>
      </c>
      <c r="PZ406" s="1" t="e">
        <v>#N/A</v>
      </c>
      <c r="QA406" s="1" t="e">
        <v>#N/A</v>
      </c>
      <c r="QB406" s="1" t="e">
        <v>#N/A</v>
      </c>
      <c r="QC406" s="1" t="e">
        <v>#N/A</v>
      </c>
      <c r="QD406" s="1" t="e">
        <v>#N/A</v>
      </c>
      <c r="QE406" s="1" t="e">
        <v>#N/A</v>
      </c>
      <c r="QF406" s="1" t="e">
        <v>#N/A</v>
      </c>
      <c r="QG406" s="1" t="e">
        <v>#N/A</v>
      </c>
      <c r="QH406" s="1" t="e">
        <v>#N/A</v>
      </c>
      <c r="QI406" s="1" t="e">
        <v>#N/A</v>
      </c>
      <c r="QJ406" s="1" t="e">
        <v>#N/A</v>
      </c>
      <c r="QK406" s="1" t="e">
        <v>#N/A</v>
      </c>
      <c r="QL406" s="1" t="e">
        <v>#N/A</v>
      </c>
      <c r="QM406" s="1" t="e">
        <v>#N/A</v>
      </c>
      <c r="QN406" s="1" t="e">
        <v>#N/A</v>
      </c>
      <c r="QO406" s="1" t="e">
        <v>#N/A</v>
      </c>
      <c r="QP406" s="1" t="e">
        <v>#N/A</v>
      </c>
    </row>
    <row r="407" spans="1:458" ht="26.25" x14ac:dyDescent="0.4">
      <c r="A407" s="347"/>
      <c r="B407" s="348"/>
      <c r="C407" s="288"/>
      <c r="D407" s="349"/>
      <c r="E407" s="350"/>
      <c r="F407" s="351"/>
      <c r="G407" s="352"/>
      <c r="H407" s="348"/>
      <c r="I407" s="353"/>
      <c r="J407" s="353"/>
      <c r="PJ407" s="1" t="e">
        <v>#N/A</v>
      </c>
      <c r="PK407" s="1" t="e">
        <v>#N/A</v>
      </c>
      <c r="PL407" s="1" t="e">
        <v>#N/A</v>
      </c>
      <c r="PM407" s="1" t="e">
        <v>#N/A</v>
      </c>
      <c r="PN407" s="1" t="e">
        <v>#N/A</v>
      </c>
      <c r="PO407" s="1" t="e">
        <v>#N/A</v>
      </c>
      <c r="PP407" s="1" t="e">
        <v>#N/A</v>
      </c>
      <c r="PQ407" s="1" t="e">
        <v>#N/A</v>
      </c>
      <c r="PR407" s="1" t="e">
        <v>#N/A</v>
      </c>
      <c r="PS407" s="1" t="e">
        <v>#N/A</v>
      </c>
      <c r="PT407" s="1" t="e">
        <v>#N/A</v>
      </c>
      <c r="PU407" s="1" t="e">
        <v>#N/A</v>
      </c>
      <c r="PV407" s="1" t="e">
        <v>#N/A</v>
      </c>
      <c r="PW407" s="1" t="e">
        <v>#N/A</v>
      </c>
      <c r="PX407" s="1" t="e">
        <v>#N/A</v>
      </c>
      <c r="PY407" s="1" t="e">
        <v>#N/A</v>
      </c>
      <c r="PZ407" s="1" t="e">
        <v>#N/A</v>
      </c>
      <c r="QA407" s="1" t="e">
        <v>#N/A</v>
      </c>
      <c r="QB407" s="1" t="e">
        <v>#N/A</v>
      </c>
      <c r="QC407" s="1" t="e">
        <v>#N/A</v>
      </c>
      <c r="QD407" s="1" t="e">
        <v>#N/A</v>
      </c>
      <c r="QE407" s="1" t="e">
        <v>#N/A</v>
      </c>
      <c r="QF407" s="1" t="e">
        <v>#N/A</v>
      </c>
      <c r="QG407" s="1" t="e">
        <v>#N/A</v>
      </c>
      <c r="QH407" s="1" t="e">
        <v>#N/A</v>
      </c>
      <c r="QI407" s="1" t="e">
        <v>#N/A</v>
      </c>
      <c r="QJ407" s="1" t="e">
        <v>#N/A</v>
      </c>
      <c r="QK407" s="1" t="e">
        <v>#N/A</v>
      </c>
      <c r="QL407" s="1" t="e">
        <v>#N/A</v>
      </c>
      <c r="QM407" s="1" t="e">
        <v>#N/A</v>
      </c>
      <c r="QN407" s="1" t="e">
        <v>#N/A</v>
      </c>
      <c r="QO407" s="1" t="e">
        <v>#N/A</v>
      </c>
      <c r="QP407" s="1" t="e">
        <v>#N/A</v>
      </c>
    </row>
    <row r="408" spans="1:458" ht="26.25" x14ac:dyDescent="0.4">
      <c r="A408" s="347"/>
      <c r="B408" s="348"/>
      <c r="C408" s="288"/>
      <c r="D408" s="349"/>
      <c r="E408" s="350"/>
      <c r="F408" s="351"/>
      <c r="G408" s="352"/>
      <c r="H408" s="348"/>
      <c r="I408" s="353"/>
      <c r="J408" s="353"/>
      <c r="PJ408" s="1" t="e">
        <v>#N/A</v>
      </c>
      <c r="PK408" s="1" t="e">
        <v>#N/A</v>
      </c>
      <c r="PL408" s="1" t="e">
        <v>#N/A</v>
      </c>
      <c r="PM408" s="1" t="e">
        <v>#N/A</v>
      </c>
      <c r="PN408" s="1" t="e">
        <v>#N/A</v>
      </c>
      <c r="PO408" s="1" t="e">
        <v>#N/A</v>
      </c>
      <c r="PP408" s="1" t="e">
        <v>#N/A</v>
      </c>
      <c r="PQ408" s="1" t="e">
        <v>#N/A</v>
      </c>
      <c r="PR408" s="1" t="e">
        <v>#N/A</v>
      </c>
      <c r="PS408" s="1" t="e">
        <v>#N/A</v>
      </c>
      <c r="PT408" s="1" t="e">
        <v>#N/A</v>
      </c>
      <c r="PU408" s="1" t="e">
        <v>#N/A</v>
      </c>
      <c r="PV408" s="1" t="e">
        <v>#N/A</v>
      </c>
      <c r="PW408" s="1" t="e">
        <v>#N/A</v>
      </c>
      <c r="PX408" s="1" t="e">
        <v>#N/A</v>
      </c>
      <c r="PY408" s="1" t="e">
        <v>#N/A</v>
      </c>
      <c r="PZ408" s="1" t="e">
        <v>#N/A</v>
      </c>
      <c r="QA408" s="1" t="e">
        <v>#N/A</v>
      </c>
      <c r="QB408" s="1" t="e">
        <v>#N/A</v>
      </c>
      <c r="QC408" s="1" t="e">
        <v>#N/A</v>
      </c>
      <c r="QD408" s="1" t="e">
        <v>#N/A</v>
      </c>
      <c r="QE408" s="1" t="e">
        <v>#N/A</v>
      </c>
      <c r="QF408" s="1" t="e">
        <v>#N/A</v>
      </c>
      <c r="QG408" s="1" t="e">
        <v>#N/A</v>
      </c>
      <c r="QH408" s="1" t="e">
        <v>#N/A</v>
      </c>
      <c r="QI408" s="1" t="e">
        <v>#N/A</v>
      </c>
      <c r="QJ408" s="1" t="e">
        <v>#N/A</v>
      </c>
      <c r="QK408" s="1" t="e">
        <v>#N/A</v>
      </c>
      <c r="QL408" s="1" t="e">
        <v>#N/A</v>
      </c>
      <c r="QM408" s="1" t="e">
        <v>#N/A</v>
      </c>
      <c r="QN408" s="1" t="e">
        <v>#N/A</v>
      </c>
      <c r="QO408" s="1" t="e">
        <v>#N/A</v>
      </c>
      <c r="QP408" s="1" t="e">
        <v>#N/A</v>
      </c>
    </row>
    <row r="409" spans="1:458" ht="26.25" x14ac:dyDescent="0.4">
      <c r="A409" s="347"/>
      <c r="B409" s="348"/>
      <c r="C409" s="288"/>
      <c r="D409" s="349"/>
      <c r="E409" s="350"/>
      <c r="F409" s="351"/>
      <c r="G409" s="352"/>
      <c r="H409" s="348"/>
      <c r="I409" s="353"/>
      <c r="J409" s="353"/>
      <c r="PJ409" s="1" t="e">
        <v>#N/A</v>
      </c>
      <c r="PK409" s="1" t="e">
        <v>#N/A</v>
      </c>
      <c r="PL409" s="1" t="e">
        <v>#N/A</v>
      </c>
      <c r="PM409" s="1" t="e">
        <v>#N/A</v>
      </c>
      <c r="PN409" s="1" t="e">
        <v>#N/A</v>
      </c>
      <c r="PO409" s="1" t="e">
        <v>#N/A</v>
      </c>
      <c r="PP409" s="1" t="e">
        <v>#N/A</v>
      </c>
      <c r="PQ409" s="1" t="e">
        <v>#N/A</v>
      </c>
      <c r="PR409" s="1" t="e">
        <v>#N/A</v>
      </c>
      <c r="PS409" s="1" t="e">
        <v>#N/A</v>
      </c>
      <c r="PT409" s="1" t="e">
        <v>#N/A</v>
      </c>
      <c r="PU409" s="1" t="e">
        <v>#N/A</v>
      </c>
      <c r="PV409" s="1" t="e">
        <v>#N/A</v>
      </c>
      <c r="PW409" s="1" t="e">
        <v>#N/A</v>
      </c>
      <c r="PX409" s="1" t="e">
        <v>#N/A</v>
      </c>
      <c r="PY409" s="1" t="e">
        <v>#N/A</v>
      </c>
      <c r="PZ409" s="1" t="e">
        <v>#N/A</v>
      </c>
      <c r="QA409" s="1" t="e">
        <v>#N/A</v>
      </c>
      <c r="QB409" s="1" t="e">
        <v>#N/A</v>
      </c>
      <c r="QC409" s="1" t="e">
        <v>#N/A</v>
      </c>
      <c r="QD409" s="1" t="e">
        <v>#N/A</v>
      </c>
      <c r="QE409" s="1" t="e">
        <v>#N/A</v>
      </c>
      <c r="QF409" s="1" t="e">
        <v>#N/A</v>
      </c>
      <c r="QG409" s="1" t="e">
        <v>#N/A</v>
      </c>
      <c r="QH409" s="1" t="e">
        <v>#N/A</v>
      </c>
      <c r="QI409" s="1" t="e">
        <v>#N/A</v>
      </c>
      <c r="QJ409" s="1" t="e">
        <v>#N/A</v>
      </c>
      <c r="QK409" s="1" t="e">
        <v>#N/A</v>
      </c>
      <c r="QL409" s="1" t="e">
        <v>#N/A</v>
      </c>
      <c r="QM409" s="1" t="e">
        <v>#N/A</v>
      </c>
      <c r="QN409" s="1" t="e">
        <v>#N/A</v>
      </c>
      <c r="QO409" s="1" t="e">
        <v>#N/A</v>
      </c>
      <c r="QP409" s="1" t="e">
        <v>#N/A</v>
      </c>
    </row>
    <row r="410" spans="1:458" ht="26.25" x14ac:dyDescent="0.4">
      <c r="A410" s="347"/>
      <c r="B410" s="348"/>
      <c r="C410" s="288"/>
      <c r="D410" s="349"/>
      <c r="E410" s="350"/>
      <c r="F410" s="351"/>
      <c r="G410" s="352"/>
      <c r="H410" s="348"/>
      <c r="I410" s="353"/>
      <c r="J410" s="353"/>
      <c r="PJ410" s="1" t="e">
        <v>#N/A</v>
      </c>
      <c r="PK410" s="1" t="e">
        <v>#N/A</v>
      </c>
      <c r="PL410" s="1" t="e">
        <v>#N/A</v>
      </c>
      <c r="PM410" s="1" t="e">
        <v>#N/A</v>
      </c>
      <c r="PN410" s="1" t="e">
        <v>#N/A</v>
      </c>
      <c r="PO410" s="1" t="e">
        <v>#N/A</v>
      </c>
      <c r="PP410" s="1" t="e">
        <v>#N/A</v>
      </c>
      <c r="PQ410" s="1" t="e">
        <v>#N/A</v>
      </c>
      <c r="PR410" s="1" t="e">
        <v>#N/A</v>
      </c>
      <c r="PS410" s="1" t="e">
        <v>#N/A</v>
      </c>
      <c r="PT410" s="1" t="e">
        <v>#N/A</v>
      </c>
      <c r="PU410" s="1" t="e">
        <v>#N/A</v>
      </c>
      <c r="PV410" s="1" t="e">
        <v>#N/A</v>
      </c>
      <c r="PW410" s="1" t="e">
        <v>#N/A</v>
      </c>
      <c r="PX410" s="1" t="e">
        <v>#N/A</v>
      </c>
      <c r="PY410" s="1" t="e">
        <v>#N/A</v>
      </c>
      <c r="PZ410" s="1" t="e">
        <v>#N/A</v>
      </c>
      <c r="QA410" s="1" t="e">
        <v>#N/A</v>
      </c>
      <c r="QB410" s="1" t="e">
        <v>#N/A</v>
      </c>
      <c r="QC410" s="1" t="e">
        <v>#N/A</v>
      </c>
      <c r="QD410" s="1" t="e">
        <v>#N/A</v>
      </c>
      <c r="QE410" s="1" t="e">
        <v>#N/A</v>
      </c>
      <c r="QF410" s="1" t="e">
        <v>#N/A</v>
      </c>
      <c r="QG410" s="1" t="e">
        <v>#N/A</v>
      </c>
      <c r="QH410" s="1" t="e">
        <v>#N/A</v>
      </c>
      <c r="QI410" s="1" t="e">
        <v>#N/A</v>
      </c>
      <c r="QJ410" s="1" t="e">
        <v>#N/A</v>
      </c>
      <c r="QK410" s="1" t="e">
        <v>#N/A</v>
      </c>
      <c r="QL410" s="1" t="e">
        <v>#N/A</v>
      </c>
      <c r="QM410" s="1" t="e">
        <v>#N/A</v>
      </c>
      <c r="QN410" s="1" t="e">
        <v>#N/A</v>
      </c>
      <c r="QO410" s="1" t="e">
        <v>#N/A</v>
      </c>
      <c r="QP410" s="1" t="e">
        <v>#N/A</v>
      </c>
    </row>
    <row r="411" spans="1:458" ht="26.25" x14ac:dyDescent="0.4">
      <c r="A411" s="347"/>
      <c r="B411" s="348"/>
      <c r="C411" s="288"/>
      <c r="D411" s="349"/>
      <c r="E411" s="350"/>
      <c r="F411" s="351"/>
      <c r="G411" s="352"/>
      <c r="H411" s="348"/>
      <c r="I411" s="353"/>
      <c r="J411" s="353"/>
      <c r="PJ411" s="1" t="e">
        <v>#N/A</v>
      </c>
      <c r="PK411" s="1" t="e">
        <v>#N/A</v>
      </c>
      <c r="PL411" s="1" t="e">
        <v>#N/A</v>
      </c>
      <c r="PM411" s="1" t="e">
        <v>#N/A</v>
      </c>
      <c r="PN411" s="1" t="e">
        <v>#N/A</v>
      </c>
      <c r="PO411" s="1" t="e">
        <v>#N/A</v>
      </c>
      <c r="PP411" s="1" t="e">
        <v>#N/A</v>
      </c>
      <c r="PQ411" s="1" t="e">
        <v>#N/A</v>
      </c>
      <c r="PR411" s="1" t="e">
        <v>#N/A</v>
      </c>
      <c r="PS411" s="1" t="e">
        <v>#N/A</v>
      </c>
      <c r="PT411" s="1" t="e">
        <v>#N/A</v>
      </c>
      <c r="PU411" s="1" t="e">
        <v>#N/A</v>
      </c>
      <c r="PV411" s="1" t="e">
        <v>#N/A</v>
      </c>
      <c r="PW411" s="1" t="e">
        <v>#N/A</v>
      </c>
      <c r="PX411" s="1" t="e">
        <v>#N/A</v>
      </c>
      <c r="PY411" s="1" t="e">
        <v>#N/A</v>
      </c>
      <c r="PZ411" s="1" t="e">
        <v>#N/A</v>
      </c>
      <c r="QA411" s="1" t="e">
        <v>#N/A</v>
      </c>
      <c r="QB411" s="1" t="e">
        <v>#N/A</v>
      </c>
      <c r="QC411" s="1" t="e">
        <v>#N/A</v>
      </c>
      <c r="QD411" s="1" t="e">
        <v>#N/A</v>
      </c>
      <c r="QE411" s="1" t="e">
        <v>#N/A</v>
      </c>
      <c r="QF411" s="1" t="e">
        <v>#N/A</v>
      </c>
      <c r="QG411" s="1" t="e">
        <v>#N/A</v>
      </c>
      <c r="QH411" s="1" t="e">
        <v>#N/A</v>
      </c>
      <c r="QI411" s="1" t="e">
        <v>#N/A</v>
      </c>
      <c r="QJ411" s="1" t="e">
        <v>#N/A</v>
      </c>
      <c r="QK411" s="1" t="e">
        <v>#N/A</v>
      </c>
      <c r="QL411" s="1" t="e">
        <v>#N/A</v>
      </c>
      <c r="QM411" s="1" t="e">
        <v>#N/A</v>
      </c>
      <c r="QN411" s="1" t="e">
        <v>#N/A</v>
      </c>
      <c r="QO411" s="1" t="e">
        <v>#N/A</v>
      </c>
      <c r="QP411" s="1" t="e">
        <v>#N/A</v>
      </c>
    </row>
    <row r="412" spans="1:458" ht="26.25" x14ac:dyDescent="0.4">
      <c r="A412" s="347"/>
      <c r="B412" s="348"/>
      <c r="C412" s="288"/>
      <c r="D412" s="349"/>
      <c r="E412" s="350"/>
      <c r="F412" s="351"/>
      <c r="G412" s="352"/>
      <c r="H412" s="348"/>
      <c r="I412" s="353"/>
      <c r="J412" s="353"/>
      <c r="PJ412" s="1" t="e">
        <v>#N/A</v>
      </c>
      <c r="PK412" s="1" t="e">
        <v>#N/A</v>
      </c>
      <c r="PL412" s="1" t="e">
        <v>#N/A</v>
      </c>
      <c r="PM412" s="1" t="e">
        <v>#N/A</v>
      </c>
      <c r="PN412" s="1" t="e">
        <v>#N/A</v>
      </c>
      <c r="PO412" s="1" t="e">
        <v>#N/A</v>
      </c>
      <c r="PP412" s="1" t="e">
        <v>#N/A</v>
      </c>
      <c r="PQ412" s="1" t="e">
        <v>#N/A</v>
      </c>
      <c r="PR412" s="1" t="e">
        <v>#N/A</v>
      </c>
      <c r="PS412" s="1" t="e">
        <v>#N/A</v>
      </c>
      <c r="PT412" s="1" t="e">
        <v>#N/A</v>
      </c>
      <c r="PU412" s="1" t="e">
        <v>#N/A</v>
      </c>
      <c r="PV412" s="1" t="e">
        <v>#N/A</v>
      </c>
      <c r="PW412" s="1" t="e">
        <v>#N/A</v>
      </c>
      <c r="PX412" s="1" t="e">
        <v>#N/A</v>
      </c>
      <c r="PY412" s="1" t="e">
        <v>#N/A</v>
      </c>
      <c r="PZ412" s="1" t="e">
        <v>#N/A</v>
      </c>
      <c r="QA412" s="1" t="e">
        <v>#N/A</v>
      </c>
      <c r="QB412" s="1" t="e">
        <v>#N/A</v>
      </c>
      <c r="QC412" s="1" t="e">
        <v>#N/A</v>
      </c>
      <c r="QD412" s="1" t="e">
        <v>#N/A</v>
      </c>
      <c r="QE412" s="1" t="e">
        <v>#N/A</v>
      </c>
      <c r="QF412" s="1" t="e">
        <v>#N/A</v>
      </c>
      <c r="QG412" s="1" t="e">
        <v>#N/A</v>
      </c>
      <c r="QH412" s="1" t="e">
        <v>#N/A</v>
      </c>
      <c r="QI412" s="1" t="e">
        <v>#N/A</v>
      </c>
      <c r="QJ412" s="1" t="e">
        <v>#N/A</v>
      </c>
      <c r="QK412" s="1" t="e">
        <v>#N/A</v>
      </c>
      <c r="QL412" s="1" t="e">
        <v>#N/A</v>
      </c>
      <c r="QM412" s="1" t="e">
        <v>#N/A</v>
      </c>
      <c r="QN412" s="1" t="e">
        <v>#N/A</v>
      </c>
      <c r="QO412" s="1" t="e">
        <v>#N/A</v>
      </c>
      <c r="QP412" s="1" t="e">
        <v>#N/A</v>
      </c>
    </row>
    <row r="413" spans="1:458" ht="26.25" x14ac:dyDescent="0.4">
      <c r="A413" s="347"/>
      <c r="B413" s="348"/>
      <c r="C413" s="288"/>
      <c r="D413" s="349"/>
      <c r="E413" s="350"/>
      <c r="F413" s="351"/>
      <c r="G413" s="352"/>
      <c r="H413" s="348"/>
      <c r="I413" s="353"/>
      <c r="J413" s="353"/>
      <c r="PJ413" s="1" t="e">
        <v>#N/A</v>
      </c>
      <c r="PK413" s="1" t="e">
        <v>#N/A</v>
      </c>
      <c r="PL413" s="1" t="e">
        <v>#N/A</v>
      </c>
      <c r="PM413" s="1" t="e">
        <v>#N/A</v>
      </c>
      <c r="PN413" s="1" t="e">
        <v>#N/A</v>
      </c>
      <c r="PO413" s="1" t="e">
        <v>#N/A</v>
      </c>
      <c r="PP413" s="1" t="e">
        <v>#N/A</v>
      </c>
      <c r="PQ413" s="1" t="e">
        <v>#N/A</v>
      </c>
      <c r="PR413" s="1" t="e">
        <v>#N/A</v>
      </c>
      <c r="PS413" s="1" t="e">
        <v>#N/A</v>
      </c>
      <c r="PT413" s="1" t="e">
        <v>#N/A</v>
      </c>
      <c r="PU413" s="1" t="e">
        <v>#N/A</v>
      </c>
      <c r="PV413" s="1" t="e">
        <v>#N/A</v>
      </c>
      <c r="PW413" s="1" t="e">
        <v>#N/A</v>
      </c>
      <c r="PX413" s="1" t="e">
        <v>#N/A</v>
      </c>
      <c r="PY413" s="1" t="e">
        <v>#N/A</v>
      </c>
      <c r="PZ413" s="1" t="e">
        <v>#N/A</v>
      </c>
      <c r="QA413" s="1" t="e">
        <v>#N/A</v>
      </c>
      <c r="QB413" s="1" t="e">
        <v>#N/A</v>
      </c>
      <c r="QC413" s="1" t="e">
        <v>#N/A</v>
      </c>
      <c r="QD413" s="1" t="e">
        <v>#N/A</v>
      </c>
      <c r="QE413" s="1" t="e">
        <v>#N/A</v>
      </c>
      <c r="QF413" s="1" t="e">
        <v>#N/A</v>
      </c>
      <c r="QG413" s="1" t="e">
        <v>#N/A</v>
      </c>
      <c r="QH413" s="1" t="e">
        <v>#N/A</v>
      </c>
      <c r="QI413" s="1" t="e">
        <v>#N/A</v>
      </c>
      <c r="QJ413" s="1" t="e">
        <v>#N/A</v>
      </c>
      <c r="QK413" s="1" t="e">
        <v>#N/A</v>
      </c>
      <c r="QL413" s="1" t="e">
        <v>#N/A</v>
      </c>
      <c r="QM413" s="1" t="e">
        <v>#N/A</v>
      </c>
      <c r="QN413" s="1" t="e">
        <v>#N/A</v>
      </c>
      <c r="QO413" s="1" t="e">
        <v>#N/A</v>
      </c>
      <c r="QP413" s="1" t="e">
        <v>#N/A</v>
      </c>
    </row>
    <row r="414" spans="1:458" ht="26.25" x14ac:dyDescent="0.4">
      <c r="A414" s="347"/>
      <c r="B414" s="348"/>
      <c r="C414" s="288"/>
      <c r="D414" s="349"/>
      <c r="E414" s="350"/>
      <c r="F414" s="351"/>
      <c r="G414" s="352"/>
      <c r="H414" s="348"/>
      <c r="I414" s="353"/>
      <c r="J414" s="353"/>
      <c r="PJ414" s="1" t="e">
        <v>#N/A</v>
      </c>
      <c r="PK414" s="1" t="e">
        <v>#N/A</v>
      </c>
      <c r="PL414" s="1" t="e">
        <v>#N/A</v>
      </c>
      <c r="PM414" s="1" t="e">
        <v>#N/A</v>
      </c>
      <c r="PN414" s="1" t="e">
        <v>#N/A</v>
      </c>
      <c r="PO414" s="1" t="e">
        <v>#N/A</v>
      </c>
      <c r="PP414" s="1" t="e">
        <v>#N/A</v>
      </c>
      <c r="PQ414" s="1" t="e">
        <v>#N/A</v>
      </c>
      <c r="PR414" s="1" t="e">
        <v>#N/A</v>
      </c>
      <c r="PS414" s="1" t="e">
        <v>#N/A</v>
      </c>
      <c r="PT414" s="1" t="e">
        <v>#N/A</v>
      </c>
      <c r="PU414" s="1" t="e">
        <v>#N/A</v>
      </c>
      <c r="PV414" s="1" t="e">
        <v>#N/A</v>
      </c>
      <c r="PW414" s="1" t="e">
        <v>#N/A</v>
      </c>
      <c r="PX414" s="1" t="e">
        <v>#N/A</v>
      </c>
      <c r="PY414" s="1" t="e">
        <v>#N/A</v>
      </c>
      <c r="PZ414" s="1" t="e">
        <v>#N/A</v>
      </c>
      <c r="QA414" s="1" t="e">
        <v>#N/A</v>
      </c>
      <c r="QB414" s="1" t="e">
        <v>#N/A</v>
      </c>
      <c r="QC414" s="1" t="e">
        <v>#N/A</v>
      </c>
      <c r="QD414" s="1" t="e">
        <v>#N/A</v>
      </c>
      <c r="QE414" s="1" t="e">
        <v>#N/A</v>
      </c>
      <c r="QF414" s="1" t="e">
        <v>#N/A</v>
      </c>
      <c r="QG414" s="1" t="e">
        <v>#N/A</v>
      </c>
      <c r="QH414" s="1" t="e">
        <v>#N/A</v>
      </c>
      <c r="QI414" s="1" t="e">
        <v>#N/A</v>
      </c>
      <c r="QJ414" s="1" t="e">
        <v>#N/A</v>
      </c>
      <c r="QK414" s="1" t="e">
        <v>#N/A</v>
      </c>
      <c r="QL414" s="1" t="e">
        <v>#N/A</v>
      </c>
      <c r="QM414" s="1" t="e">
        <v>#N/A</v>
      </c>
      <c r="QN414" s="1" t="e">
        <v>#N/A</v>
      </c>
      <c r="QO414" s="1" t="e">
        <v>#N/A</v>
      </c>
      <c r="QP414" s="1" t="e">
        <v>#N/A</v>
      </c>
    </row>
    <row r="415" spans="1:458" ht="26.25" x14ac:dyDescent="0.4">
      <c r="A415" s="347"/>
      <c r="B415" s="348"/>
      <c r="C415" s="288"/>
      <c r="D415" s="349"/>
      <c r="E415" s="350"/>
      <c r="F415" s="351"/>
      <c r="G415" s="352"/>
      <c r="H415" s="348"/>
      <c r="I415" s="353"/>
      <c r="J415" s="353"/>
      <c r="PJ415" s="1" t="e">
        <v>#N/A</v>
      </c>
      <c r="PK415" s="1" t="e">
        <v>#N/A</v>
      </c>
      <c r="PL415" s="1" t="e">
        <v>#N/A</v>
      </c>
      <c r="PM415" s="1" t="e">
        <v>#N/A</v>
      </c>
      <c r="PN415" s="1" t="e">
        <v>#N/A</v>
      </c>
      <c r="PO415" s="1" t="e">
        <v>#N/A</v>
      </c>
      <c r="PP415" s="1" t="e">
        <v>#N/A</v>
      </c>
      <c r="PQ415" s="1" t="e">
        <v>#N/A</v>
      </c>
      <c r="PR415" s="1" t="e">
        <v>#N/A</v>
      </c>
      <c r="PS415" s="1" t="e">
        <v>#N/A</v>
      </c>
      <c r="PT415" s="1" t="e">
        <v>#N/A</v>
      </c>
      <c r="PU415" s="1" t="e">
        <v>#N/A</v>
      </c>
      <c r="PV415" s="1" t="e">
        <v>#N/A</v>
      </c>
      <c r="PW415" s="1" t="e">
        <v>#N/A</v>
      </c>
      <c r="PX415" s="1" t="e">
        <v>#N/A</v>
      </c>
      <c r="PY415" s="1" t="e">
        <v>#N/A</v>
      </c>
      <c r="PZ415" s="1" t="e">
        <v>#N/A</v>
      </c>
      <c r="QA415" s="1" t="e">
        <v>#N/A</v>
      </c>
      <c r="QB415" s="1" t="e">
        <v>#N/A</v>
      </c>
      <c r="QC415" s="1" t="e">
        <v>#N/A</v>
      </c>
      <c r="QD415" s="1" t="e">
        <v>#N/A</v>
      </c>
      <c r="QE415" s="1" t="e">
        <v>#N/A</v>
      </c>
      <c r="QF415" s="1" t="e">
        <v>#N/A</v>
      </c>
      <c r="QG415" s="1" t="e">
        <v>#N/A</v>
      </c>
      <c r="QH415" s="1" t="e">
        <v>#N/A</v>
      </c>
      <c r="QI415" s="1" t="e">
        <v>#N/A</v>
      </c>
      <c r="QJ415" s="1" t="e">
        <v>#N/A</v>
      </c>
      <c r="QK415" s="1" t="e">
        <v>#N/A</v>
      </c>
      <c r="QL415" s="1" t="e">
        <v>#N/A</v>
      </c>
      <c r="QM415" s="1" t="e">
        <v>#N/A</v>
      </c>
      <c r="QN415" s="1" t="e">
        <v>#N/A</v>
      </c>
      <c r="QO415" s="1" t="e">
        <v>#N/A</v>
      </c>
      <c r="QP415" s="1" t="e">
        <v>#N/A</v>
      </c>
    </row>
    <row r="416" spans="1:458" ht="26.25" x14ac:dyDescent="0.4">
      <c r="A416" s="347"/>
      <c r="B416" s="348"/>
      <c r="C416" s="288"/>
      <c r="D416" s="349"/>
      <c r="E416" s="350"/>
      <c r="F416" s="351"/>
      <c r="G416" s="352"/>
      <c r="H416" s="348"/>
      <c r="I416" s="353"/>
      <c r="J416" s="353"/>
      <c r="PJ416" s="1" t="e">
        <v>#N/A</v>
      </c>
      <c r="PK416" s="1" t="e">
        <v>#N/A</v>
      </c>
      <c r="PL416" s="1" t="e">
        <v>#N/A</v>
      </c>
      <c r="PM416" s="1" t="e">
        <v>#N/A</v>
      </c>
      <c r="PN416" s="1" t="e">
        <v>#N/A</v>
      </c>
      <c r="PO416" s="1" t="e">
        <v>#N/A</v>
      </c>
      <c r="PP416" s="1" t="e">
        <v>#N/A</v>
      </c>
      <c r="PQ416" s="1" t="e">
        <v>#N/A</v>
      </c>
      <c r="PR416" s="1" t="e">
        <v>#N/A</v>
      </c>
      <c r="PS416" s="1" t="e">
        <v>#N/A</v>
      </c>
      <c r="PT416" s="1" t="e">
        <v>#N/A</v>
      </c>
      <c r="PU416" s="1" t="e">
        <v>#N/A</v>
      </c>
      <c r="PV416" s="1" t="e">
        <v>#N/A</v>
      </c>
      <c r="PW416" s="1" t="e">
        <v>#N/A</v>
      </c>
      <c r="PX416" s="1" t="e">
        <v>#N/A</v>
      </c>
      <c r="PY416" s="1" t="e">
        <v>#N/A</v>
      </c>
      <c r="PZ416" s="1" t="e">
        <v>#N/A</v>
      </c>
      <c r="QA416" s="1" t="e">
        <v>#N/A</v>
      </c>
      <c r="QB416" s="1" t="e">
        <v>#N/A</v>
      </c>
      <c r="QC416" s="1" t="e">
        <v>#N/A</v>
      </c>
      <c r="QD416" s="1" t="e">
        <v>#N/A</v>
      </c>
      <c r="QE416" s="1" t="e">
        <v>#N/A</v>
      </c>
      <c r="QF416" s="1" t="e">
        <v>#N/A</v>
      </c>
      <c r="QG416" s="1" t="e">
        <v>#N/A</v>
      </c>
      <c r="QH416" s="1" t="e">
        <v>#N/A</v>
      </c>
      <c r="QI416" s="1" t="e">
        <v>#N/A</v>
      </c>
      <c r="QJ416" s="1" t="e">
        <v>#N/A</v>
      </c>
      <c r="QK416" s="1" t="e">
        <v>#N/A</v>
      </c>
      <c r="QL416" s="1" t="e">
        <v>#N/A</v>
      </c>
      <c r="QM416" s="1" t="e">
        <v>#N/A</v>
      </c>
      <c r="QN416" s="1" t="e">
        <v>#N/A</v>
      </c>
      <c r="QO416" s="1" t="e">
        <v>#N/A</v>
      </c>
      <c r="QP416" s="1" t="e">
        <v>#N/A</v>
      </c>
    </row>
    <row r="417" spans="1:458" ht="26.25" x14ac:dyDescent="0.4">
      <c r="A417" s="347"/>
      <c r="B417" s="348"/>
      <c r="C417" s="288"/>
      <c r="D417" s="349"/>
      <c r="E417" s="350"/>
      <c r="F417" s="351"/>
      <c r="G417" s="352"/>
      <c r="H417" s="348"/>
      <c r="I417" s="353"/>
      <c r="J417" s="353"/>
      <c r="PJ417" s="1" t="e">
        <v>#N/A</v>
      </c>
      <c r="PK417" s="1" t="e">
        <v>#N/A</v>
      </c>
      <c r="PL417" s="1" t="e">
        <v>#N/A</v>
      </c>
      <c r="PM417" s="1" t="e">
        <v>#N/A</v>
      </c>
      <c r="PN417" s="1" t="e">
        <v>#N/A</v>
      </c>
      <c r="PO417" s="1" t="e">
        <v>#N/A</v>
      </c>
      <c r="PP417" s="1" t="e">
        <v>#N/A</v>
      </c>
      <c r="PQ417" s="1" t="e">
        <v>#N/A</v>
      </c>
      <c r="PR417" s="1" t="e">
        <v>#N/A</v>
      </c>
      <c r="PS417" s="1" t="e">
        <v>#N/A</v>
      </c>
      <c r="PT417" s="1" t="e">
        <v>#N/A</v>
      </c>
      <c r="PU417" s="1" t="e">
        <v>#N/A</v>
      </c>
      <c r="PV417" s="1" t="e">
        <v>#N/A</v>
      </c>
      <c r="PW417" s="1" t="e">
        <v>#N/A</v>
      </c>
      <c r="PX417" s="1" t="e">
        <v>#N/A</v>
      </c>
      <c r="PY417" s="1" t="e">
        <v>#N/A</v>
      </c>
      <c r="PZ417" s="1" t="e">
        <v>#N/A</v>
      </c>
      <c r="QA417" s="1" t="e">
        <v>#N/A</v>
      </c>
      <c r="QB417" s="1" t="e">
        <v>#N/A</v>
      </c>
      <c r="QC417" s="1" t="e">
        <v>#N/A</v>
      </c>
      <c r="QD417" s="1" t="e">
        <v>#N/A</v>
      </c>
      <c r="QE417" s="1" t="e">
        <v>#N/A</v>
      </c>
      <c r="QF417" s="1" t="e">
        <v>#N/A</v>
      </c>
      <c r="QG417" s="1" t="e">
        <v>#N/A</v>
      </c>
      <c r="QH417" s="1" t="e">
        <v>#N/A</v>
      </c>
      <c r="QI417" s="1" t="e">
        <v>#N/A</v>
      </c>
      <c r="QJ417" s="1" t="e">
        <v>#N/A</v>
      </c>
      <c r="QK417" s="1" t="e">
        <v>#N/A</v>
      </c>
      <c r="QL417" s="1" t="e">
        <v>#N/A</v>
      </c>
      <c r="QM417" s="1" t="e">
        <v>#N/A</v>
      </c>
      <c r="QN417" s="1" t="e">
        <v>#N/A</v>
      </c>
      <c r="QO417" s="1" t="e">
        <v>#N/A</v>
      </c>
      <c r="QP417" s="1" t="e">
        <v>#N/A</v>
      </c>
    </row>
    <row r="418" spans="1:458" ht="26.25" x14ac:dyDescent="0.4">
      <c r="A418" s="347"/>
      <c r="B418" s="348"/>
      <c r="C418" s="288"/>
      <c r="D418" s="349"/>
      <c r="E418" s="350"/>
      <c r="F418" s="351"/>
      <c r="G418" s="352"/>
      <c r="H418" s="348"/>
      <c r="I418" s="353"/>
      <c r="J418" s="353"/>
      <c r="PJ418" s="1" t="e">
        <v>#N/A</v>
      </c>
      <c r="PK418" s="1" t="e">
        <v>#N/A</v>
      </c>
      <c r="PL418" s="1" t="e">
        <v>#N/A</v>
      </c>
      <c r="PM418" s="1" t="e">
        <v>#N/A</v>
      </c>
      <c r="PN418" s="1" t="e">
        <v>#N/A</v>
      </c>
      <c r="PO418" s="1" t="e">
        <v>#N/A</v>
      </c>
      <c r="PP418" s="1" t="e">
        <v>#N/A</v>
      </c>
      <c r="PQ418" s="1" t="e">
        <v>#N/A</v>
      </c>
      <c r="PR418" s="1" t="e">
        <v>#N/A</v>
      </c>
      <c r="PS418" s="1" t="e">
        <v>#N/A</v>
      </c>
      <c r="PT418" s="1" t="e">
        <v>#N/A</v>
      </c>
      <c r="PU418" s="1" t="e">
        <v>#N/A</v>
      </c>
      <c r="PV418" s="1" t="e">
        <v>#N/A</v>
      </c>
      <c r="PW418" s="1" t="e">
        <v>#N/A</v>
      </c>
      <c r="PX418" s="1" t="e">
        <v>#N/A</v>
      </c>
      <c r="PY418" s="1" t="e">
        <v>#N/A</v>
      </c>
      <c r="PZ418" s="1" t="e">
        <v>#N/A</v>
      </c>
      <c r="QA418" s="1" t="e">
        <v>#N/A</v>
      </c>
      <c r="QB418" s="1" t="e">
        <v>#N/A</v>
      </c>
      <c r="QC418" s="1" t="e">
        <v>#N/A</v>
      </c>
      <c r="QD418" s="1" t="e">
        <v>#N/A</v>
      </c>
      <c r="QE418" s="1" t="e">
        <v>#N/A</v>
      </c>
      <c r="QF418" s="1" t="e">
        <v>#N/A</v>
      </c>
      <c r="QG418" s="1" t="e">
        <v>#N/A</v>
      </c>
      <c r="QH418" s="1" t="e">
        <v>#N/A</v>
      </c>
      <c r="QI418" s="1" t="e">
        <v>#N/A</v>
      </c>
      <c r="QJ418" s="1" t="e">
        <v>#N/A</v>
      </c>
      <c r="QK418" s="1" t="e">
        <v>#N/A</v>
      </c>
      <c r="QL418" s="1" t="e">
        <v>#N/A</v>
      </c>
      <c r="QM418" s="1" t="e">
        <v>#N/A</v>
      </c>
      <c r="QN418" s="1" t="e">
        <v>#N/A</v>
      </c>
      <c r="QO418" s="1" t="e">
        <v>#N/A</v>
      </c>
      <c r="QP418" s="1" t="e">
        <v>#N/A</v>
      </c>
    </row>
    <row r="419" spans="1:458" ht="26.25" x14ac:dyDescent="0.4">
      <c r="A419" s="347"/>
      <c r="B419" s="348"/>
      <c r="C419" s="288"/>
      <c r="D419" s="349"/>
      <c r="E419" s="350"/>
      <c r="F419" s="351"/>
      <c r="G419" s="352"/>
      <c r="H419" s="348"/>
      <c r="I419" s="353"/>
      <c r="J419" s="353"/>
      <c r="PJ419" s="1" t="e">
        <v>#N/A</v>
      </c>
      <c r="PK419" s="1" t="e">
        <v>#N/A</v>
      </c>
      <c r="PL419" s="1" t="e">
        <v>#N/A</v>
      </c>
      <c r="PM419" s="1" t="e">
        <v>#N/A</v>
      </c>
      <c r="PN419" s="1" t="e">
        <v>#N/A</v>
      </c>
      <c r="PO419" s="1" t="e">
        <v>#N/A</v>
      </c>
      <c r="PP419" s="1" t="e">
        <v>#N/A</v>
      </c>
      <c r="PQ419" s="1" t="e">
        <v>#N/A</v>
      </c>
      <c r="PR419" s="1" t="e">
        <v>#N/A</v>
      </c>
      <c r="PS419" s="1" t="e">
        <v>#N/A</v>
      </c>
      <c r="PT419" s="1" t="e">
        <v>#N/A</v>
      </c>
      <c r="PU419" s="1" t="e">
        <v>#N/A</v>
      </c>
      <c r="PV419" s="1" t="e">
        <v>#N/A</v>
      </c>
      <c r="PW419" s="1" t="e">
        <v>#N/A</v>
      </c>
      <c r="PX419" s="1" t="e">
        <v>#N/A</v>
      </c>
      <c r="PY419" s="1" t="e">
        <v>#N/A</v>
      </c>
      <c r="PZ419" s="1" t="e">
        <v>#N/A</v>
      </c>
      <c r="QA419" s="1" t="e">
        <v>#N/A</v>
      </c>
      <c r="QB419" s="1" t="e">
        <v>#N/A</v>
      </c>
      <c r="QC419" s="1" t="e">
        <v>#N/A</v>
      </c>
      <c r="QD419" s="1" t="e">
        <v>#N/A</v>
      </c>
      <c r="QE419" s="1" t="e">
        <v>#N/A</v>
      </c>
      <c r="QF419" s="1" t="e">
        <v>#N/A</v>
      </c>
      <c r="QG419" s="1" t="e">
        <v>#N/A</v>
      </c>
      <c r="QH419" s="1" t="e">
        <v>#N/A</v>
      </c>
      <c r="QI419" s="1" t="e">
        <v>#N/A</v>
      </c>
      <c r="QJ419" s="1" t="e">
        <v>#N/A</v>
      </c>
      <c r="QK419" s="1" t="e">
        <v>#N/A</v>
      </c>
      <c r="QL419" s="1" t="e">
        <v>#N/A</v>
      </c>
      <c r="QM419" s="1" t="e">
        <v>#N/A</v>
      </c>
      <c r="QN419" s="1" t="e">
        <v>#N/A</v>
      </c>
      <c r="QO419" s="1" t="e">
        <v>#N/A</v>
      </c>
      <c r="QP419" s="1" t="e">
        <v>#N/A</v>
      </c>
    </row>
    <row r="420" spans="1:458" ht="26.25" x14ac:dyDescent="0.4">
      <c r="A420" s="347"/>
      <c r="B420" s="348"/>
      <c r="C420" s="288"/>
      <c r="D420" s="349"/>
      <c r="E420" s="350"/>
      <c r="F420" s="351"/>
      <c r="G420" s="352"/>
      <c r="H420" s="348"/>
      <c r="I420" s="353"/>
      <c r="J420" s="353"/>
      <c r="PJ420" s="1" t="e">
        <v>#N/A</v>
      </c>
      <c r="PK420" s="1" t="e">
        <v>#N/A</v>
      </c>
      <c r="PL420" s="1" t="e">
        <v>#N/A</v>
      </c>
      <c r="PM420" s="1" t="e">
        <v>#N/A</v>
      </c>
      <c r="PN420" s="1" t="e">
        <v>#N/A</v>
      </c>
      <c r="PO420" s="1" t="e">
        <v>#N/A</v>
      </c>
      <c r="PP420" s="1" t="e">
        <v>#N/A</v>
      </c>
      <c r="PQ420" s="1" t="e">
        <v>#N/A</v>
      </c>
      <c r="PR420" s="1" t="e">
        <v>#N/A</v>
      </c>
      <c r="PS420" s="1" t="e">
        <v>#N/A</v>
      </c>
      <c r="PT420" s="1" t="e">
        <v>#N/A</v>
      </c>
      <c r="PU420" s="1" t="e">
        <v>#N/A</v>
      </c>
      <c r="PV420" s="1" t="e">
        <v>#N/A</v>
      </c>
      <c r="PW420" s="1" t="e">
        <v>#N/A</v>
      </c>
      <c r="PX420" s="1" t="e">
        <v>#N/A</v>
      </c>
      <c r="PY420" s="1" t="e">
        <v>#N/A</v>
      </c>
      <c r="PZ420" s="1" t="e">
        <v>#N/A</v>
      </c>
      <c r="QA420" s="1" t="e">
        <v>#N/A</v>
      </c>
      <c r="QB420" s="1" t="e">
        <v>#N/A</v>
      </c>
      <c r="QC420" s="1" t="e">
        <v>#N/A</v>
      </c>
      <c r="QD420" s="1" t="e">
        <v>#N/A</v>
      </c>
      <c r="QE420" s="1" t="e">
        <v>#N/A</v>
      </c>
      <c r="QF420" s="1" t="e">
        <v>#N/A</v>
      </c>
      <c r="QG420" s="1" t="e">
        <v>#N/A</v>
      </c>
      <c r="QH420" s="1" t="e">
        <v>#N/A</v>
      </c>
      <c r="QI420" s="1" t="e">
        <v>#N/A</v>
      </c>
      <c r="QJ420" s="1" t="e">
        <v>#N/A</v>
      </c>
      <c r="QK420" s="1" t="e">
        <v>#N/A</v>
      </c>
      <c r="QL420" s="1" t="e">
        <v>#N/A</v>
      </c>
      <c r="QM420" s="1" t="e">
        <v>#N/A</v>
      </c>
      <c r="QN420" s="1" t="e">
        <v>#N/A</v>
      </c>
      <c r="QO420" s="1" t="e">
        <v>#N/A</v>
      </c>
      <c r="QP420" s="1" t="e">
        <v>#N/A</v>
      </c>
    </row>
    <row r="421" spans="1:458" ht="26.25" x14ac:dyDescent="0.4">
      <c r="A421" s="347"/>
      <c r="B421" s="348"/>
      <c r="C421" s="288"/>
      <c r="D421" s="349"/>
      <c r="E421" s="350"/>
      <c r="F421" s="351"/>
      <c r="G421" s="352"/>
      <c r="H421" s="348"/>
      <c r="I421" s="353"/>
      <c r="J421" s="353"/>
      <c r="PJ421" s="1" t="e">
        <v>#N/A</v>
      </c>
      <c r="PK421" s="1" t="e">
        <v>#N/A</v>
      </c>
      <c r="PL421" s="1" t="e">
        <v>#N/A</v>
      </c>
      <c r="PM421" s="1" t="e">
        <v>#N/A</v>
      </c>
      <c r="PN421" s="1" t="e">
        <v>#N/A</v>
      </c>
      <c r="PO421" s="1" t="e">
        <v>#N/A</v>
      </c>
      <c r="PP421" s="1" t="e">
        <v>#N/A</v>
      </c>
      <c r="PQ421" s="1" t="e">
        <v>#N/A</v>
      </c>
      <c r="PR421" s="1" t="e">
        <v>#N/A</v>
      </c>
      <c r="PS421" s="1" t="e">
        <v>#N/A</v>
      </c>
      <c r="PT421" s="1" t="e">
        <v>#N/A</v>
      </c>
      <c r="PU421" s="1" t="e">
        <v>#N/A</v>
      </c>
      <c r="PV421" s="1" t="e">
        <v>#N/A</v>
      </c>
      <c r="PW421" s="1" t="e">
        <v>#N/A</v>
      </c>
      <c r="PX421" s="1" t="e">
        <v>#N/A</v>
      </c>
      <c r="PY421" s="1" t="e">
        <v>#N/A</v>
      </c>
      <c r="PZ421" s="1" t="e">
        <v>#N/A</v>
      </c>
      <c r="QA421" s="1" t="e">
        <v>#N/A</v>
      </c>
      <c r="QB421" s="1" t="e">
        <v>#N/A</v>
      </c>
      <c r="QC421" s="1" t="e">
        <v>#N/A</v>
      </c>
      <c r="QD421" s="1" t="e">
        <v>#N/A</v>
      </c>
      <c r="QE421" s="1" t="e">
        <v>#N/A</v>
      </c>
      <c r="QF421" s="1" t="e">
        <v>#N/A</v>
      </c>
      <c r="QG421" s="1" t="e">
        <v>#N/A</v>
      </c>
      <c r="QH421" s="1" t="e">
        <v>#N/A</v>
      </c>
      <c r="QI421" s="1" t="e">
        <v>#N/A</v>
      </c>
      <c r="QJ421" s="1" t="e">
        <v>#N/A</v>
      </c>
      <c r="QK421" s="1" t="e">
        <v>#N/A</v>
      </c>
      <c r="QL421" s="1" t="e">
        <v>#N/A</v>
      </c>
      <c r="QM421" s="1" t="e">
        <v>#N/A</v>
      </c>
      <c r="QN421" s="1" t="e">
        <v>#N/A</v>
      </c>
      <c r="QO421" s="1" t="e">
        <v>#N/A</v>
      </c>
      <c r="QP421" s="1" t="e">
        <v>#N/A</v>
      </c>
    </row>
    <row r="422" spans="1:458" ht="26.25" x14ac:dyDescent="0.4">
      <c r="A422" s="347"/>
      <c r="B422" s="348"/>
      <c r="C422" s="288"/>
      <c r="D422" s="349"/>
      <c r="E422" s="350"/>
      <c r="F422" s="351"/>
      <c r="G422" s="352"/>
      <c r="H422" s="348"/>
      <c r="I422" s="353"/>
      <c r="J422" s="353"/>
      <c r="PJ422" s="1" t="e">
        <v>#N/A</v>
      </c>
      <c r="PK422" s="1" t="e">
        <v>#N/A</v>
      </c>
      <c r="PL422" s="1" t="e">
        <v>#N/A</v>
      </c>
      <c r="PM422" s="1" t="e">
        <v>#N/A</v>
      </c>
      <c r="PN422" s="1" t="e">
        <v>#N/A</v>
      </c>
      <c r="PO422" s="1" t="e">
        <v>#N/A</v>
      </c>
      <c r="PP422" s="1" t="e">
        <v>#N/A</v>
      </c>
      <c r="PQ422" s="1" t="e">
        <v>#N/A</v>
      </c>
      <c r="PR422" s="1" t="e">
        <v>#N/A</v>
      </c>
      <c r="PS422" s="1" t="e">
        <v>#N/A</v>
      </c>
      <c r="PT422" s="1" t="e">
        <v>#N/A</v>
      </c>
      <c r="PU422" s="1" t="e">
        <v>#N/A</v>
      </c>
      <c r="PV422" s="1" t="e">
        <v>#N/A</v>
      </c>
      <c r="PW422" s="1" t="e">
        <v>#N/A</v>
      </c>
      <c r="PX422" s="1" t="e">
        <v>#N/A</v>
      </c>
      <c r="PY422" s="1" t="e">
        <v>#N/A</v>
      </c>
      <c r="PZ422" s="1" t="e">
        <v>#N/A</v>
      </c>
      <c r="QA422" s="1" t="e">
        <v>#N/A</v>
      </c>
      <c r="QB422" s="1" t="e">
        <v>#N/A</v>
      </c>
      <c r="QC422" s="1" t="e">
        <v>#N/A</v>
      </c>
      <c r="QD422" s="1" t="e">
        <v>#N/A</v>
      </c>
      <c r="QE422" s="1" t="e">
        <v>#N/A</v>
      </c>
      <c r="QF422" s="1" t="e">
        <v>#N/A</v>
      </c>
      <c r="QG422" s="1" t="e">
        <v>#N/A</v>
      </c>
      <c r="QH422" s="1" t="e">
        <v>#N/A</v>
      </c>
      <c r="QI422" s="1" t="e">
        <v>#N/A</v>
      </c>
      <c r="QJ422" s="1" t="e">
        <v>#N/A</v>
      </c>
      <c r="QK422" s="1" t="e">
        <v>#N/A</v>
      </c>
      <c r="QL422" s="1" t="e">
        <v>#N/A</v>
      </c>
      <c r="QM422" s="1" t="e">
        <v>#N/A</v>
      </c>
      <c r="QN422" s="1" t="e">
        <v>#N/A</v>
      </c>
      <c r="QO422" s="1" t="e">
        <v>#N/A</v>
      </c>
      <c r="QP422" s="1" t="e">
        <v>#N/A</v>
      </c>
    </row>
    <row r="423" spans="1:458" ht="26.25" x14ac:dyDescent="0.4">
      <c r="A423" s="347"/>
      <c r="B423" s="348"/>
      <c r="C423" s="288"/>
      <c r="D423" s="349"/>
      <c r="E423" s="350"/>
      <c r="F423" s="351"/>
      <c r="G423" s="352"/>
      <c r="H423" s="348"/>
      <c r="I423" s="353"/>
      <c r="J423" s="353"/>
      <c r="PJ423" s="1" t="e">
        <v>#N/A</v>
      </c>
      <c r="PK423" s="1" t="e">
        <v>#N/A</v>
      </c>
      <c r="PL423" s="1" t="e">
        <v>#N/A</v>
      </c>
      <c r="PM423" s="1" t="e">
        <v>#N/A</v>
      </c>
      <c r="PN423" s="1" t="e">
        <v>#N/A</v>
      </c>
      <c r="PO423" s="1" t="e">
        <v>#N/A</v>
      </c>
      <c r="PP423" s="1" t="e">
        <v>#N/A</v>
      </c>
      <c r="PQ423" s="1" t="e">
        <v>#N/A</v>
      </c>
      <c r="PR423" s="1" t="e">
        <v>#N/A</v>
      </c>
      <c r="PS423" s="1" t="e">
        <v>#N/A</v>
      </c>
      <c r="PT423" s="1" t="e">
        <v>#N/A</v>
      </c>
      <c r="PU423" s="1" t="e">
        <v>#N/A</v>
      </c>
      <c r="PV423" s="1" t="e">
        <v>#N/A</v>
      </c>
      <c r="PW423" s="1" t="e">
        <v>#N/A</v>
      </c>
      <c r="PX423" s="1" t="e">
        <v>#N/A</v>
      </c>
      <c r="PY423" s="1" t="e">
        <v>#N/A</v>
      </c>
      <c r="PZ423" s="1" t="e">
        <v>#N/A</v>
      </c>
      <c r="QA423" s="1" t="e">
        <v>#N/A</v>
      </c>
      <c r="QB423" s="1" t="e">
        <v>#N/A</v>
      </c>
      <c r="QC423" s="1" t="e">
        <v>#N/A</v>
      </c>
      <c r="QD423" s="1" t="e">
        <v>#N/A</v>
      </c>
      <c r="QE423" s="1" t="e">
        <v>#N/A</v>
      </c>
      <c r="QF423" s="1" t="e">
        <v>#N/A</v>
      </c>
      <c r="QG423" s="1" t="e">
        <v>#N/A</v>
      </c>
      <c r="QH423" s="1" t="e">
        <v>#N/A</v>
      </c>
      <c r="QI423" s="1" t="e">
        <v>#N/A</v>
      </c>
      <c r="QJ423" s="1" t="e">
        <v>#N/A</v>
      </c>
      <c r="QK423" s="1" t="e">
        <v>#N/A</v>
      </c>
      <c r="QL423" s="1" t="e">
        <v>#N/A</v>
      </c>
      <c r="QM423" s="1" t="e">
        <v>#N/A</v>
      </c>
      <c r="QN423" s="1" t="e">
        <v>#N/A</v>
      </c>
      <c r="QO423" s="1" t="e">
        <v>#N/A</v>
      </c>
      <c r="QP423" s="1" t="e">
        <v>#N/A</v>
      </c>
    </row>
    <row r="424" spans="1:458" ht="26.25" x14ac:dyDescent="0.4">
      <c r="A424" s="347"/>
      <c r="B424" s="348"/>
      <c r="C424" s="288"/>
      <c r="D424" s="349"/>
      <c r="E424" s="350"/>
      <c r="F424" s="351"/>
      <c r="G424" s="352"/>
      <c r="H424" s="348"/>
      <c r="I424" s="353"/>
      <c r="J424" s="353"/>
      <c r="PJ424" s="1" t="e">
        <v>#N/A</v>
      </c>
      <c r="PK424" s="1" t="e">
        <v>#N/A</v>
      </c>
      <c r="PL424" s="1" t="e">
        <v>#N/A</v>
      </c>
      <c r="PM424" s="1" t="e">
        <v>#N/A</v>
      </c>
      <c r="PN424" s="1" t="e">
        <v>#N/A</v>
      </c>
      <c r="PO424" s="1" t="e">
        <v>#N/A</v>
      </c>
      <c r="PP424" s="1" t="e">
        <v>#N/A</v>
      </c>
      <c r="PQ424" s="1" t="e">
        <v>#N/A</v>
      </c>
      <c r="PR424" s="1" t="e">
        <v>#N/A</v>
      </c>
      <c r="PS424" s="1" t="e">
        <v>#N/A</v>
      </c>
      <c r="PT424" s="1" t="e">
        <v>#N/A</v>
      </c>
      <c r="PU424" s="1" t="e">
        <v>#N/A</v>
      </c>
      <c r="PV424" s="1" t="e">
        <v>#N/A</v>
      </c>
      <c r="PW424" s="1" t="e">
        <v>#N/A</v>
      </c>
      <c r="PX424" s="1" t="e">
        <v>#N/A</v>
      </c>
      <c r="PY424" s="1" t="e">
        <v>#N/A</v>
      </c>
      <c r="PZ424" s="1" t="e">
        <v>#N/A</v>
      </c>
      <c r="QA424" s="1" t="e">
        <v>#N/A</v>
      </c>
      <c r="QB424" s="1" t="e">
        <v>#N/A</v>
      </c>
      <c r="QC424" s="1" t="e">
        <v>#N/A</v>
      </c>
      <c r="QD424" s="1" t="e">
        <v>#N/A</v>
      </c>
      <c r="QE424" s="1" t="e">
        <v>#N/A</v>
      </c>
      <c r="QF424" s="1" t="e">
        <v>#N/A</v>
      </c>
      <c r="QG424" s="1" t="e">
        <v>#N/A</v>
      </c>
      <c r="QH424" s="1" t="e">
        <v>#N/A</v>
      </c>
      <c r="QI424" s="1" t="e">
        <v>#N/A</v>
      </c>
      <c r="QJ424" s="1" t="e">
        <v>#N/A</v>
      </c>
      <c r="QK424" s="1" t="e">
        <v>#N/A</v>
      </c>
      <c r="QL424" s="1" t="e">
        <v>#N/A</v>
      </c>
      <c r="QM424" s="1" t="e">
        <v>#N/A</v>
      </c>
      <c r="QN424" s="1" t="e">
        <v>#N/A</v>
      </c>
      <c r="QO424" s="1" t="e">
        <v>#N/A</v>
      </c>
      <c r="QP424" s="1" t="e">
        <v>#N/A</v>
      </c>
    </row>
    <row r="425" spans="1:458" ht="26.25" x14ac:dyDescent="0.4">
      <c r="A425" s="347"/>
      <c r="B425" s="348"/>
      <c r="C425" s="288"/>
      <c r="D425" s="349"/>
      <c r="E425" s="350"/>
      <c r="F425" s="351"/>
      <c r="G425" s="352"/>
      <c r="H425" s="348"/>
      <c r="I425" s="353"/>
      <c r="J425" s="353"/>
      <c r="PJ425" s="1" t="e">
        <v>#N/A</v>
      </c>
      <c r="PK425" s="1" t="e">
        <v>#N/A</v>
      </c>
      <c r="PL425" s="1" t="e">
        <v>#N/A</v>
      </c>
      <c r="PM425" s="1" t="e">
        <v>#N/A</v>
      </c>
      <c r="PN425" s="1" t="e">
        <v>#N/A</v>
      </c>
      <c r="PO425" s="1" t="e">
        <v>#N/A</v>
      </c>
      <c r="PP425" s="1" t="e">
        <v>#N/A</v>
      </c>
      <c r="PQ425" s="1" t="e">
        <v>#N/A</v>
      </c>
      <c r="PR425" s="1" t="e">
        <v>#N/A</v>
      </c>
      <c r="PS425" s="1" t="e">
        <v>#N/A</v>
      </c>
      <c r="PT425" s="1" t="e">
        <v>#N/A</v>
      </c>
      <c r="PU425" s="1" t="e">
        <v>#N/A</v>
      </c>
      <c r="PV425" s="1" t="e">
        <v>#N/A</v>
      </c>
      <c r="PW425" s="1" t="e">
        <v>#N/A</v>
      </c>
      <c r="PX425" s="1" t="e">
        <v>#N/A</v>
      </c>
      <c r="PY425" s="1" t="e">
        <v>#N/A</v>
      </c>
      <c r="PZ425" s="1" t="e">
        <v>#N/A</v>
      </c>
      <c r="QA425" s="1" t="e">
        <v>#N/A</v>
      </c>
      <c r="QB425" s="1" t="e">
        <v>#N/A</v>
      </c>
      <c r="QC425" s="1" t="e">
        <v>#N/A</v>
      </c>
      <c r="QD425" s="1" t="e">
        <v>#N/A</v>
      </c>
      <c r="QE425" s="1" t="e">
        <v>#N/A</v>
      </c>
      <c r="QF425" s="1" t="e">
        <v>#N/A</v>
      </c>
      <c r="QG425" s="1" t="e">
        <v>#N/A</v>
      </c>
      <c r="QH425" s="1" t="e">
        <v>#N/A</v>
      </c>
      <c r="QI425" s="1" t="e">
        <v>#N/A</v>
      </c>
      <c r="QJ425" s="1" t="e">
        <v>#N/A</v>
      </c>
      <c r="QK425" s="1" t="e">
        <v>#N/A</v>
      </c>
      <c r="QL425" s="1" t="e">
        <v>#N/A</v>
      </c>
      <c r="QM425" s="1" t="e">
        <v>#N/A</v>
      </c>
      <c r="QN425" s="1" t="e">
        <v>#N/A</v>
      </c>
      <c r="QO425" s="1" t="e">
        <v>#N/A</v>
      </c>
      <c r="QP425" s="1" t="e">
        <v>#N/A</v>
      </c>
    </row>
    <row r="426" spans="1:458" ht="26.25" x14ac:dyDescent="0.4">
      <c r="A426" s="347"/>
      <c r="B426" s="348"/>
      <c r="C426" s="288"/>
      <c r="D426" s="349"/>
      <c r="E426" s="350"/>
      <c r="F426" s="351"/>
      <c r="G426" s="352"/>
      <c r="H426" s="348"/>
      <c r="I426" s="353"/>
      <c r="J426" s="353"/>
      <c r="PJ426" s="1" t="e">
        <v>#N/A</v>
      </c>
      <c r="PK426" s="1" t="e">
        <v>#N/A</v>
      </c>
      <c r="PL426" s="1" t="e">
        <v>#N/A</v>
      </c>
      <c r="PM426" s="1" t="e">
        <v>#N/A</v>
      </c>
      <c r="PN426" s="1" t="e">
        <v>#N/A</v>
      </c>
      <c r="PO426" s="1" t="e">
        <v>#N/A</v>
      </c>
      <c r="PP426" s="1" t="e">
        <v>#N/A</v>
      </c>
      <c r="PQ426" s="1" t="e">
        <v>#N/A</v>
      </c>
      <c r="PR426" s="1" t="e">
        <v>#N/A</v>
      </c>
      <c r="PS426" s="1" t="e">
        <v>#N/A</v>
      </c>
      <c r="PT426" s="1" t="e">
        <v>#N/A</v>
      </c>
      <c r="PU426" s="1" t="e">
        <v>#N/A</v>
      </c>
      <c r="PV426" s="1" t="e">
        <v>#N/A</v>
      </c>
      <c r="PW426" s="1" t="e">
        <v>#N/A</v>
      </c>
      <c r="PX426" s="1" t="e">
        <v>#N/A</v>
      </c>
      <c r="PY426" s="1" t="e">
        <v>#N/A</v>
      </c>
      <c r="PZ426" s="1" t="e">
        <v>#N/A</v>
      </c>
      <c r="QA426" s="1" t="e">
        <v>#N/A</v>
      </c>
      <c r="QB426" s="1" t="e">
        <v>#N/A</v>
      </c>
      <c r="QC426" s="1" t="e">
        <v>#N/A</v>
      </c>
      <c r="QD426" s="1" t="e">
        <v>#N/A</v>
      </c>
      <c r="QE426" s="1" t="e">
        <v>#N/A</v>
      </c>
      <c r="QF426" s="1" t="e">
        <v>#N/A</v>
      </c>
      <c r="QG426" s="1" t="e">
        <v>#N/A</v>
      </c>
      <c r="QH426" s="1" t="e">
        <v>#N/A</v>
      </c>
      <c r="QI426" s="1" t="e">
        <v>#N/A</v>
      </c>
      <c r="QJ426" s="1" t="e">
        <v>#N/A</v>
      </c>
      <c r="QK426" s="1" t="e">
        <v>#N/A</v>
      </c>
      <c r="QL426" s="1" t="e">
        <v>#N/A</v>
      </c>
      <c r="QM426" s="1" t="e">
        <v>#N/A</v>
      </c>
      <c r="QN426" s="1" t="e">
        <v>#N/A</v>
      </c>
      <c r="QO426" s="1" t="e">
        <v>#N/A</v>
      </c>
      <c r="QP426" s="1" t="e">
        <v>#N/A</v>
      </c>
    </row>
    <row r="427" spans="1:458" ht="26.25" x14ac:dyDescent="0.4">
      <c r="A427" s="347"/>
      <c r="B427" s="348"/>
      <c r="C427" s="288"/>
      <c r="D427" s="349"/>
      <c r="E427" s="350"/>
      <c r="F427" s="351"/>
      <c r="G427" s="352"/>
      <c r="H427" s="348"/>
      <c r="I427" s="353"/>
      <c r="J427" s="353"/>
      <c r="PJ427" s="1" t="e">
        <v>#N/A</v>
      </c>
      <c r="PK427" s="1" t="e">
        <v>#N/A</v>
      </c>
      <c r="PL427" s="1" t="e">
        <v>#N/A</v>
      </c>
      <c r="PM427" s="1" t="e">
        <v>#N/A</v>
      </c>
      <c r="PN427" s="1" t="e">
        <v>#N/A</v>
      </c>
      <c r="PO427" s="1" t="e">
        <v>#N/A</v>
      </c>
      <c r="PP427" s="1" t="e">
        <v>#N/A</v>
      </c>
      <c r="PQ427" s="1" t="e">
        <v>#N/A</v>
      </c>
      <c r="PR427" s="1" t="e">
        <v>#N/A</v>
      </c>
      <c r="PS427" s="1" t="e">
        <v>#N/A</v>
      </c>
      <c r="PT427" s="1" t="e">
        <v>#N/A</v>
      </c>
      <c r="PU427" s="1" t="e">
        <v>#N/A</v>
      </c>
      <c r="PV427" s="1" t="e">
        <v>#N/A</v>
      </c>
      <c r="PW427" s="1" t="e">
        <v>#N/A</v>
      </c>
      <c r="PX427" s="1" t="e">
        <v>#N/A</v>
      </c>
      <c r="PY427" s="1" t="e">
        <v>#N/A</v>
      </c>
      <c r="PZ427" s="1" t="e">
        <v>#N/A</v>
      </c>
      <c r="QA427" s="1" t="e">
        <v>#N/A</v>
      </c>
      <c r="QB427" s="1" t="e">
        <v>#N/A</v>
      </c>
      <c r="QC427" s="1" t="e">
        <v>#N/A</v>
      </c>
      <c r="QD427" s="1" t="e">
        <v>#N/A</v>
      </c>
      <c r="QE427" s="1" t="e">
        <v>#N/A</v>
      </c>
      <c r="QF427" s="1" t="e">
        <v>#N/A</v>
      </c>
      <c r="QG427" s="1" t="e">
        <v>#N/A</v>
      </c>
      <c r="QH427" s="1" t="e">
        <v>#N/A</v>
      </c>
      <c r="QI427" s="1" t="e">
        <v>#N/A</v>
      </c>
      <c r="QJ427" s="1" t="e">
        <v>#N/A</v>
      </c>
      <c r="QK427" s="1" t="e">
        <v>#N/A</v>
      </c>
      <c r="QL427" s="1" t="e">
        <v>#N/A</v>
      </c>
      <c r="QM427" s="1" t="e">
        <v>#N/A</v>
      </c>
      <c r="QN427" s="1" t="e">
        <v>#N/A</v>
      </c>
      <c r="QO427" s="1" t="e">
        <v>#N/A</v>
      </c>
      <c r="QP427" s="1" t="e">
        <v>#N/A</v>
      </c>
    </row>
    <row r="428" spans="1:458" ht="26.25" x14ac:dyDescent="0.4">
      <c r="A428" s="347"/>
      <c r="B428" s="348"/>
      <c r="C428" s="288"/>
      <c r="D428" s="349"/>
      <c r="E428" s="350"/>
      <c r="F428" s="351"/>
      <c r="G428" s="352"/>
      <c r="H428" s="348"/>
      <c r="I428" s="353"/>
      <c r="J428" s="353"/>
      <c r="PJ428" s="1" t="e">
        <v>#N/A</v>
      </c>
      <c r="PK428" s="1" t="e">
        <v>#N/A</v>
      </c>
      <c r="PL428" s="1" t="e">
        <v>#N/A</v>
      </c>
      <c r="PM428" s="1" t="e">
        <v>#N/A</v>
      </c>
      <c r="PN428" s="1" t="e">
        <v>#N/A</v>
      </c>
      <c r="PO428" s="1" t="e">
        <v>#N/A</v>
      </c>
      <c r="PP428" s="1" t="e">
        <v>#N/A</v>
      </c>
      <c r="PQ428" s="1" t="e">
        <v>#N/A</v>
      </c>
      <c r="PR428" s="1" t="e">
        <v>#N/A</v>
      </c>
      <c r="PS428" s="1" t="e">
        <v>#N/A</v>
      </c>
      <c r="PT428" s="1" t="e">
        <v>#N/A</v>
      </c>
      <c r="PU428" s="1" t="e">
        <v>#N/A</v>
      </c>
      <c r="PV428" s="1" t="e">
        <v>#N/A</v>
      </c>
      <c r="PW428" s="1" t="e">
        <v>#N/A</v>
      </c>
      <c r="PX428" s="1" t="e">
        <v>#N/A</v>
      </c>
      <c r="PY428" s="1" t="e">
        <v>#N/A</v>
      </c>
      <c r="PZ428" s="1" t="e">
        <v>#N/A</v>
      </c>
      <c r="QA428" s="1" t="e">
        <v>#N/A</v>
      </c>
      <c r="QB428" s="1" t="e">
        <v>#N/A</v>
      </c>
      <c r="QC428" s="1" t="e">
        <v>#N/A</v>
      </c>
      <c r="QD428" s="1" t="e">
        <v>#N/A</v>
      </c>
      <c r="QE428" s="1" t="e">
        <v>#N/A</v>
      </c>
      <c r="QF428" s="1" t="e">
        <v>#N/A</v>
      </c>
      <c r="QG428" s="1" t="e">
        <v>#N/A</v>
      </c>
      <c r="QH428" s="1" t="e">
        <v>#N/A</v>
      </c>
      <c r="QI428" s="1" t="e">
        <v>#N/A</v>
      </c>
      <c r="QJ428" s="1" t="e">
        <v>#N/A</v>
      </c>
      <c r="QK428" s="1" t="e">
        <v>#N/A</v>
      </c>
      <c r="QL428" s="1" t="e">
        <v>#N/A</v>
      </c>
      <c r="QM428" s="1" t="e">
        <v>#N/A</v>
      </c>
      <c r="QN428" s="1" t="e">
        <v>#N/A</v>
      </c>
      <c r="QO428" s="1" t="e">
        <v>#N/A</v>
      </c>
      <c r="QP428" s="1" t="e">
        <v>#N/A</v>
      </c>
    </row>
    <row r="429" spans="1:458" ht="26.25" x14ac:dyDescent="0.4">
      <c r="A429" s="347"/>
      <c r="B429" s="348"/>
      <c r="C429" s="288"/>
      <c r="D429" s="349"/>
      <c r="E429" s="350"/>
      <c r="F429" s="351"/>
      <c r="G429" s="352"/>
      <c r="H429" s="348"/>
      <c r="I429" s="353"/>
      <c r="J429" s="353"/>
      <c r="PJ429" s="1" t="e">
        <v>#N/A</v>
      </c>
      <c r="PK429" s="1" t="e">
        <v>#N/A</v>
      </c>
      <c r="PL429" s="1" t="e">
        <v>#N/A</v>
      </c>
      <c r="PM429" s="1" t="e">
        <v>#N/A</v>
      </c>
      <c r="PN429" s="1" t="e">
        <v>#N/A</v>
      </c>
      <c r="PO429" s="1" t="e">
        <v>#N/A</v>
      </c>
      <c r="PP429" s="1" t="e">
        <v>#N/A</v>
      </c>
      <c r="PQ429" s="1" t="e">
        <v>#N/A</v>
      </c>
      <c r="PR429" s="1" t="e">
        <v>#N/A</v>
      </c>
      <c r="PS429" s="1" t="e">
        <v>#N/A</v>
      </c>
      <c r="PT429" s="1" t="e">
        <v>#N/A</v>
      </c>
      <c r="PU429" s="1" t="e">
        <v>#N/A</v>
      </c>
      <c r="PV429" s="1" t="e">
        <v>#N/A</v>
      </c>
      <c r="PW429" s="1" t="e">
        <v>#N/A</v>
      </c>
      <c r="PX429" s="1" t="e">
        <v>#N/A</v>
      </c>
      <c r="PY429" s="1" t="e">
        <v>#N/A</v>
      </c>
      <c r="PZ429" s="1" t="e">
        <v>#N/A</v>
      </c>
      <c r="QA429" s="1" t="e">
        <v>#N/A</v>
      </c>
      <c r="QB429" s="1" t="e">
        <v>#N/A</v>
      </c>
      <c r="QC429" s="1" t="e">
        <v>#N/A</v>
      </c>
      <c r="QD429" s="1" t="e">
        <v>#N/A</v>
      </c>
      <c r="QE429" s="1" t="e">
        <v>#N/A</v>
      </c>
      <c r="QF429" s="1" t="e">
        <v>#N/A</v>
      </c>
      <c r="QG429" s="1" t="e">
        <v>#N/A</v>
      </c>
      <c r="QH429" s="1" t="e">
        <v>#N/A</v>
      </c>
      <c r="QI429" s="1" t="e">
        <v>#N/A</v>
      </c>
      <c r="QJ429" s="1" t="e">
        <v>#N/A</v>
      </c>
      <c r="QK429" s="1" t="e">
        <v>#N/A</v>
      </c>
      <c r="QL429" s="1" t="e">
        <v>#N/A</v>
      </c>
      <c r="QM429" s="1" t="e">
        <v>#N/A</v>
      </c>
      <c r="QN429" s="1" t="e">
        <v>#N/A</v>
      </c>
      <c r="QO429" s="1" t="e">
        <v>#N/A</v>
      </c>
      <c r="QP429" s="1" t="e">
        <v>#N/A</v>
      </c>
    </row>
    <row r="430" spans="1:458" ht="26.25" x14ac:dyDescent="0.4">
      <c r="A430" s="347"/>
      <c r="B430" s="348"/>
      <c r="C430" s="288"/>
      <c r="D430" s="349"/>
      <c r="E430" s="350"/>
      <c r="F430" s="351"/>
      <c r="G430" s="352"/>
      <c r="H430" s="348"/>
      <c r="I430" s="353"/>
      <c r="J430" s="353"/>
      <c r="PJ430" s="1" t="e">
        <v>#N/A</v>
      </c>
      <c r="PK430" s="1" t="e">
        <v>#N/A</v>
      </c>
      <c r="PL430" s="1" t="e">
        <v>#N/A</v>
      </c>
      <c r="PM430" s="1" t="e">
        <v>#N/A</v>
      </c>
      <c r="PN430" s="1" t="e">
        <v>#N/A</v>
      </c>
      <c r="PO430" s="1" t="e">
        <v>#N/A</v>
      </c>
      <c r="PP430" s="1" t="e">
        <v>#N/A</v>
      </c>
      <c r="PQ430" s="1" t="e">
        <v>#N/A</v>
      </c>
      <c r="PR430" s="1" t="e">
        <v>#N/A</v>
      </c>
      <c r="PS430" s="1" t="e">
        <v>#N/A</v>
      </c>
      <c r="PT430" s="1" t="e">
        <v>#N/A</v>
      </c>
      <c r="PU430" s="1" t="e">
        <v>#N/A</v>
      </c>
      <c r="PV430" s="1" t="e">
        <v>#N/A</v>
      </c>
      <c r="PW430" s="1" t="e">
        <v>#N/A</v>
      </c>
      <c r="PX430" s="1" t="e">
        <v>#N/A</v>
      </c>
      <c r="PY430" s="1" t="e">
        <v>#N/A</v>
      </c>
      <c r="PZ430" s="1" t="e">
        <v>#N/A</v>
      </c>
      <c r="QA430" s="1" t="e">
        <v>#N/A</v>
      </c>
      <c r="QB430" s="1" t="e">
        <v>#N/A</v>
      </c>
      <c r="QC430" s="1" t="e">
        <v>#N/A</v>
      </c>
      <c r="QD430" s="1" t="e">
        <v>#N/A</v>
      </c>
      <c r="QE430" s="1" t="e">
        <v>#N/A</v>
      </c>
      <c r="QF430" s="1" t="e">
        <v>#N/A</v>
      </c>
      <c r="QG430" s="1" t="e">
        <v>#N/A</v>
      </c>
      <c r="QH430" s="1" t="e">
        <v>#N/A</v>
      </c>
      <c r="QI430" s="1" t="e">
        <v>#N/A</v>
      </c>
      <c r="QJ430" s="1" t="e">
        <v>#N/A</v>
      </c>
      <c r="QK430" s="1" t="e">
        <v>#N/A</v>
      </c>
      <c r="QL430" s="1" t="e">
        <v>#N/A</v>
      </c>
      <c r="QM430" s="1" t="e">
        <v>#N/A</v>
      </c>
      <c r="QN430" s="1" t="e">
        <v>#N/A</v>
      </c>
      <c r="QO430" s="1" t="e">
        <v>#N/A</v>
      </c>
      <c r="QP430" s="1" t="e">
        <v>#N/A</v>
      </c>
    </row>
    <row r="431" spans="1:458" ht="26.25" x14ac:dyDescent="0.4">
      <c r="A431" s="347"/>
      <c r="B431" s="348"/>
      <c r="C431" s="288"/>
      <c r="D431" s="349"/>
      <c r="E431" s="350"/>
      <c r="F431" s="351"/>
      <c r="G431" s="352"/>
      <c r="H431" s="348"/>
      <c r="I431" s="353"/>
      <c r="J431" s="353"/>
      <c r="PJ431" s="1" t="e">
        <v>#N/A</v>
      </c>
      <c r="PK431" s="1" t="e">
        <v>#N/A</v>
      </c>
      <c r="PL431" s="1" t="e">
        <v>#N/A</v>
      </c>
      <c r="PM431" s="1" t="e">
        <v>#N/A</v>
      </c>
      <c r="PN431" s="1" t="e">
        <v>#N/A</v>
      </c>
      <c r="PO431" s="1" t="e">
        <v>#N/A</v>
      </c>
      <c r="PP431" s="1" t="e">
        <v>#N/A</v>
      </c>
      <c r="PQ431" s="1" t="e">
        <v>#N/A</v>
      </c>
      <c r="PR431" s="1" t="e">
        <v>#N/A</v>
      </c>
      <c r="PS431" s="1" t="e">
        <v>#N/A</v>
      </c>
      <c r="PT431" s="1" t="e">
        <v>#N/A</v>
      </c>
      <c r="PU431" s="1" t="e">
        <v>#N/A</v>
      </c>
      <c r="PV431" s="1" t="e">
        <v>#N/A</v>
      </c>
      <c r="PW431" s="1" t="e">
        <v>#N/A</v>
      </c>
      <c r="PX431" s="1" t="e">
        <v>#N/A</v>
      </c>
      <c r="PY431" s="1" t="e">
        <v>#N/A</v>
      </c>
      <c r="PZ431" s="1" t="e">
        <v>#N/A</v>
      </c>
      <c r="QA431" s="1" t="e">
        <v>#N/A</v>
      </c>
      <c r="QB431" s="1" t="e">
        <v>#N/A</v>
      </c>
      <c r="QC431" s="1" t="e">
        <v>#N/A</v>
      </c>
      <c r="QD431" s="1" t="e">
        <v>#N/A</v>
      </c>
      <c r="QE431" s="1" t="e">
        <v>#N/A</v>
      </c>
      <c r="QF431" s="1" t="e">
        <v>#N/A</v>
      </c>
      <c r="QG431" s="1" t="e">
        <v>#N/A</v>
      </c>
      <c r="QH431" s="1" t="e">
        <v>#N/A</v>
      </c>
      <c r="QI431" s="1" t="e">
        <v>#N/A</v>
      </c>
      <c r="QJ431" s="1" t="e">
        <v>#N/A</v>
      </c>
      <c r="QK431" s="1" t="e">
        <v>#N/A</v>
      </c>
      <c r="QL431" s="1" t="e">
        <v>#N/A</v>
      </c>
      <c r="QM431" s="1" t="e">
        <v>#N/A</v>
      </c>
      <c r="QN431" s="1" t="e">
        <v>#N/A</v>
      </c>
      <c r="QO431" s="1" t="e">
        <v>#N/A</v>
      </c>
      <c r="QP431" s="1" t="e">
        <v>#N/A</v>
      </c>
    </row>
    <row r="432" spans="1:458" ht="26.25" x14ac:dyDescent="0.4">
      <c r="A432" s="347"/>
      <c r="B432" s="348"/>
      <c r="C432" s="288"/>
      <c r="D432" s="349"/>
      <c r="E432" s="350"/>
      <c r="F432" s="351"/>
      <c r="G432" s="352"/>
      <c r="H432" s="348"/>
      <c r="I432" s="353"/>
      <c r="J432" s="353"/>
      <c r="PJ432" s="1" t="e">
        <v>#N/A</v>
      </c>
      <c r="PK432" s="1" t="e">
        <v>#N/A</v>
      </c>
      <c r="PL432" s="1" t="e">
        <v>#N/A</v>
      </c>
      <c r="PM432" s="1" t="e">
        <v>#N/A</v>
      </c>
      <c r="PN432" s="1" t="e">
        <v>#N/A</v>
      </c>
      <c r="PO432" s="1" t="e">
        <v>#N/A</v>
      </c>
      <c r="PP432" s="1" t="e">
        <v>#N/A</v>
      </c>
      <c r="PQ432" s="1" t="e">
        <v>#N/A</v>
      </c>
      <c r="PR432" s="1" t="e">
        <v>#N/A</v>
      </c>
      <c r="PS432" s="1" t="e">
        <v>#N/A</v>
      </c>
      <c r="PT432" s="1" t="e">
        <v>#N/A</v>
      </c>
      <c r="PU432" s="1" t="e">
        <v>#N/A</v>
      </c>
      <c r="PV432" s="1" t="e">
        <v>#N/A</v>
      </c>
      <c r="PW432" s="1" t="e">
        <v>#N/A</v>
      </c>
      <c r="PX432" s="1" t="e">
        <v>#N/A</v>
      </c>
      <c r="PY432" s="1" t="e">
        <v>#N/A</v>
      </c>
      <c r="PZ432" s="1" t="e">
        <v>#N/A</v>
      </c>
      <c r="QA432" s="1" t="e">
        <v>#N/A</v>
      </c>
      <c r="QB432" s="1" t="e">
        <v>#N/A</v>
      </c>
      <c r="QC432" s="1" t="e">
        <v>#N/A</v>
      </c>
      <c r="QD432" s="1" t="e">
        <v>#N/A</v>
      </c>
      <c r="QE432" s="1" t="e">
        <v>#N/A</v>
      </c>
      <c r="QF432" s="1" t="e">
        <v>#N/A</v>
      </c>
      <c r="QG432" s="1" t="e">
        <v>#N/A</v>
      </c>
      <c r="QH432" s="1" t="e">
        <v>#N/A</v>
      </c>
      <c r="QI432" s="1" t="e">
        <v>#N/A</v>
      </c>
      <c r="QJ432" s="1" t="e">
        <v>#N/A</v>
      </c>
      <c r="QK432" s="1" t="e">
        <v>#N/A</v>
      </c>
      <c r="QL432" s="1" t="e">
        <v>#N/A</v>
      </c>
      <c r="QM432" s="1" t="e">
        <v>#N/A</v>
      </c>
      <c r="QN432" s="1" t="e">
        <v>#N/A</v>
      </c>
      <c r="QO432" s="1" t="e">
        <v>#N/A</v>
      </c>
      <c r="QP432" s="1" t="e">
        <v>#N/A</v>
      </c>
    </row>
    <row r="433" spans="1:458" ht="26.25" x14ac:dyDescent="0.4">
      <c r="A433" s="347"/>
      <c r="B433" s="348"/>
      <c r="C433" s="288"/>
      <c r="D433" s="349"/>
      <c r="E433" s="350"/>
      <c r="F433" s="351"/>
      <c r="G433" s="352"/>
      <c r="H433" s="348"/>
      <c r="I433" s="353"/>
      <c r="J433" s="353"/>
      <c r="PJ433" s="1" t="e">
        <v>#N/A</v>
      </c>
      <c r="PK433" s="1" t="e">
        <v>#N/A</v>
      </c>
      <c r="PL433" s="1" t="e">
        <v>#N/A</v>
      </c>
      <c r="PM433" s="1" t="e">
        <v>#N/A</v>
      </c>
      <c r="PN433" s="1" t="e">
        <v>#N/A</v>
      </c>
      <c r="PO433" s="1" t="e">
        <v>#N/A</v>
      </c>
      <c r="PP433" s="1" t="e">
        <v>#N/A</v>
      </c>
      <c r="PQ433" s="1" t="e">
        <v>#N/A</v>
      </c>
      <c r="PR433" s="1" t="e">
        <v>#N/A</v>
      </c>
      <c r="PS433" s="1" t="e">
        <v>#N/A</v>
      </c>
      <c r="PT433" s="1" t="e">
        <v>#N/A</v>
      </c>
      <c r="PU433" s="1" t="e">
        <v>#N/A</v>
      </c>
      <c r="PV433" s="1" t="e">
        <v>#N/A</v>
      </c>
      <c r="PW433" s="1" t="e">
        <v>#N/A</v>
      </c>
      <c r="PX433" s="1" t="e">
        <v>#N/A</v>
      </c>
      <c r="PY433" s="1" t="e">
        <v>#N/A</v>
      </c>
      <c r="PZ433" s="1" t="e">
        <v>#N/A</v>
      </c>
      <c r="QA433" s="1" t="e">
        <v>#N/A</v>
      </c>
      <c r="QB433" s="1" t="e">
        <v>#N/A</v>
      </c>
      <c r="QC433" s="1" t="e">
        <v>#N/A</v>
      </c>
      <c r="QD433" s="1" t="e">
        <v>#N/A</v>
      </c>
      <c r="QE433" s="1" t="e">
        <v>#N/A</v>
      </c>
      <c r="QF433" s="1" t="e">
        <v>#N/A</v>
      </c>
      <c r="QG433" s="1" t="e">
        <v>#N/A</v>
      </c>
      <c r="QH433" s="1" t="e">
        <v>#N/A</v>
      </c>
      <c r="QI433" s="1" t="e">
        <v>#N/A</v>
      </c>
      <c r="QJ433" s="1" t="e">
        <v>#N/A</v>
      </c>
      <c r="QK433" s="1" t="e">
        <v>#N/A</v>
      </c>
      <c r="QL433" s="1" t="e">
        <v>#N/A</v>
      </c>
      <c r="QM433" s="1" t="e">
        <v>#N/A</v>
      </c>
      <c r="QN433" s="1" t="e">
        <v>#N/A</v>
      </c>
      <c r="QO433" s="1" t="e">
        <v>#N/A</v>
      </c>
      <c r="QP433" s="1" t="e">
        <v>#N/A</v>
      </c>
    </row>
    <row r="434" spans="1:458" ht="26.25" x14ac:dyDescent="0.4">
      <c r="A434" s="347"/>
      <c r="B434" s="348"/>
      <c r="C434" s="288"/>
      <c r="D434" s="349"/>
      <c r="E434" s="350"/>
      <c r="F434" s="351"/>
      <c r="G434" s="352"/>
      <c r="H434" s="348"/>
      <c r="I434" s="353"/>
      <c r="J434" s="353"/>
      <c r="PJ434" s="1" t="e">
        <v>#N/A</v>
      </c>
      <c r="PK434" s="1" t="e">
        <v>#N/A</v>
      </c>
      <c r="PL434" s="1" t="e">
        <v>#N/A</v>
      </c>
      <c r="PM434" s="1" t="e">
        <v>#N/A</v>
      </c>
      <c r="PN434" s="1" t="e">
        <v>#N/A</v>
      </c>
      <c r="PO434" s="1" t="e">
        <v>#N/A</v>
      </c>
      <c r="PP434" s="1" t="e">
        <v>#N/A</v>
      </c>
      <c r="PQ434" s="1" t="e">
        <v>#N/A</v>
      </c>
      <c r="PR434" s="1" t="e">
        <v>#N/A</v>
      </c>
      <c r="PS434" s="1" t="e">
        <v>#N/A</v>
      </c>
      <c r="PT434" s="1" t="e">
        <v>#N/A</v>
      </c>
      <c r="PU434" s="1" t="e">
        <v>#N/A</v>
      </c>
      <c r="PV434" s="1" t="e">
        <v>#N/A</v>
      </c>
      <c r="PW434" s="1" t="e">
        <v>#N/A</v>
      </c>
      <c r="PX434" s="1" t="e">
        <v>#N/A</v>
      </c>
      <c r="PY434" s="1" t="e">
        <v>#N/A</v>
      </c>
      <c r="PZ434" s="1" t="e">
        <v>#N/A</v>
      </c>
      <c r="QA434" s="1" t="e">
        <v>#N/A</v>
      </c>
      <c r="QB434" s="1" t="e">
        <v>#N/A</v>
      </c>
      <c r="QC434" s="1" t="e">
        <v>#N/A</v>
      </c>
      <c r="QD434" s="1" t="e">
        <v>#N/A</v>
      </c>
      <c r="QE434" s="1" t="e">
        <v>#N/A</v>
      </c>
      <c r="QF434" s="1" t="e">
        <v>#N/A</v>
      </c>
      <c r="QG434" s="1" t="e">
        <v>#N/A</v>
      </c>
      <c r="QH434" s="1" t="e">
        <v>#N/A</v>
      </c>
      <c r="QI434" s="1" t="e">
        <v>#N/A</v>
      </c>
      <c r="QJ434" s="1" t="e">
        <v>#N/A</v>
      </c>
      <c r="QK434" s="1" t="e">
        <v>#N/A</v>
      </c>
      <c r="QL434" s="1" t="e">
        <v>#N/A</v>
      </c>
      <c r="QM434" s="1" t="e">
        <v>#N/A</v>
      </c>
      <c r="QN434" s="1" t="e">
        <v>#N/A</v>
      </c>
      <c r="QO434" s="1" t="e">
        <v>#N/A</v>
      </c>
      <c r="QP434" s="1" t="e">
        <v>#N/A</v>
      </c>
    </row>
    <row r="435" spans="1:458" ht="26.25" x14ac:dyDescent="0.4">
      <c r="A435" s="347"/>
      <c r="B435" s="348"/>
      <c r="C435" s="288"/>
      <c r="D435" s="349"/>
      <c r="E435" s="350"/>
      <c r="F435" s="351"/>
      <c r="G435" s="352"/>
      <c r="H435" s="348"/>
      <c r="I435" s="353"/>
      <c r="J435" s="353"/>
      <c r="PJ435" s="1" t="e">
        <v>#N/A</v>
      </c>
      <c r="PK435" s="1" t="e">
        <v>#N/A</v>
      </c>
      <c r="PL435" s="1" t="e">
        <v>#N/A</v>
      </c>
      <c r="PM435" s="1" t="e">
        <v>#N/A</v>
      </c>
      <c r="PN435" s="1" t="e">
        <v>#N/A</v>
      </c>
      <c r="PO435" s="1" t="e">
        <v>#N/A</v>
      </c>
      <c r="PP435" s="1" t="e">
        <v>#N/A</v>
      </c>
      <c r="PQ435" s="1" t="e">
        <v>#N/A</v>
      </c>
      <c r="PR435" s="1" t="e">
        <v>#N/A</v>
      </c>
      <c r="PS435" s="1" t="e">
        <v>#N/A</v>
      </c>
      <c r="PT435" s="1" t="e">
        <v>#N/A</v>
      </c>
      <c r="PU435" s="1" t="e">
        <v>#N/A</v>
      </c>
      <c r="PV435" s="1" t="e">
        <v>#N/A</v>
      </c>
      <c r="PW435" s="1" t="e">
        <v>#N/A</v>
      </c>
      <c r="PX435" s="1" t="e">
        <v>#N/A</v>
      </c>
      <c r="PY435" s="1" t="e">
        <v>#N/A</v>
      </c>
      <c r="PZ435" s="1" t="e">
        <v>#N/A</v>
      </c>
      <c r="QA435" s="1" t="e">
        <v>#N/A</v>
      </c>
      <c r="QB435" s="1" t="e">
        <v>#N/A</v>
      </c>
      <c r="QC435" s="1" t="e">
        <v>#N/A</v>
      </c>
      <c r="QD435" s="1" t="e">
        <v>#N/A</v>
      </c>
      <c r="QE435" s="1" t="e">
        <v>#N/A</v>
      </c>
      <c r="QF435" s="1" t="e">
        <v>#N/A</v>
      </c>
      <c r="QG435" s="1" t="e">
        <v>#N/A</v>
      </c>
      <c r="QH435" s="1" t="e">
        <v>#N/A</v>
      </c>
      <c r="QI435" s="1" t="e">
        <v>#N/A</v>
      </c>
      <c r="QJ435" s="1" t="e">
        <v>#N/A</v>
      </c>
      <c r="QK435" s="1" t="e">
        <v>#N/A</v>
      </c>
      <c r="QL435" s="1" t="e">
        <v>#N/A</v>
      </c>
      <c r="QM435" s="1" t="e">
        <v>#N/A</v>
      </c>
      <c r="QN435" s="1" t="e">
        <v>#N/A</v>
      </c>
      <c r="QO435" s="1" t="e">
        <v>#N/A</v>
      </c>
      <c r="QP435" s="1" t="e">
        <v>#N/A</v>
      </c>
    </row>
    <row r="436" spans="1:458" ht="26.25" x14ac:dyDescent="0.4">
      <c r="A436" s="347"/>
      <c r="B436" s="348"/>
      <c r="C436" s="288"/>
      <c r="D436" s="349"/>
      <c r="E436" s="350"/>
      <c r="F436" s="351"/>
      <c r="G436" s="352"/>
      <c r="H436" s="348"/>
      <c r="I436" s="353"/>
      <c r="J436" s="353"/>
      <c r="PJ436" s="1" t="e">
        <v>#N/A</v>
      </c>
      <c r="PK436" s="1" t="e">
        <v>#N/A</v>
      </c>
      <c r="PL436" s="1" t="e">
        <v>#N/A</v>
      </c>
      <c r="PM436" s="1" t="e">
        <v>#N/A</v>
      </c>
      <c r="PN436" s="1" t="e">
        <v>#N/A</v>
      </c>
      <c r="PO436" s="1" t="e">
        <v>#N/A</v>
      </c>
      <c r="PP436" s="1" t="e">
        <v>#N/A</v>
      </c>
      <c r="PQ436" s="1" t="e">
        <v>#N/A</v>
      </c>
      <c r="PR436" s="1" t="e">
        <v>#N/A</v>
      </c>
      <c r="PS436" s="1" t="e">
        <v>#N/A</v>
      </c>
      <c r="PT436" s="1" t="e">
        <v>#N/A</v>
      </c>
      <c r="PU436" s="1" t="e">
        <v>#N/A</v>
      </c>
      <c r="PV436" s="1" t="e">
        <v>#N/A</v>
      </c>
      <c r="PW436" s="1" t="e">
        <v>#N/A</v>
      </c>
      <c r="PX436" s="1" t="e">
        <v>#N/A</v>
      </c>
      <c r="PY436" s="1" t="e">
        <v>#N/A</v>
      </c>
      <c r="PZ436" s="1" t="e">
        <v>#N/A</v>
      </c>
      <c r="QA436" s="1" t="e">
        <v>#N/A</v>
      </c>
      <c r="QB436" s="1" t="e">
        <v>#N/A</v>
      </c>
      <c r="QC436" s="1" t="e">
        <v>#N/A</v>
      </c>
      <c r="QD436" s="1" t="e">
        <v>#N/A</v>
      </c>
      <c r="QE436" s="1" t="e">
        <v>#N/A</v>
      </c>
      <c r="QF436" s="1" t="e">
        <v>#N/A</v>
      </c>
      <c r="QG436" s="1" t="e">
        <v>#N/A</v>
      </c>
      <c r="QH436" s="1" t="e">
        <v>#N/A</v>
      </c>
      <c r="QI436" s="1" t="e">
        <v>#N/A</v>
      </c>
      <c r="QJ436" s="1" t="e">
        <v>#N/A</v>
      </c>
      <c r="QK436" s="1" t="e">
        <v>#N/A</v>
      </c>
      <c r="QL436" s="1" t="e">
        <v>#N/A</v>
      </c>
      <c r="QM436" s="1" t="e">
        <v>#N/A</v>
      </c>
      <c r="QN436" s="1" t="e">
        <v>#N/A</v>
      </c>
      <c r="QO436" s="1" t="e">
        <v>#N/A</v>
      </c>
      <c r="QP436" s="1" t="e">
        <v>#N/A</v>
      </c>
    </row>
    <row r="437" spans="1:458" ht="26.25" x14ac:dyDescent="0.4">
      <c r="A437" s="347"/>
      <c r="B437" s="348"/>
      <c r="C437" s="288"/>
      <c r="D437" s="349"/>
      <c r="E437" s="350"/>
      <c r="F437" s="351"/>
      <c r="G437" s="352"/>
      <c r="H437" s="348"/>
      <c r="I437" s="353"/>
      <c r="J437" s="353"/>
      <c r="PJ437" s="1" t="e">
        <v>#N/A</v>
      </c>
      <c r="PK437" s="1" t="e">
        <v>#N/A</v>
      </c>
      <c r="PL437" s="1" t="e">
        <v>#N/A</v>
      </c>
      <c r="PM437" s="1" t="e">
        <v>#N/A</v>
      </c>
      <c r="PN437" s="1" t="e">
        <v>#N/A</v>
      </c>
      <c r="PO437" s="1" t="e">
        <v>#N/A</v>
      </c>
      <c r="PP437" s="1" t="e">
        <v>#N/A</v>
      </c>
      <c r="PQ437" s="1" t="e">
        <v>#N/A</v>
      </c>
      <c r="PR437" s="1" t="e">
        <v>#N/A</v>
      </c>
      <c r="PS437" s="1" t="e">
        <v>#N/A</v>
      </c>
      <c r="PT437" s="1" t="e">
        <v>#N/A</v>
      </c>
      <c r="PU437" s="1" t="e">
        <v>#N/A</v>
      </c>
      <c r="PV437" s="1" t="e">
        <v>#N/A</v>
      </c>
      <c r="PW437" s="1" t="e">
        <v>#N/A</v>
      </c>
      <c r="PX437" s="1" t="e">
        <v>#N/A</v>
      </c>
      <c r="PY437" s="1" t="e">
        <v>#N/A</v>
      </c>
      <c r="PZ437" s="1" t="e">
        <v>#N/A</v>
      </c>
      <c r="QA437" s="1" t="e">
        <v>#N/A</v>
      </c>
      <c r="QB437" s="1" t="e">
        <v>#N/A</v>
      </c>
      <c r="QC437" s="1" t="e">
        <v>#N/A</v>
      </c>
      <c r="QD437" s="1" t="e">
        <v>#N/A</v>
      </c>
      <c r="QE437" s="1" t="e">
        <v>#N/A</v>
      </c>
      <c r="QF437" s="1" t="e">
        <v>#N/A</v>
      </c>
      <c r="QG437" s="1" t="e">
        <v>#N/A</v>
      </c>
      <c r="QH437" s="1" t="e">
        <v>#N/A</v>
      </c>
      <c r="QI437" s="1" t="e">
        <v>#N/A</v>
      </c>
      <c r="QJ437" s="1" t="e">
        <v>#N/A</v>
      </c>
      <c r="QK437" s="1" t="e">
        <v>#N/A</v>
      </c>
      <c r="QL437" s="1" t="e">
        <v>#N/A</v>
      </c>
      <c r="QM437" s="1" t="e">
        <v>#N/A</v>
      </c>
      <c r="QN437" s="1" t="e">
        <v>#N/A</v>
      </c>
      <c r="QO437" s="1" t="e">
        <v>#N/A</v>
      </c>
      <c r="QP437" s="1" t="e">
        <v>#N/A</v>
      </c>
    </row>
    <row r="438" spans="1:458" ht="26.25" x14ac:dyDescent="0.4">
      <c r="A438" s="347"/>
      <c r="B438" s="348"/>
      <c r="C438" s="288"/>
      <c r="D438" s="349"/>
      <c r="E438" s="350"/>
      <c r="F438" s="351"/>
      <c r="G438" s="352"/>
      <c r="H438" s="348"/>
      <c r="I438" s="353"/>
      <c r="J438" s="353"/>
      <c r="PJ438" s="1" t="e">
        <v>#N/A</v>
      </c>
      <c r="PK438" s="1" t="e">
        <v>#N/A</v>
      </c>
      <c r="PL438" s="1" t="e">
        <v>#N/A</v>
      </c>
      <c r="PM438" s="1" t="e">
        <v>#N/A</v>
      </c>
      <c r="PN438" s="1" t="e">
        <v>#N/A</v>
      </c>
      <c r="PO438" s="1" t="e">
        <v>#N/A</v>
      </c>
      <c r="PP438" s="1" t="e">
        <v>#N/A</v>
      </c>
      <c r="PQ438" s="1" t="e">
        <v>#N/A</v>
      </c>
      <c r="PR438" s="1" t="e">
        <v>#N/A</v>
      </c>
      <c r="PS438" s="1" t="e">
        <v>#N/A</v>
      </c>
      <c r="PT438" s="1" t="e">
        <v>#N/A</v>
      </c>
      <c r="PU438" s="1" t="e">
        <v>#N/A</v>
      </c>
      <c r="PV438" s="1" t="e">
        <v>#N/A</v>
      </c>
      <c r="PW438" s="1" t="e">
        <v>#N/A</v>
      </c>
      <c r="PX438" s="1" t="e">
        <v>#N/A</v>
      </c>
      <c r="PY438" s="1" t="e">
        <v>#N/A</v>
      </c>
      <c r="PZ438" s="1" t="e">
        <v>#N/A</v>
      </c>
      <c r="QA438" s="1" t="e">
        <v>#N/A</v>
      </c>
      <c r="QB438" s="1" t="e">
        <v>#N/A</v>
      </c>
      <c r="QC438" s="1" t="e">
        <v>#N/A</v>
      </c>
      <c r="QD438" s="1" t="e">
        <v>#N/A</v>
      </c>
      <c r="QE438" s="1" t="e">
        <v>#N/A</v>
      </c>
      <c r="QF438" s="1" t="e">
        <v>#N/A</v>
      </c>
      <c r="QG438" s="1" t="e">
        <v>#N/A</v>
      </c>
      <c r="QH438" s="1" t="e">
        <v>#N/A</v>
      </c>
      <c r="QI438" s="1" t="e">
        <v>#N/A</v>
      </c>
      <c r="QJ438" s="1" t="e">
        <v>#N/A</v>
      </c>
      <c r="QK438" s="1" t="e">
        <v>#N/A</v>
      </c>
      <c r="QL438" s="1" t="e">
        <v>#N/A</v>
      </c>
      <c r="QM438" s="1" t="e">
        <v>#N/A</v>
      </c>
      <c r="QN438" s="1" t="e">
        <v>#N/A</v>
      </c>
      <c r="QO438" s="1" t="e">
        <v>#N/A</v>
      </c>
      <c r="QP438" s="1" t="e">
        <v>#N/A</v>
      </c>
    </row>
    <row r="439" spans="1:458" ht="26.25" x14ac:dyDescent="0.4">
      <c r="A439" s="347"/>
      <c r="B439" s="348"/>
      <c r="C439" s="288"/>
      <c r="D439" s="349"/>
      <c r="E439" s="350"/>
      <c r="F439" s="351"/>
      <c r="G439" s="352"/>
      <c r="H439" s="348"/>
      <c r="I439" s="353"/>
      <c r="J439" s="353"/>
      <c r="PJ439" s="1" t="e">
        <v>#N/A</v>
      </c>
      <c r="PK439" s="1" t="e">
        <v>#N/A</v>
      </c>
      <c r="PL439" s="1" t="e">
        <v>#N/A</v>
      </c>
      <c r="PM439" s="1" t="e">
        <v>#N/A</v>
      </c>
      <c r="PN439" s="1" t="e">
        <v>#N/A</v>
      </c>
      <c r="PO439" s="1" t="e">
        <v>#N/A</v>
      </c>
      <c r="PP439" s="1" t="e">
        <v>#N/A</v>
      </c>
      <c r="PQ439" s="1" t="e">
        <v>#N/A</v>
      </c>
      <c r="PR439" s="1" t="e">
        <v>#N/A</v>
      </c>
      <c r="PS439" s="1" t="e">
        <v>#N/A</v>
      </c>
      <c r="PT439" s="1" t="e">
        <v>#N/A</v>
      </c>
      <c r="PU439" s="1" t="e">
        <v>#N/A</v>
      </c>
      <c r="PV439" s="1" t="e">
        <v>#N/A</v>
      </c>
      <c r="PW439" s="1" t="e">
        <v>#N/A</v>
      </c>
      <c r="PX439" s="1" t="e">
        <v>#N/A</v>
      </c>
      <c r="PY439" s="1" t="e">
        <v>#N/A</v>
      </c>
      <c r="PZ439" s="1" t="e">
        <v>#N/A</v>
      </c>
      <c r="QA439" s="1" t="e">
        <v>#N/A</v>
      </c>
      <c r="QB439" s="1" t="e">
        <v>#N/A</v>
      </c>
      <c r="QC439" s="1" t="e">
        <v>#N/A</v>
      </c>
      <c r="QD439" s="1" t="e">
        <v>#N/A</v>
      </c>
      <c r="QE439" s="1" t="e">
        <v>#N/A</v>
      </c>
      <c r="QF439" s="1" t="e">
        <v>#N/A</v>
      </c>
      <c r="QG439" s="1" t="e">
        <v>#N/A</v>
      </c>
      <c r="QH439" s="1" t="e">
        <v>#N/A</v>
      </c>
      <c r="QI439" s="1" t="e">
        <v>#N/A</v>
      </c>
      <c r="QJ439" s="1" t="e">
        <v>#N/A</v>
      </c>
      <c r="QK439" s="1" t="e">
        <v>#N/A</v>
      </c>
      <c r="QL439" s="1" t="e">
        <v>#N/A</v>
      </c>
      <c r="QM439" s="1" t="e">
        <v>#N/A</v>
      </c>
      <c r="QN439" s="1" t="e">
        <v>#N/A</v>
      </c>
      <c r="QO439" s="1" t="e">
        <v>#N/A</v>
      </c>
      <c r="QP439" s="1" t="e">
        <v>#N/A</v>
      </c>
    </row>
    <row r="440" spans="1:458" ht="26.25" x14ac:dyDescent="0.4">
      <c r="A440" s="347"/>
      <c r="B440" s="348"/>
      <c r="C440" s="288"/>
      <c r="D440" s="349"/>
      <c r="E440" s="350"/>
      <c r="F440" s="351"/>
      <c r="G440" s="352"/>
      <c r="H440" s="348"/>
      <c r="I440" s="353"/>
      <c r="J440" s="353"/>
      <c r="PJ440" s="1" t="e">
        <v>#N/A</v>
      </c>
      <c r="PK440" s="1" t="e">
        <v>#N/A</v>
      </c>
      <c r="PL440" s="1" t="e">
        <v>#N/A</v>
      </c>
      <c r="PM440" s="1" t="e">
        <v>#N/A</v>
      </c>
      <c r="PN440" s="1" t="e">
        <v>#N/A</v>
      </c>
      <c r="PO440" s="1" t="e">
        <v>#N/A</v>
      </c>
      <c r="PP440" s="1" t="e">
        <v>#N/A</v>
      </c>
      <c r="PQ440" s="1" t="e">
        <v>#N/A</v>
      </c>
      <c r="PR440" s="1" t="e">
        <v>#N/A</v>
      </c>
      <c r="PS440" s="1" t="e">
        <v>#N/A</v>
      </c>
      <c r="PT440" s="1" t="e">
        <v>#N/A</v>
      </c>
      <c r="PU440" s="1" t="e">
        <v>#N/A</v>
      </c>
      <c r="PV440" s="1" t="e">
        <v>#N/A</v>
      </c>
      <c r="PW440" s="1" t="e">
        <v>#N/A</v>
      </c>
      <c r="PX440" s="1" t="e">
        <v>#N/A</v>
      </c>
      <c r="PY440" s="1" t="e">
        <v>#N/A</v>
      </c>
      <c r="PZ440" s="1" t="e">
        <v>#N/A</v>
      </c>
      <c r="QA440" s="1" t="e">
        <v>#N/A</v>
      </c>
      <c r="QB440" s="1" t="e">
        <v>#N/A</v>
      </c>
      <c r="QC440" s="1" t="e">
        <v>#N/A</v>
      </c>
      <c r="QD440" s="1" t="e">
        <v>#N/A</v>
      </c>
      <c r="QE440" s="1" t="e">
        <v>#N/A</v>
      </c>
      <c r="QF440" s="1" t="e">
        <v>#N/A</v>
      </c>
      <c r="QG440" s="1" t="e">
        <v>#N/A</v>
      </c>
      <c r="QH440" s="1" t="e">
        <v>#N/A</v>
      </c>
      <c r="QI440" s="1" t="e">
        <v>#N/A</v>
      </c>
      <c r="QJ440" s="1" t="e">
        <v>#N/A</v>
      </c>
      <c r="QK440" s="1" t="e">
        <v>#N/A</v>
      </c>
      <c r="QL440" s="1" t="e">
        <v>#N/A</v>
      </c>
      <c r="QM440" s="1" t="e">
        <v>#N/A</v>
      </c>
      <c r="QN440" s="1" t="e">
        <v>#N/A</v>
      </c>
      <c r="QO440" s="1" t="e">
        <v>#N/A</v>
      </c>
      <c r="QP440" s="1" t="e">
        <v>#N/A</v>
      </c>
    </row>
    <row r="441" spans="1:458" ht="26.25" x14ac:dyDescent="0.4">
      <c r="A441" s="347"/>
      <c r="B441" s="348"/>
      <c r="C441" s="288"/>
      <c r="D441" s="349"/>
      <c r="E441" s="350"/>
      <c r="F441" s="351"/>
      <c r="G441" s="352"/>
      <c r="H441" s="348"/>
      <c r="I441" s="353"/>
      <c r="J441" s="353"/>
      <c r="PJ441" s="1" t="e">
        <v>#N/A</v>
      </c>
      <c r="PK441" s="1" t="e">
        <v>#N/A</v>
      </c>
      <c r="PL441" s="1" t="e">
        <v>#N/A</v>
      </c>
      <c r="PM441" s="1" t="e">
        <v>#N/A</v>
      </c>
      <c r="PN441" s="1" t="e">
        <v>#N/A</v>
      </c>
      <c r="PO441" s="1" t="e">
        <v>#N/A</v>
      </c>
      <c r="PP441" s="1" t="e">
        <v>#N/A</v>
      </c>
      <c r="PQ441" s="1" t="e">
        <v>#N/A</v>
      </c>
      <c r="PR441" s="1" t="e">
        <v>#N/A</v>
      </c>
      <c r="PS441" s="1" t="e">
        <v>#N/A</v>
      </c>
      <c r="PT441" s="1" t="e">
        <v>#N/A</v>
      </c>
      <c r="PU441" s="1" t="e">
        <v>#N/A</v>
      </c>
      <c r="PV441" s="1" t="e">
        <v>#N/A</v>
      </c>
      <c r="PW441" s="1" t="e">
        <v>#N/A</v>
      </c>
      <c r="PX441" s="1" t="e">
        <v>#N/A</v>
      </c>
      <c r="PY441" s="1" t="e">
        <v>#N/A</v>
      </c>
      <c r="PZ441" s="1" t="e">
        <v>#N/A</v>
      </c>
      <c r="QA441" s="1" t="e">
        <v>#N/A</v>
      </c>
      <c r="QB441" s="1" t="e">
        <v>#N/A</v>
      </c>
      <c r="QC441" s="1" t="e">
        <v>#N/A</v>
      </c>
      <c r="QD441" s="1" t="e">
        <v>#N/A</v>
      </c>
      <c r="QE441" s="1" t="e">
        <v>#N/A</v>
      </c>
      <c r="QF441" s="1" t="e">
        <v>#N/A</v>
      </c>
      <c r="QG441" s="1" t="e">
        <v>#N/A</v>
      </c>
      <c r="QH441" s="1" t="e">
        <v>#N/A</v>
      </c>
      <c r="QI441" s="1" t="e">
        <v>#N/A</v>
      </c>
      <c r="QJ441" s="1" t="e">
        <v>#N/A</v>
      </c>
      <c r="QK441" s="1" t="e">
        <v>#N/A</v>
      </c>
      <c r="QL441" s="1" t="e">
        <v>#N/A</v>
      </c>
      <c r="QM441" s="1" t="e">
        <v>#N/A</v>
      </c>
      <c r="QN441" s="1" t="e">
        <v>#N/A</v>
      </c>
      <c r="QO441" s="1" t="e">
        <v>#N/A</v>
      </c>
      <c r="QP441" s="1" t="e">
        <v>#N/A</v>
      </c>
    </row>
    <row r="442" spans="1:458" ht="26.25" x14ac:dyDescent="0.4">
      <c r="A442" s="347"/>
      <c r="B442" s="348"/>
      <c r="C442" s="288"/>
      <c r="D442" s="349"/>
      <c r="E442" s="350"/>
      <c r="F442" s="351"/>
      <c r="G442" s="352"/>
      <c r="H442" s="348"/>
      <c r="I442" s="353"/>
      <c r="J442" s="353"/>
      <c r="PJ442" s="1" t="e">
        <v>#N/A</v>
      </c>
      <c r="PK442" s="1" t="e">
        <v>#N/A</v>
      </c>
      <c r="PL442" s="1" t="e">
        <v>#N/A</v>
      </c>
      <c r="PM442" s="1" t="e">
        <v>#N/A</v>
      </c>
      <c r="PN442" s="1" t="e">
        <v>#N/A</v>
      </c>
      <c r="PO442" s="1" t="e">
        <v>#N/A</v>
      </c>
      <c r="PP442" s="1" t="e">
        <v>#N/A</v>
      </c>
      <c r="PQ442" s="1" t="e">
        <v>#N/A</v>
      </c>
      <c r="PR442" s="1" t="e">
        <v>#N/A</v>
      </c>
      <c r="PS442" s="1" t="e">
        <v>#N/A</v>
      </c>
      <c r="PT442" s="1" t="e">
        <v>#N/A</v>
      </c>
      <c r="PU442" s="1" t="e">
        <v>#N/A</v>
      </c>
      <c r="PV442" s="1" t="e">
        <v>#N/A</v>
      </c>
      <c r="PW442" s="1" t="e">
        <v>#N/A</v>
      </c>
      <c r="PX442" s="1" t="e">
        <v>#N/A</v>
      </c>
      <c r="PY442" s="1" t="e">
        <v>#N/A</v>
      </c>
      <c r="PZ442" s="1" t="e">
        <v>#N/A</v>
      </c>
      <c r="QA442" s="1" t="e">
        <v>#N/A</v>
      </c>
      <c r="QB442" s="1" t="e">
        <v>#N/A</v>
      </c>
      <c r="QC442" s="1" t="e">
        <v>#N/A</v>
      </c>
      <c r="QD442" s="1" t="e">
        <v>#N/A</v>
      </c>
      <c r="QE442" s="1" t="e">
        <v>#N/A</v>
      </c>
      <c r="QF442" s="1" t="e">
        <v>#N/A</v>
      </c>
      <c r="QG442" s="1" t="e">
        <v>#N/A</v>
      </c>
      <c r="QH442" s="1" t="e">
        <v>#N/A</v>
      </c>
      <c r="QI442" s="1" t="e">
        <v>#N/A</v>
      </c>
      <c r="QJ442" s="1" t="e">
        <v>#N/A</v>
      </c>
      <c r="QK442" s="1" t="e">
        <v>#N/A</v>
      </c>
      <c r="QL442" s="1" t="e">
        <v>#N/A</v>
      </c>
      <c r="QM442" s="1" t="e">
        <v>#N/A</v>
      </c>
      <c r="QN442" s="1" t="e">
        <v>#N/A</v>
      </c>
      <c r="QO442" s="1" t="e">
        <v>#N/A</v>
      </c>
      <c r="QP442" s="1" t="e">
        <v>#N/A</v>
      </c>
    </row>
    <row r="443" spans="1:458" ht="26.25" x14ac:dyDescent="0.4">
      <c r="A443" s="347"/>
      <c r="B443" s="348"/>
      <c r="C443" s="288"/>
      <c r="D443" s="349"/>
      <c r="E443" s="350"/>
      <c r="F443" s="351"/>
      <c r="G443" s="352"/>
      <c r="H443" s="348"/>
      <c r="I443" s="353"/>
      <c r="J443" s="353"/>
      <c r="PJ443" s="1" t="e">
        <v>#N/A</v>
      </c>
      <c r="PK443" s="1" t="e">
        <v>#N/A</v>
      </c>
      <c r="PL443" s="1" t="e">
        <v>#N/A</v>
      </c>
      <c r="PM443" s="1" t="e">
        <v>#N/A</v>
      </c>
      <c r="PN443" s="1" t="e">
        <v>#N/A</v>
      </c>
      <c r="PO443" s="1" t="e">
        <v>#N/A</v>
      </c>
      <c r="PP443" s="1" t="e">
        <v>#N/A</v>
      </c>
      <c r="PQ443" s="1" t="e">
        <v>#N/A</v>
      </c>
      <c r="PR443" s="1" t="e">
        <v>#N/A</v>
      </c>
      <c r="PS443" s="1" t="e">
        <v>#N/A</v>
      </c>
      <c r="PT443" s="1" t="e">
        <v>#N/A</v>
      </c>
      <c r="PU443" s="1" t="e">
        <v>#N/A</v>
      </c>
      <c r="PV443" s="1" t="e">
        <v>#N/A</v>
      </c>
      <c r="PW443" s="1" t="e">
        <v>#N/A</v>
      </c>
      <c r="PX443" s="1" t="e">
        <v>#N/A</v>
      </c>
      <c r="PY443" s="1" t="e">
        <v>#N/A</v>
      </c>
      <c r="PZ443" s="1" t="e">
        <v>#N/A</v>
      </c>
      <c r="QA443" s="1" t="e">
        <v>#N/A</v>
      </c>
      <c r="QB443" s="1" t="e">
        <v>#N/A</v>
      </c>
      <c r="QC443" s="1" t="e">
        <v>#N/A</v>
      </c>
      <c r="QD443" s="1" t="e">
        <v>#N/A</v>
      </c>
      <c r="QE443" s="1" t="e">
        <v>#N/A</v>
      </c>
      <c r="QF443" s="1" t="e">
        <v>#N/A</v>
      </c>
      <c r="QG443" s="1" t="e">
        <v>#N/A</v>
      </c>
      <c r="QH443" s="1" t="e">
        <v>#N/A</v>
      </c>
      <c r="QI443" s="1" t="e">
        <v>#N/A</v>
      </c>
      <c r="QJ443" s="1" t="e">
        <v>#N/A</v>
      </c>
      <c r="QK443" s="1" t="e">
        <v>#N/A</v>
      </c>
      <c r="QL443" s="1" t="e">
        <v>#N/A</v>
      </c>
      <c r="QM443" s="1" t="e">
        <v>#N/A</v>
      </c>
      <c r="QN443" s="1" t="e">
        <v>#N/A</v>
      </c>
      <c r="QO443" s="1" t="e">
        <v>#N/A</v>
      </c>
      <c r="QP443" s="1" t="e">
        <v>#N/A</v>
      </c>
    </row>
    <row r="444" spans="1:458" ht="26.25" x14ac:dyDescent="0.4">
      <c r="A444" s="347"/>
      <c r="B444" s="348"/>
      <c r="C444" s="288"/>
      <c r="D444" s="349"/>
      <c r="E444" s="350"/>
      <c r="F444" s="351"/>
      <c r="G444" s="352"/>
      <c r="H444" s="348"/>
      <c r="I444" s="353"/>
      <c r="J444" s="353"/>
      <c r="PJ444" s="1" t="e">
        <v>#N/A</v>
      </c>
      <c r="PK444" s="1" t="e">
        <v>#N/A</v>
      </c>
      <c r="PL444" s="1" t="e">
        <v>#N/A</v>
      </c>
      <c r="PM444" s="1" t="e">
        <v>#N/A</v>
      </c>
      <c r="PN444" s="1" t="e">
        <v>#N/A</v>
      </c>
      <c r="PO444" s="1" t="e">
        <v>#N/A</v>
      </c>
      <c r="PP444" s="1" t="e">
        <v>#N/A</v>
      </c>
      <c r="PQ444" s="1" t="e">
        <v>#N/A</v>
      </c>
      <c r="PR444" s="1" t="e">
        <v>#N/A</v>
      </c>
      <c r="PS444" s="1" t="e">
        <v>#N/A</v>
      </c>
      <c r="PT444" s="1" t="e">
        <v>#N/A</v>
      </c>
      <c r="PU444" s="1" t="e">
        <v>#N/A</v>
      </c>
      <c r="PV444" s="1" t="e">
        <v>#N/A</v>
      </c>
      <c r="PW444" s="1" t="e">
        <v>#N/A</v>
      </c>
      <c r="PX444" s="1" t="e">
        <v>#N/A</v>
      </c>
      <c r="PY444" s="1" t="e">
        <v>#N/A</v>
      </c>
      <c r="PZ444" s="1" t="e">
        <v>#N/A</v>
      </c>
      <c r="QA444" s="1" t="e">
        <v>#N/A</v>
      </c>
      <c r="QB444" s="1" t="e">
        <v>#N/A</v>
      </c>
      <c r="QC444" s="1" t="e">
        <v>#N/A</v>
      </c>
      <c r="QD444" s="1" t="e">
        <v>#N/A</v>
      </c>
      <c r="QE444" s="1" t="e">
        <v>#N/A</v>
      </c>
      <c r="QF444" s="1" t="e">
        <v>#N/A</v>
      </c>
      <c r="QG444" s="1" t="e">
        <v>#N/A</v>
      </c>
      <c r="QH444" s="1" t="e">
        <v>#N/A</v>
      </c>
      <c r="QI444" s="1" t="e">
        <v>#N/A</v>
      </c>
      <c r="QJ444" s="1" t="e">
        <v>#N/A</v>
      </c>
      <c r="QK444" s="1" t="e">
        <v>#N/A</v>
      </c>
      <c r="QL444" s="1" t="e">
        <v>#N/A</v>
      </c>
      <c r="QM444" s="1" t="e">
        <v>#N/A</v>
      </c>
      <c r="QN444" s="1" t="e">
        <v>#N/A</v>
      </c>
      <c r="QO444" s="1" t="e">
        <v>#N/A</v>
      </c>
      <c r="QP444" s="1" t="e">
        <v>#N/A</v>
      </c>
    </row>
    <row r="445" spans="1:458" ht="26.25" x14ac:dyDescent="0.4">
      <c r="A445" s="347"/>
      <c r="B445" s="348"/>
      <c r="C445" s="288"/>
      <c r="D445" s="349"/>
      <c r="E445" s="350"/>
      <c r="F445" s="351"/>
      <c r="G445" s="352"/>
      <c r="H445" s="348"/>
      <c r="I445" s="353"/>
      <c r="J445" s="353"/>
      <c r="PJ445" s="1" t="e">
        <v>#N/A</v>
      </c>
      <c r="PK445" s="1" t="e">
        <v>#N/A</v>
      </c>
      <c r="PL445" s="1" t="e">
        <v>#N/A</v>
      </c>
      <c r="PM445" s="1" t="e">
        <v>#N/A</v>
      </c>
      <c r="PN445" s="1" t="e">
        <v>#N/A</v>
      </c>
      <c r="PO445" s="1" t="e">
        <v>#N/A</v>
      </c>
      <c r="PP445" s="1" t="e">
        <v>#N/A</v>
      </c>
      <c r="PQ445" s="1" t="e">
        <v>#N/A</v>
      </c>
      <c r="PR445" s="1" t="e">
        <v>#N/A</v>
      </c>
      <c r="PS445" s="1" t="e">
        <v>#N/A</v>
      </c>
      <c r="PT445" s="1" t="e">
        <v>#N/A</v>
      </c>
      <c r="PU445" s="1" t="e">
        <v>#N/A</v>
      </c>
      <c r="PV445" s="1" t="e">
        <v>#N/A</v>
      </c>
      <c r="PW445" s="1" t="e">
        <v>#N/A</v>
      </c>
      <c r="PX445" s="1" t="e">
        <v>#N/A</v>
      </c>
      <c r="PY445" s="1" t="e">
        <v>#N/A</v>
      </c>
      <c r="PZ445" s="1" t="e">
        <v>#N/A</v>
      </c>
      <c r="QA445" s="1" t="e">
        <v>#N/A</v>
      </c>
      <c r="QB445" s="1" t="e">
        <v>#N/A</v>
      </c>
      <c r="QC445" s="1" t="e">
        <v>#N/A</v>
      </c>
      <c r="QD445" s="1" t="e">
        <v>#N/A</v>
      </c>
      <c r="QE445" s="1" t="e">
        <v>#N/A</v>
      </c>
      <c r="QF445" s="1" t="e">
        <v>#N/A</v>
      </c>
      <c r="QG445" s="1" t="e">
        <v>#N/A</v>
      </c>
      <c r="QH445" s="1" t="e">
        <v>#N/A</v>
      </c>
      <c r="QI445" s="1" t="e">
        <v>#N/A</v>
      </c>
      <c r="QJ445" s="1" t="e">
        <v>#N/A</v>
      </c>
      <c r="QK445" s="1" t="e">
        <v>#N/A</v>
      </c>
      <c r="QL445" s="1" t="e">
        <v>#N/A</v>
      </c>
      <c r="QM445" s="1" t="e">
        <v>#N/A</v>
      </c>
      <c r="QN445" s="1" t="e">
        <v>#N/A</v>
      </c>
      <c r="QO445" s="1" t="e">
        <v>#N/A</v>
      </c>
      <c r="QP445" s="1" t="e">
        <v>#N/A</v>
      </c>
    </row>
    <row r="446" spans="1:458" ht="26.25" x14ac:dyDescent="0.4">
      <c r="A446" s="347"/>
      <c r="B446" s="348"/>
      <c r="C446" s="288"/>
      <c r="D446" s="349"/>
      <c r="E446" s="350"/>
      <c r="F446" s="351"/>
      <c r="G446" s="352"/>
      <c r="H446" s="348"/>
      <c r="I446" s="353"/>
      <c r="J446" s="353"/>
      <c r="PJ446" s="1" t="e">
        <v>#N/A</v>
      </c>
      <c r="PK446" s="1" t="e">
        <v>#N/A</v>
      </c>
      <c r="PL446" s="1" t="e">
        <v>#N/A</v>
      </c>
      <c r="PM446" s="1" t="e">
        <v>#N/A</v>
      </c>
      <c r="PN446" s="1" t="e">
        <v>#N/A</v>
      </c>
      <c r="PO446" s="1" t="e">
        <v>#N/A</v>
      </c>
      <c r="PP446" s="1" t="e">
        <v>#N/A</v>
      </c>
      <c r="PQ446" s="1" t="e">
        <v>#N/A</v>
      </c>
      <c r="PR446" s="1" t="e">
        <v>#N/A</v>
      </c>
      <c r="PS446" s="1" t="e">
        <v>#N/A</v>
      </c>
      <c r="PT446" s="1" t="e">
        <v>#N/A</v>
      </c>
      <c r="PU446" s="1" t="e">
        <v>#N/A</v>
      </c>
      <c r="PV446" s="1" t="e">
        <v>#N/A</v>
      </c>
      <c r="PW446" s="1" t="e">
        <v>#N/A</v>
      </c>
      <c r="PX446" s="1" t="e">
        <v>#N/A</v>
      </c>
      <c r="PY446" s="1" t="e">
        <v>#N/A</v>
      </c>
      <c r="PZ446" s="1" t="e">
        <v>#N/A</v>
      </c>
      <c r="QA446" s="1" t="e">
        <v>#N/A</v>
      </c>
      <c r="QB446" s="1" t="e">
        <v>#N/A</v>
      </c>
      <c r="QC446" s="1" t="e">
        <v>#N/A</v>
      </c>
      <c r="QD446" s="1" t="e">
        <v>#N/A</v>
      </c>
      <c r="QE446" s="1" t="e">
        <v>#N/A</v>
      </c>
      <c r="QF446" s="1" t="e">
        <v>#N/A</v>
      </c>
      <c r="QG446" s="1" t="e">
        <v>#N/A</v>
      </c>
      <c r="QH446" s="1" t="e">
        <v>#N/A</v>
      </c>
      <c r="QI446" s="1" t="e">
        <v>#N/A</v>
      </c>
      <c r="QJ446" s="1" t="e">
        <v>#N/A</v>
      </c>
      <c r="QK446" s="1" t="e">
        <v>#N/A</v>
      </c>
      <c r="QL446" s="1" t="e">
        <v>#N/A</v>
      </c>
      <c r="QM446" s="1" t="e">
        <v>#N/A</v>
      </c>
      <c r="QN446" s="1" t="e">
        <v>#N/A</v>
      </c>
      <c r="QO446" s="1" t="e">
        <v>#N/A</v>
      </c>
      <c r="QP446" s="1" t="e">
        <v>#N/A</v>
      </c>
    </row>
    <row r="447" spans="1:458" ht="26.25" x14ac:dyDescent="0.4">
      <c r="A447" s="347"/>
      <c r="B447" s="348"/>
      <c r="C447" s="288"/>
      <c r="D447" s="349"/>
      <c r="E447" s="350"/>
      <c r="F447" s="351"/>
      <c r="G447" s="352"/>
      <c r="H447" s="348"/>
      <c r="I447" s="353"/>
      <c r="J447" s="353"/>
      <c r="PJ447" s="1" t="e">
        <v>#N/A</v>
      </c>
      <c r="PK447" s="1" t="e">
        <v>#N/A</v>
      </c>
      <c r="PL447" s="1" t="e">
        <v>#N/A</v>
      </c>
      <c r="PM447" s="1" t="e">
        <v>#N/A</v>
      </c>
      <c r="PN447" s="1" t="e">
        <v>#N/A</v>
      </c>
      <c r="PO447" s="1" t="e">
        <v>#N/A</v>
      </c>
      <c r="PP447" s="1" t="e">
        <v>#N/A</v>
      </c>
      <c r="PQ447" s="1" t="e">
        <v>#N/A</v>
      </c>
      <c r="PR447" s="1" t="e">
        <v>#N/A</v>
      </c>
      <c r="PS447" s="1" t="e">
        <v>#N/A</v>
      </c>
      <c r="PT447" s="1" t="e">
        <v>#N/A</v>
      </c>
      <c r="PU447" s="1" t="e">
        <v>#N/A</v>
      </c>
      <c r="PV447" s="1" t="e">
        <v>#N/A</v>
      </c>
      <c r="PW447" s="1" t="e">
        <v>#N/A</v>
      </c>
      <c r="PX447" s="1" t="e">
        <v>#N/A</v>
      </c>
      <c r="PY447" s="1" t="e">
        <v>#N/A</v>
      </c>
      <c r="PZ447" s="1" t="e">
        <v>#N/A</v>
      </c>
      <c r="QA447" s="1" t="e">
        <v>#N/A</v>
      </c>
      <c r="QB447" s="1" t="e">
        <v>#N/A</v>
      </c>
      <c r="QC447" s="1" t="e">
        <v>#N/A</v>
      </c>
      <c r="QD447" s="1" t="e">
        <v>#N/A</v>
      </c>
      <c r="QE447" s="1" t="e">
        <v>#N/A</v>
      </c>
      <c r="QF447" s="1" t="e">
        <v>#N/A</v>
      </c>
      <c r="QG447" s="1" t="e">
        <v>#N/A</v>
      </c>
      <c r="QH447" s="1" t="e">
        <v>#N/A</v>
      </c>
      <c r="QI447" s="1" t="e">
        <v>#N/A</v>
      </c>
      <c r="QJ447" s="1" t="e">
        <v>#N/A</v>
      </c>
      <c r="QK447" s="1" t="e">
        <v>#N/A</v>
      </c>
      <c r="QL447" s="1" t="e">
        <v>#N/A</v>
      </c>
      <c r="QM447" s="1" t="e">
        <v>#N/A</v>
      </c>
      <c r="QN447" s="1" t="e">
        <v>#N/A</v>
      </c>
      <c r="QO447" s="1" t="e">
        <v>#N/A</v>
      </c>
      <c r="QP447" s="1" t="e">
        <v>#N/A</v>
      </c>
    </row>
    <row r="448" spans="1:458" ht="26.25" x14ac:dyDescent="0.4">
      <c r="A448" s="347"/>
      <c r="B448" s="348"/>
      <c r="C448" s="288"/>
      <c r="D448" s="349"/>
      <c r="E448" s="350"/>
      <c r="F448" s="351"/>
      <c r="G448" s="352"/>
      <c r="H448" s="348"/>
      <c r="I448" s="353"/>
      <c r="J448" s="353"/>
      <c r="PJ448" s="1" t="e">
        <v>#N/A</v>
      </c>
      <c r="PK448" s="1" t="e">
        <v>#N/A</v>
      </c>
      <c r="PL448" s="1" t="e">
        <v>#N/A</v>
      </c>
      <c r="PM448" s="1" t="e">
        <v>#N/A</v>
      </c>
      <c r="PN448" s="1" t="e">
        <v>#N/A</v>
      </c>
      <c r="PO448" s="1" t="e">
        <v>#N/A</v>
      </c>
      <c r="PP448" s="1" t="e">
        <v>#N/A</v>
      </c>
      <c r="PQ448" s="1" t="e">
        <v>#N/A</v>
      </c>
      <c r="PR448" s="1" t="e">
        <v>#N/A</v>
      </c>
      <c r="PS448" s="1" t="e">
        <v>#N/A</v>
      </c>
      <c r="PT448" s="1" t="e">
        <v>#N/A</v>
      </c>
      <c r="PU448" s="1" t="e">
        <v>#N/A</v>
      </c>
      <c r="PV448" s="1" t="e">
        <v>#N/A</v>
      </c>
      <c r="PW448" s="1" t="e">
        <v>#N/A</v>
      </c>
      <c r="PX448" s="1" t="e">
        <v>#N/A</v>
      </c>
      <c r="PY448" s="1" t="e">
        <v>#N/A</v>
      </c>
      <c r="PZ448" s="1" t="e">
        <v>#N/A</v>
      </c>
      <c r="QA448" s="1" t="e">
        <v>#N/A</v>
      </c>
      <c r="QB448" s="1" t="e">
        <v>#N/A</v>
      </c>
      <c r="QC448" s="1" t="e">
        <v>#N/A</v>
      </c>
      <c r="QD448" s="1" t="e">
        <v>#N/A</v>
      </c>
      <c r="QE448" s="1" t="e">
        <v>#N/A</v>
      </c>
      <c r="QF448" s="1" t="e">
        <v>#N/A</v>
      </c>
      <c r="QG448" s="1" t="e">
        <v>#N/A</v>
      </c>
      <c r="QH448" s="1" t="e">
        <v>#N/A</v>
      </c>
      <c r="QI448" s="1" t="e">
        <v>#N/A</v>
      </c>
      <c r="QJ448" s="1" t="e">
        <v>#N/A</v>
      </c>
      <c r="QK448" s="1" t="e">
        <v>#N/A</v>
      </c>
      <c r="QL448" s="1" t="e">
        <v>#N/A</v>
      </c>
      <c r="QM448" s="1" t="e">
        <v>#N/A</v>
      </c>
      <c r="QN448" s="1" t="e">
        <v>#N/A</v>
      </c>
      <c r="QO448" s="1" t="e">
        <v>#N/A</v>
      </c>
      <c r="QP448" s="1" t="e">
        <v>#N/A</v>
      </c>
    </row>
    <row r="449" spans="1:458" ht="26.25" x14ac:dyDescent="0.4">
      <c r="A449" s="347"/>
      <c r="B449" s="348"/>
      <c r="C449" s="288"/>
      <c r="D449" s="349"/>
      <c r="E449" s="350"/>
      <c r="F449" s="351"/>
      <c r="G449" s="352"/>
      <c r="H449" s="348"/>
      <c r="I449" s="353"/>
      <c r="J449" s="353"/>
      <c r="PJ449" s="1" t="e">
        <v>#N/A</v>
      </c>
      <c r="PK449" s="1" t="e">
        <v>#N/A</v>
      </c>
      <c r="PL449" s="1" t="e">
        <v>#N/A</v>
      </c>
      <c r="PM449" s="1" t="e">
        <v>#N/A</v>
      </c>
      <c r="PN449" s="1" t="e">
        <v>#N/A</v>
      </c>
      <c r="PO449" s="1" t="e">
        <v>#N/A</v>
      </c>
      <c r="PP449" s="1" t="e">
        <v>#N/A</v>
      </c>
      <c r="PQ449" s="1" t="e">
        <v>#N/A</v>
      </c>
      <c r="PR449" s="1" t="e">
        <v>#N/A</v>
      </c>
      <c r="PS449" s="1" t="e">
        <v>#N/A</v>
      </c>
      <c r="PT449" s="1" t="e">
        <v>#N/A</v>
      </c>
      <c r="PU449" s="1" t="e">
        <v>#N/A</v>
      </c>
      <c r="PV449" s="1" t="e">
        <v>#N/A</v>
      </c>
      <c r="PW449" s="1" t="e">
        <v>#N/A</v>
      </c>
      <c r="PX449" s="1" t="e">
        <v>#N/A</v>
      </c>
      <c r="PY449" s="1" t="e">
        <v>#N/A</v>
      </c>
      <c r="PZ449" s="1" t="e">
        <v>#N/A</v>
      </c>
      <c r="QA449" s="1" t="e">
        <v>#N/A</v>
      </c>
      <c r="QB449" s="1" t="e">
        <v>#N/A</v>
      </c>
      <c r="QC449" s="1" t="e">
        <v>#N/A</v>
      </c>
      <c r="QD449" s="1" t="e">
        <v>#N/A</v>
      </c>
      <c r="QE449" s="1" t="e">
        <v>#N/A</v>
      </c>
      <c r="QF449" s="1" t="e">
        <v>#N/A</v>
      </c>
      <c r="QG449" s="1" t="e">
        <v>#N/A</v>
      </c>
      <c r="QH449" s="1" t="e">
        <v>#N/A</v>
      </c>
      <c r="QI449" s="1" t="e">
        <v>#N/A</v>
      </c>
      <c r="QJ449" s="1" t="e">
        <v>#N/A</v>
      </c>
      <c r="QK449" s="1" t="e">
        <v>#N/A</v>
      </c>
      <c r="QL449" s="1" t="e">
        <v>#N/A</v>
      </c>
      <c r="QM449" s="1" t="e">
        <v>#N/A</v>
      </c>
      <c r="QN449" s="1" t="e">
        <v>#N/A</v>
      </c>
      <c r="QO449" s="1" t="e">
        <v>#N/A</v>
      </c>
      <c r="QP449" s="1" t="e">
        <v>#N/A</v>
      </c>
    </row>
    <row r="450" spans="1:458" ht="26.25" x14ac:dyDescent="0.4">
      <c r="A450" s="347"/>
      <c r="B450" s="348"/>
      <c r="C450" s="288"/>
      <c r="D450" s="349"/>
      <c r="E450" s="350"/>
      <c r="F450" s="351"/>
      <c r="G450" s="352"/>
      <c r="H450" s="348"/>
      <c r="I450" s="353"/>
      <c r="J450" s="353"/>
      <c r="PJ450" s="1" t="e">
        <v>#N/A</v>
      </c>
      <c r="PK450" s="1" t="e">
        <v>#N/A</v>
      </c>
      <c r="PL450" s="1" t="e">
        <v>#N/A</v>
      </c>
      <c r="PM450" s="1" t="e">
        <v>#N/A</v>
      </c>
      <c r="PN450" s="1" t="e">
        <v>#N/A</v>
      </c>
      <c r="PO450" s="1" t="e">
        <v>#N/A</v>
      </c>
      <c r="PP450" s="1" t="e">
        <v>#N/A</v>
      </c>
      <c r="PQ450" s="1" t="e">
        <v>#N/A</v>
      </c>
      <c r="PR450" s="1" t="e">
        <v>#N/A</v>
      </c>
      <c r="PS450" s="1" t="e">
        <v>#N/A</v>
      </c>
      <c r="PT450" s="1" t="e">
        <v>#N/A</v>
      </c>
      <c r="PU450" s="1" t="e">
        <v>#N/A</v>
      </c>
      <c r="PV450" s="1" t="e">
        <v>#N/A</v>
      </c>
      <c r="PW450" s="1" t="e">
        <v>#N/A</v>
      </c>
      <c r="PX450" s="1" t="e">
        <v>#N/A</v>
      </c>
      <c r="PY450" s="1" t="e">
        <v>#N/A</v>
      </c>
      <c r="PZ450" s="1" t="e">
        <v>#N/A</v>
      </c>
      <c r="QA450" s="1" t="e">
        <v>#N/A</v>
      </c>
      <c r="QB450" s="1" t="e">
        <v>#N/A</v>
      </c>
      <c r="QC450" s="1" t="e">
        <v>#N/A</v>
      </c>
      <c r="QD450" s="1" t="e">
        <v>#N/A</v>
      </c>
      <c r="QE450" s="1" t="e">
        <v>#N/A</v>
      </c>
      <c r="QF450" s="1" t="e">
        <v>#N/A</v>
      </c>
      <c r="QG450" s="1" t="e">
        <v>#N/A</v>
      </c>
      <c r="QH450" s="1" t="e">
        <v>#N/A</v>
      </c>
      <c r="QI450" s="1" t="e">
        <v>#N/A</v>
      </c>
      <c r="QJ450" s="1" t="e">
        <v>#N/A</v>
      </c>
      <c r="QK450" s="1" t="e">
        <v>#N/A</v>
      </c>
      <c r="QL450" s="1" t="e">
        <v>#N/A</v>
      </c>
      <c r="QM450" s="1" t="e">
        <v>#N/A</v>
      </c>
      <c r="QN450" s="1" t="e">
        <v>#N/A</v>
      </c>
      <c r="QO450" s="1" t="e">
        <v>#N/A</v>
      </c>
      <c r="QP450" s="1" t="e">
        <v>#N/A</v>
      </c>
    </row>
    <row r="451" spans="1:458" ht="26.25" x14ac:dyDescent="0.4">
      <c r="A451" s="347"/>
      <c r="B451" s="348"/>
      <c r="C451" s="288"/>
      <c r="D451" s="349"/>
      <c r="E451" s="350"/>
      <c r="F451" s="351"/>
      <c r="G451" s="352"/>
      <c r="H451" s="348"/>
      <c r="I451" s="353"/>
      <c r="J451" s="353"/>
      <c r="PJ451" s="1" t="e">
        <v>#N/A</v>
      </c>
      <c r="PK451" s="1" t="e">
        <v>#N/A</v>
      </c>
      <c r="PL451" s="1" t="e">
        <v>#N/A</v>
      </c>
      <c r="PM451" s="1" t="e">
        <v>#N/A</v>
      </c>
      <c r="PN451" s="1" t="e">
        <v>#N/A</v>
      </c>
      <c r="PO451" s="1" t="e">
        <v>#N/A</v>
      </c>
      <c r="PP451" s="1" t="e">
        <v>#N/A</v>
      </c>
      <c r="PQ451" s="1" t="e">
        <v>#N/A</v>
      </c>
      <c r="PR451" s="1" t="e">
        <v>#N/A</v>
      </c>
      <c r="PS451" s="1" t="e">
        <v>#N/A</v>
      </c>
      <c r="PT451" s="1" t="e">
        <v>#N/A</v>
      </c>
      <c r="PU451" s="1" t="e">
        <v>#N/A</v>
      </c>
      <c r="PV451" s="1" t="e">
        <v>#N/A</v>
      </c>
      <c r="PW451" s="1" t="e">
        <v>#N/A</v>
      </c>
      <c r="PX451" s="1" t="e">
        <v>#N/A</v>
      </c>
      <c r="PY451" s="1" t="e">
        <v>#N/A</v>
      </c>
      <c r="PZ451" s="1" t="e">
        <v>#N/A</v>
      </c>
      <c r="QA451" s="1" t="e">
        <v>#N/A</v>
      </c>
      <c r="QB451" s="1" t="e">
        <v>#N/A</v>
      </c>
      <c r="QC451" s="1" t="e">
        <v>#N/A</v>
      </c>
      <c r="QD451" s="1" t="e">
        <v>#N/A</v>
      </c>
      <c r="QE451" s="1" t="e">
        <v>#N/A</v>
      </c>
      <c r="QF451" s="1" t="e">
        <v>#N/A</v>
      </c>
      <c r="QG451" s="1" t="e">
        <v>#N/A</v>
      </c>
      <c r="QH451" s="1" t="e">
        <v>#N/A</v>
      </c>
      <c r="QI451" s="1" t="e">
        <v>#N/A</v>
      </c>
      <c r="QJ451" s="1" t="e">
        <v>#N/A</v>
      </c>
      <c r="QK451" s="1" t="e">
        <v>#N/A</v>
      </c>
      <c r="QL451" s="1" t="e">
        <v>#N/A</v>
      </c>
      <c r="QM451" s="1" t="e">
        <v>#N/A</v>
      </c>
      <c r="QN451" s="1" t="e">
        <v>#N/A</v>
      </c>
      <c r="QO451" s="1" t="e">
        <v>#N/A</v>
      </c>
      <c r="QP451" s="1" t="e">
        <v>#N/A</v>
      </c>
    </row>
    <row r="452" spans="1:458" ht="26.25" x14ac:dyDescent="0.4">
      <c r="A452" s="347"/>
      <c r="B452" s="348"/>
      <c r="C452" s="288"/>
      <c r="D452" s="349"/>
      <c r="E452" s="350"/>
      <c r="F452" s="351"/>
      <c r="G452" s="352"/>
      <c r="H452" s="348"/>
      <c r="I452" s="353"/>
      <c r="J452" s="353"/>
      <c r="PJ452" s="1" t="e">
        <v>#N/A</v>
      </c>
      <c r="PK452" s="1" t="e">
        <v>#N/A</v>
      </c>
      <c r="PL452" s="1" t="e">
        <v>#N/A</v>
      </c>
      <c r="PM452" s="1" t="e">
        <v>#N/A</v>
      </c>
      <c r="PN452" s="1" t="e">
        <v>#N/A</v>
      </c>
      <c r="PO452" s="1" t="e">
        <v>#N/A</v>
      </c>
      <c r="PP452" s="1" t="e">
        <v>#N/A</v>
      </c>
      <c r="PQ452" s="1" t="e">
        <v>#N/A</v>
      </c>
      <c r="PR452" s="1" t="e">
        <v>#N/A</v>
      </c>
      <c r="PS452" s="1" t="e">
        <v>#N/A</v>
      </c>
      <c r="PT452" s="1" t="e">
        <v>#N/A</v>
      </c>
      <c r="PU452" s="1" t="e">
        <v>#N/A</v>
      </c>
      <c r="PV452" s="1" t="e">
        <v>#N/A</v>
      </c>
      <c r="PW452" s="1" t="e">
        <v>#N/A</v>
      </c>
      <c r="PX452" s="1" t="e">
        <v>#N/A</v>
      </c>
      <c r="PY452" s="1" t="e">
        <v>#N/A</v>
      </c>
      <c r="PZ452" s="1" t="e">
        <v>#N/A</v>
      </c>
      <c r="QA452" s="1" t="e">
        <v>#N/A</v>
      </c>
      <c r="QB452" s="1" t="e">
        <v>#N/A</v>
      </c>
      <c r="QC452" s="1" t="e">
        <v>#N/A</v>
      </c>
      <c r="QD452" s="1" t="e">
        <v>#N/A</v>
      </c>
      <c r="QE452" s="1" t="e">
        <v>#N/A</v>
      </c>
      <c r="QF452" s="1" t="e">
        <v>#N/A</v>
      </c>
      <c r="QG452" s="1" t="e">
        <v>#N/A</v>
      </c>
      <c r="QH452" s="1" t="e">
        <v>#N/A</v>
      </c>
      <c r="QI452" s="1" t="e">
        <v>#N/A</v>
      </c>
      <c r="QJ452" s="1" t="e">
        <v>#N/A</v>
      </c>
      <c r="QK452" s="1" t="e">
        <v>#N/A</v>
      </c>
      <c r="QL452" s="1" t="e">
        <v>#N/A</v>
      </c>
      <c r="QM452" s="1" t="e">
        <v>#N/A</v>
      </c>
      <c r="QN452" s="1" t="e">
        <v>#N/A</v>
      </c>
      <c r="QO452" s="1" t="e">
        <v>#N/A</v>
      </c>
      <c r="QP452" s="1" t="e">
        <v>#N/A</v>
      </c>
    </row>
    <row r="453" spans="1:458" ht="26.25" x14ac:dyDescent="0.4">
      <c r="A453" s="347"/>
      <c r="B453" s="348"/>
      <c r="C453" s="288"/>
      <c r="D453" s="349"/>
      <c r="E453" s="350"/>
      <c r="F453" s="351"/>
      <c r="G453" s="352"/>
      <c r="H453" s="348"/>
      <c r="I453" s="353"/>
      <c r="J453" s="353"/>
      <c r="PJ453" s="1" t="e">
        <v>#N/A</v>
      </c>
      <c r="PK453" s="1" t="e">
        <v>#N/A</v>
      </c>
      <c r="PL453" s="1" t="e">
        <v>#N/A</v>
      </c>
      <c r="PM453" s="1" t="e">
        <v>#N/A</v>
      </c>
      <c r="PN453" s="1" t="e">
        <v>#N/A</v>
      </c>
      <c r="PO453" s="1" t="e">
        <v>#N/A</v>
      </c>
      <c r="PP453" s="1" t="e">
        <v>#N/A</v>
      </c>
      <c r="PQ453" s="1" t="e">
        <v>#N/A</v>
      </c>
      <c r="PR453" s="1" t="e">
        <v>#N/A</v>
      </c>
      <c r="PS453" s="1" t="e">
        <v>#N/A</v>
      </c>
      <c r="PT453" s="1" t="e">
        <v>#N/A</v>
      </c>
      <c r="PU453" s="1" t="e">
        <v>#N/A</v>
      </c>
      <c r="PV453" s="1" t="e">
        <v>#N/A</v>
      </c>
      <c r="PW453" s="1" t="e">
        <v>#N/A</v>
      </c>
      <c r="PX453" s="1" t="e">
        <v>#N/A</v>
      </c>
      <c r="PY453" s="1" t="e">
        <v>#N/A</v>
      </c>
      <c r="PZ453" s="1" t="e">
        <v>#N/A</v>
      </c>
      <c r="QA453" s="1" t="e">
        <v>#N/A</v>
      </c>
      <c r="QB453" s="1" t="e">
        <v>#N/A</v>
      </c>
      <c r="QC453" s="1" t="e">
        <v>#N/A</v>
      </c>
      <c r="QD453" s="1" t="e">
        <v>#N/A</v>
      </c>
      <c r="QE453" s="1" t="e">
        <v>#N/A</v>
      </c>
      <c r="QF453" s="1" t="e">
        <v>#N/A</v>
      </c>
      <c r="QG453" s="1" t="e">
        <v>#N/A</v>
      </c>
      <c r="QH453" s="1" t="e">
        <v>#N/A</v>
      </c>
      <c r="QI453" s="1" t="e">
        <v>#N/A</v>
      </c>
      <c r="QJ453" s="1" t="e">
        <v>#N/A</v>
      </c>
      <c r="QK453" s="1" t="e">
        <v>#N/A</v>
      </c>
      <c r="QL453" s="1" t="e">
        <v>#N/A</v>
      </c>
      <c r="QM453" s="1" t="e">
        <v>#N/A</v>
      </c>
      <c r="QN453" s="1" t="e">
        <v>#N/A</v>
      </c>
      <c r="QO453" s="1" t="e">
        <v>#N/A</v>
      </c>
      <c r="QP453" s="1" t="e">
        <v>#N/A</v>
      </c>
    </row>
    <row r="454" spans="1:458" ht="26.25" x14ac:dyDescent="0.4">
      <c r="A454" s="347"/>
      <c r="B454" s="348"/>
      <c r="C454" s="288"/>
      <c r="D454" s="349"/>
      <c r="E454" s="350"/>
      <c r="F454" s="351"/>
      <c r="G454" s="352"/>
      <c r="H454" s="348"/>
      <c r="I454" s="353"/>
      <c r="J454" s="353"/>
      <c r="PJ454" s="1" t="e">
        <v>#N/A</v>
      </c>
      <c r="PK454" s="1" t="e">
        <v>#N/A</v>
      </c>
      <c r="PL454" s="1" t="e">
        <v>#N/A</v>
      </c>
      <c r="PM454" s="1" t="e">
        <v>#N/A</v>
      </c>
      <c r="PN454" s="1" t="e">
        <v>#N/A</v>
      </c>
      <c r="PO454" s="1" t="e">
        <v>#N/A</v>
      </c>
      <c r="PP454" s="1" t="e">
        <v>#N/A</v>
      </c>
      <c r="PQ454" s="1" t="e">
        <v>#N/A</v>
      </c>
      <c r="PR454" s="1" t="e">
        <v>#N/A</v>
      </c>
      <c r="PS454" s="1" t="e">
        <v>#N/A</v>
      </c>
      <c r="PT454" s="1" t="e">
        <v>#N/A</v>
      </c>
      <c r="PU454" s="1" t="e">
        <v>#N/A</v>
      </c>
      <c r="PV454" s="1" t="e">
        <v>#N/A</v>
      </c>
      <c r="PW454" s="1" t="e">
        <v>#N/A</v>
      </c>
      <c r="PX454" s="1" t="e">
        <v>#N/A</v>
      </c>
      <c r="PY454" s="1" t="e">
        <v>#N/A</v>
      </c>
      <c r="PZ454" s="1" t="e">
        <v>#N/A</v>
      </c>
      <c r="QA454" s="1" t="e">
        <v>#N/A</v>
      </c>
      <c r="QB454" s="1" t="e">
        <v>#N/A</v>
      </c>
      <c r="QC454" s="1" t="e">
        <v>#N/A</v>
      </c>
      <c r="QD454" s="1" t="e">
        <v>#N/A</v>
      </c>
      <c r="QE454" s="1" t="e">
        <v>#N/A</v>
      </c>
      <c r="QF454" s="1" t="e">
        <v>#N/A</v>
      </c>
      <c r="QG454" s="1" t="e">
        <v>#N/A</v>
      </c>
      <c r="QH454" s="1" t="e">
        <v>#N/A</v>
      </c>
      <c r="QI454" s="1" t="e">
        <v>#N/A</v>
      </c>
      <c r="QJ454" s="1" t="e">
        <v>#N/A</v>
      </c>
      <c r="QK454" s="1" t="e">
        <v>#N/A</v>
      </c>
      <c r="QL454" s="1" t="e">
        <v>#N/A</v>
      </c>
      <c r="QM454" s="1" t="e">
        <v>#N/A</v>
      </c>
      <c r="QN454" s="1" t="e">
        <v>#N/A</v>
      </c>
      <c r="QO454" s="1" t="e">
        <v>#N/A</v>
      </c>
      <c r="QP454" s="1" t="e">
        <v>#N/A</v>
      </c>
    </row>
    <row r="455" spans="1:458" ht="26.25" x14ac:dyDescent="0.4">
      <c r="A455" s="347"/>
      <c r="B455" s="348"/>
      <c r="C455" s="288"/>
      <c r="D455" s="349"/>
      <c r="E455" s="350"/>
      <c r="F455" s="351"/>
      <c r="G455" s="352"/>
      <c r="H455" s="348"/>
      <c r="I455" s="353"/>
      <c r="J455" s="353"/>
      <c r="PJ455" s="1" t="e">
        <v>#N/A</v>
      </c>
      <c r="PK455" s="1" t="e">
        <v>#N/A</v>
      </c>
      <c r="PL455" s="1" t="e">
        <v>#N/A</v>
      </c>
      <c r="PM455" s="1" t="e">
        <v>#N/A</v>
      </c>
      <c r="PN455" s="1" t="e">
        <v>#N/A</v>
      </c>
      <c r="PO455" s="1" t="e">
        <v>#N/A</v>
      </c>
      <c r="PP455" s="1" t="e">
        <v>#N/A</v>
      </c>
      <c r="PQ455" s="1" t="e">
        <v>#N/A</v>
      </c>
      <c r="PR455" s="1" t="e">
        <v>#N/A</v>
      </c>
      <c r="PS455" s="1" t="e">
        <v>#N/A</v>
      </c>
      <c r="PT455" s="1" t="e">
        <v>#N/A</v>
      </c>
      <c r="PU455" s="1" t="e">
        <v>#N/A</v>
      </c>
      <c r="PV455" s="1" t="e">
        <v>#N/A</v>
      </c>
      <c r="PW455" s="1" t="e">
        <v>#N/A</v>
      </c>
      <c r="PX455" s="1" t="e">
        <v>#N/A</v>
      </c>
      <c r="PY455" s="1" t="e">
        <v>#N/A</v>
      </c>
      <c r="PZ455" s="1" t="e">
        <v>#N/A</v>
      </c>
      <c r="QA455" s="1" t="e">
        <v>#N/A</v>
      </c>
      <c r="QB455" s="1" t="e">
        <v>#N/A</v>
      </c>
      <c r="QC455" s="1" t="e">
        <v>#N/A</v>
      </c>
      <c r="QD455" s="1" t="e">
        <v>#N/A</v>
      </c>
      <c r="QE455" s="1" t="e">
        <v>#N/A</v>
      </c>
      <c r="QF455" s="1" t="e">
        <v>#N/A</v>
      </c>
      <c r="QG455" s="1" t="e">
        <v>#N/A</v>
      </c>
      <c r="QH455" s="1" t="e">
        <v>#N/A</v>
      </c>
      <c r="QI455" s="1" t="e">
        <v>#N/A</v>
      </c>
      <c r="QJ455" s="1" t="e">
        <v>#N/A</v>
      </c>
      <c r="QK455" s="1" t="e">
        <v>#N/A</v>
      </c>
      <c r="QL455" s="1" t="e">
        <v>#N/A</v>
      </c>
      <c r="QM455" s="1" t="e">
        <v>#N/A</v>
      </c>
      <c r="QN455" s="1" t="e">
        <v>#N/A</v>
      </c>
      <c r="QO455" s="1" t="e">
        <v>#N/A</v>
      </c>
      <c r="QP455" s="1" t="e">
        <v>#N/A</v>
      </c>
    </row>
    <row r="456" spans="1:458" ht="26.25" x14ac:dyDescent="0.4">
      <c r="A456" s="347"/>
      <c r="B456" s="348"/>
      <c r="C456" s="288"/>
      <c r="D456" s="349"/>
      <c r="E456" s="350"/>
      <c r="F456" s="351"/>
      <c r="G456" s="352"/>
      <c r="H456" s="348"/>
      <c r="I456" s="353"/>
      <c r="J456" s="353"/>
      <c r="PJ456" s="1" t="e">
        <v>#N/A</v>
      </c>
      <c r="PK456" s="1" t="e">
        <v>#N/A</v>
      </c>
      <c r="PL456" s="1" t="e">
        <v>#N/A</v>
      </c>
      <c r="PM456" s="1" t="e">
        <v>#N/A</v>
      </c>
      <c r="PN456" s="1" t="e">
        <v>#N/A</v>
      </c>
      <c r="PO456" s="1" t="e">
        <v>#N/A</v>
      </c>
      <c r="PP456" s="1" t="e">
        <v>#N/A</v>
      </c>
      <c r="PQ456" s="1" t="e">
        <v>#N/A</v>
      </c>
      <c r="PR456" s="1" t="e">
        <v>#N/A</v>
      </c>
      <c r="PS456" s="1" t="e">
        <v>#N/A</v>
      </c>
      <c r="PT456" s="1" t="e">
        <v>#N/A</v>
      </c>
      <c r="PU456" s="1" t="e">
        <v>#N/A</v>
      </c>
      <c r="PV456" s="1" t="e">
        <v>#N/A</v>
      </c>
      <c r="PW456" s="1" t="e">
        <v>#N/A</v>
      </c>
      <c r="PX456" s="1" t="e">
        <v>#N/A</v>
      </c>
      <c r="PY456" s="1" t="e">
        <v>#N/A</v>
      </c>
      <c r="PZ456" s="1" t="e">
        <v>#N/A</v>
      </c>
      <c r="QA456" s="1" t="e">
        <v>#N/A</v>
      </c>
      <c r="QB456" s="1" t="e">
        <v>#N/A</v>
      </c>
      <c r="QC456" s="1" t="e">
        <v>#N/A</v>
      </c>
      <c r="QD456" s="1" t="e">
        <v>#N/A</v>
      </c>
      <c r="QE456" s="1" t="e">
        <v>#N/A</v>
      </c>
      <c r="QF456" s="1" t="e">
        <v>#N/A</v>
      </c>
      <c r="QG456" s="1" t="e">
        <v>#N/A</v>
      </c>
      <c r="QH456" s="1" t="e">
        <v>#N/A</v>
      </c>
      <c r="QI456" s="1" t="e">
        <v>#N/A</v>
      </c>
      <c r="QJ456" s="1" t="e">
        <v>#N/A</v>
      </c>
      <c r="QK456" s="1" t="e">
        <v>#N/A</v>
      </c>
      <c r="QL456" s="1" t="e">
        <v>#N/A</v>
      </c>
      <c r="QM456" s="1" t="e">
        <v>#N/A</v>
      </c>
      <c r="QN456" s="1" t="e">
        <v>#N/A</v>
      </c>
      <c r="QO456" s="1" t="e">
        <v>#N/A</v>
      </c>
      <c r="QP456" s="1" t="e">
        <v>#N/A</v>
      </c>
    </row>
    <row r="457" spans="1:458" ht="26.25" x14ac:dyDescent="0.4">
      <c r="A457" s="347"/>
      <c r="B457" s="348"/>
      <c r="C457" s="288"/>
      <c r="D457" s="349"/>
      <c r="E457" s="350"/>
      <c r="F457" s="351"/>
      <c r="G457" s="352"/>
      <c r="H457" s="348"/>
      <c r="I457" s="353"/>
      <c r="J457" s="353"/>
      <c r="PJ457" s="1" t="e">
        <v>#N/A</v>
      </c>
      <c r="PK457" s="1" t="e">
        <v>#N/A</v>
      </c>
      <c r="PL457" s="1" t="e">
        <v>#N/A</v>
      </c>
      <c r="PM457" s="1" t="e">
        <v>#N/A</v>
      </c>
      <c r="PN457" s="1" t="e">
        <v>#N/A</v>
      </c>
      <c r="PO457" s="1" t="e">
        <v>#N/A</v>
      </c>
      <c r="PP457" s="1" t="e">
        <v>#N/A</v>
      </c>
      <c r="PQ457" s="1" t="e">
        <v>#N/A</v>
      </c>
      <c r="PR457" s="1" t="e">
        <v>#N/A</v>
      </c>
      <c r="PS457" s="1" t="e">
        <v>#N/A</v>
      </c>
      <c r="PT457" s="1" t="e">
        <v>#N/A</v>
      </c>
      <c r="PU457" s="1" t="e">
        <v>#N/A</v>
      </c>
      <c r="PV457" s="1" t="e">
        <v>#N/A</v>
      </c>
      <c r="PW457" s="1" t="e">
        <v>#N/A</v>
      </c>
      <c r="PX457" s="1" t="e">
        <v>#N/A</v>
      </c>
      <c r="PY457" s="1" t="e">
        <v>#N/A</v>
      </c>
      <c r="PZ457" s="1" t="e">
        <v>#N/A</v>
      </c>
      <c r="QA457" s="1" t="e">
        <v>#N/A</v>
      </c>
      <c r="QB457" s="1" t="e">
        <v>#N/A</v>
      </c>
      <c r="QC457" s="1" t="e">
        <v>#N/A</v>
      </c>
      <c r="QD457" s="1" t="e">
        <v>#N/A</v>
      </c>
      <c r="QE457" s="1" t="e">
        <v>#N/A</v>
      </c>
      <c r="QF457" s="1" t="e">
        <v>#N/A</v>
      </c>
      <c r="QG457" s="1" t="e">
        <v>#N/A</v>
      </c>
      <c r="QH457" s="1" t="e">
        <v>#N/A</v>
      </c>
      <c r="QI457" s="1" t="e">
        <v>#N/A</v>
      </c>
      <c r="QJ457" s="1" t="e">
        <v>#N/A</v>
      </c>
      <c r="QK457" s="1" t="e">
        <v>#N/A</v>
      </c>
      <c r="QL457" s="1" t="e">
        <v>#N/A</v>
      </c>
      <c r="QM457" s="1" t="e">
        <v>#N/A</v>
      </c>
      <c r="QN457" s="1" t="e">
        <v>#N/A</v>
      </c>
      <c r="QO457" s="1" t="e">
        <v>#N/A</v>
      </c>
      <c r="QP457" s="1" t="e">
        <v>#N/A</v>
      </c>
    </row>
    <row r="458" spans="1:458" ht="26.25" x14ac:dyDescent="0.4">
      <c r="A458" s="347"/>
      <c r="B458" s="348"/>
      <c r="C458" s="288"/>
      <c r="D458" s="349"/>
      <c r="E458" s="350"/>
      <c r="F458" s="351"/>
      <c r="G458" s="352"/>
      <c r="H458" s="348"/>
      <c r="I458" s="353"/>
      <c r="J458" s="353"/>
      <c r="PJ458" s="1" t="e">
        <v>#N/A</v>
      </c>
      <c r="PK458" s="1" t="e">
        <v>#N/A</v>
      </c>
      <c r="PL458" s="1" t="e">
        <v>#N/A</v>
      </c>
      <c r="PM458" s="1" t="e">
        <v>#N/A</v>
      </c>
      <c r="PN458" s="1" t="e">
        <v>#N/A</v>
      </c>
      <c r="PO458" s="1" t="e">
        <v>#N/A</v>
      </c>
      <c r="PP458" s="1" t="e">
        <v>#N/A</v>
      </c>
      <c r="PQ458" s="1" t="e">
        <v>#N/A</v>
      </c>
      <c r="PR458" s="1" t="e">
        <v>#N/A</v>
      </c>
      <c r="PS458" s="1" t="e">
        <v>#N/A</v>
      </c>
      <c r="PT458" s="1" t="e">
        <v>#N/A</v>
      </c>
      <c r="PU458" s="1" t="e">
        <v>#N/A</v>
      </c>
      <c r="PV458" s="1" t="e">
        <v>#N/A</v>
      </c>
      <c r="PW458" s="1" t="e">
        <v>#N/A</v>
      </c>
      <c r="PX458" s="1" t="e">
        <v>#N/A</v>
      </c>
      <c r="PY458" s="1" t="e">
        <v>#N/A</v>
      </c>
      <c r="PZ458" s="1" t="e">
        <v>#N/A</v>
      </c>
      <c r="QA458" s="1" t="e">
        <v>#N/A</v>
      </c>
      <c r="QB458" s="1" t="e">
        <v>#N/A</v>
      </c>
      <c r="QC458" s="1" t="e">
        <v>#N/A</v>
      </c>
      <c r="QD458" s="1" t="e">
        <v>#N/A</v>
      </c>
      <c r="QE458" s="1" t="e">
        <v>#N/A</v>
      </c>
      <c r="QF458" s="1" t="e">
        <v>#N/A</v>
      </c>
      <c r="QG458" s="1" t="e">
        <v>#N/A</v>
      </c>
      <c r="QH458" s="1" t="e">
        <v>#N/A</v>
      </c>
      <c r="QI458" s="1" t="e">
        <v>#N/A</v>
      </c>
      <c r="QJ458" s="1" t="e">
        <v>#N/A</v>
      </c>
      <c r="QK458" s="1" t="e">
        <v>#N/A</v>
      </c>
      <c r="QL458" s="1" t="e">
        <v>#N/A</v>
      </c>
      <c r="QM458" s="1" t="e">
        <v>#N/A</v>
      </c>
      <c r="QN458" s="1" t="e">
        <v>#N/A</v>
      </c>
      <c r="QO458" s="1" t="e">
        <v>#N/A</v>
      </c>
      <c r="QP458" s="1" t="e">
        <v>#N/A</v>
      </c>
    </row>
    <row r="459" spans="1:458" ht="26.25" x14ac:dyDescent="0.4">
      <c r="A459" s="347"/>
      <c r="B459" s="348"/>
      <c r="C459" s="288"/>
      <c r="D459" s="349"/>
      <c r="E459" s="350"/>
      <c r="F459" s="351"/>
      <c r="G459" s="352"/>
      <c r="H459" s="348"/>
      <c r="I459" s="353"/>
      <c r="J459" s="353"/>
      <c r="PJ459" s="1" t="e">
        <v>#N/A</v>
      </c>
      <c r="PK459" s="1" t="e">
        <v>#N/A</v>
      </c>
      <c r="PL459" s="1" t="e">
        <v>#N/A</v>
      </c>
      <c r="PM459" s="1" t="e">
        <v>#N/A</v>
      </c>
      <c r="PN459" s="1" t="e">
        <v>#N/A</v>
      </c>
      <c r="PO459" s="1" t="e">
        <v>#N/A</v>
      </c>
      <c r="PP459" s="1" t="e">
        <v>#N/A</v>
      </c>
      <c r="PQ459" s="1" t="e">
        <v>#N/A</v>
      </c>
      <c r="PR459" s="1" t="e">
        <v>#N/A</v>
      </c>
      <c r="PS459" s="1" t="e">
        <v>#N/A</v>
      </c>
      <c r="PT459" s="1" t="e">
        <v>#N/A</v>
      </c>
      <c r="PU459" s="1" t="e">
        <v>#N/A</v>
      </c>
      <c r="PV459" s="1" t="e">
        <v>#N/A</v>
      </c>
      <c r="PW459" s="1" t="e">
        <v>#N/A</v>
      </c>
      <c r="PX459" s="1" t="e">
        <v>#N/A</v>
      </c>
      <c r="PY459" s="1" t="e">
        <v>#N/A</v>
      </c>
      <c r="PZ459" s="1" t="e">
        <v>#N/A</v>
      </c>
      <c r="QA459" s="1" t="e">
        <v>#N/A</v>
      </c>
      <c r="QB459" s="1" t="e">
        <v>#N/A</v>
      </c>
      <c r="QC459" s="1" t="e">
        <v>#N/A</v>
      </c>
      <c r="QD459" s="1" t="e">
        <v>#N/A</v>
      </c>
      <c r="QE459" s="1" t="e">
        <v>#N/A</v>
      </c>
      <c r="QF459" s="1" t="e">
        <v>#N/A</v>
      </c>
      <c r="QG459" s="1" t="e">
        <v>#N/A</v>
      </c>
      <c r="QH459" s="1" t="e">
        <v>#N/A</v>
      </c>
      <c r="QI459" s="1" t="e">
        <v>#N/A</v>
      </c>
      <c r="QJ459" s="1" t="e">
        <v>#N/A</v>
      </c>
      <c r="QK459" s="1" t="e">
        <v>#N/A</v>
      </c>
      <c r="QL459" s="1" t="e">
        <v>#N/A</v>
      </c>
      <c r="QM459" s="1" t="e">
        <v>#N/A</v>
      </c>
      <c r="QN459" s="1" t="e">
        <v>#N/A</v>
      </c>
      <c r="QO459" s="1" t="e">
        <v>#N/A</v>
      </c>
      <c r="QP459" s="1" t="e">
        <v>#N/A</v>
      </c>
    </row>
    <row r="460" spans="1:458" ht="26.25" x14ac:dyDescent="0.4">
      <c r="A460" s="347"/>
      <c r="B460" s="348"/>
      <c r="C460" s="288"/>
      <c r="D460" s="349"/>
      <c r="E460" s="350"/>
      <c r="F460" s="351"/>
      <c r="G460" s="352"/>
      <c r="H460" s="348"/>
      <c r="I460" s="353"/>
      <c r="J460" s="353"/>
      <c r="PJ460" s="1" t="e">
        <v>#N/A</v>
      </c>
      <c r="PK460" s="1" t="e">
        <v>#N/A</v>
      </c>
      <c r="PL460" s="1" t="e">
        <v>#N/A</v>
      </c>
      <c r="PM460" s="1" t="e">
        <v>#N/A</v>
      </c>
      <c r="PN460" s="1" t="e">
        <v>#N/A</v>
      </c>
      <c r="PO460" s="1" t="e">
        <v>#N/A</v>
      </c>
      <c r="PP460" s="1" t="e">
        <v>#N/A</v>
      </c>
      <c r="PQ460" s="1" t="e">
        <v>#N/A</v>
      </c>
      <c r="PR460" s="1" t="e">
        <v>#N/A</v>
      </c>
      <c r="PS460" s="1" t="e">
        <v>#N/A</v>
      </c>
      <c r="PT460" s="1" t="e">
        <v>#N/A</v>
      </c>
      <c r="PU460" s="1" t="e">
        <v>#N/A</v>
      </c>
      <c r="PV460" s="1" t="e">
        <v>#N/A</v>
      </c>
      <c r="PW460" s="1" t="e">
        <v>#N/A</v>
      </c>
      <c r="PX460" s="1" t="e">
        <v>#N/A</v>
      </c>
      <c r="PY460" s="1" t="e">
        <v>#N/A</v>
      </c>
      <c r="PZ460" s="1" t="e">
        <v>#N/A</v>
      </c>
      <c r="QA460" s="1" t="e">
        <v>#N/A</v>
      </c>
      <c r="QB460" s="1" t="e">
        <v>#N/A</v>
      </c>
      <c r="QC460" s="1" t="e">
        <v>#N/A</v>
      </c>
      <c r="QD460" s="1" t="e">
        <v>#N/A</v>
      </c>
      <c r="QE460" s="1" t="e">
        <v>#N/A</v>
      </c>
      <c r="QF460" s="1" t="e">
        <v>#N/A</v>
      </c>
      <c r="QG460" s="1" t="e">
        <v>#N/A</v>
      </c>
      <c r="QH460" s="1" t="e">
        <v>#N/A</v>
      </c>
      <c r="QI460" s="1" t="e">
        <v>#N/A</v>
      </c>
      <c r="QJ460" s="1" t="e">
        <v>#N/A</v>
      </c>
      <c r="QK460" s="1" t="e">
        <v>#N/A</v>
      </c>
      <c r="QL460" s="1" t="e">
        <v>#N/A</v>
      </c>
      <c r="QM460" s="1" t="e">
        <v>#N/A</v>
      </c>
      <c r="QN460" s="1" t="e">
        <v>#N/A</v>
      </c>
      <c r="QO460" s="1" t="e">
        <v>#N/A</v>
      </c>
      <c r="QP460" s="1" t="e">
        <v>#N/A</v>
      </c>
    </row>
    <row r="461" spans="1:458" ht="26.25" x14ac:dyDescent="0.4">
      <c r="A461" s="347"/>
      <c r="B461" s="348"/>
      <c r="C461" s="288"/>
      <c r="D461" s="349"/>
      <c r="E461" s="350"/>
      <c r="F461" s="351"/>
      <c r="G461" s="352"/>
      <c r="H461" s="348"/>
      <c r="I461" s="353"/>
      <c r="J461" s="353"/>
      <c r="PJ461" s="1" t="e">
        <v>#N/A</v>
      </c>
      <c r="PK461" s="1" t="e">
        <v>#N/A</v>
      </c>
      <c r="PL461" s="1" t="e">
        <v>#N/A</v>
      </c>
      <c r="PM461" s="1" t="e">
        <v>#N/A</v>
      </c>
      <c r="PN461" s="1" t="e">
        <v>#N/A</v>
      </c>
      <c r="PO461" s="1" t="e">
        <v>#N/A</v>
      </c>
      <c r="PP461" s="1" t="e">
        <v>#N/A</v>
      </c>
      <c r="PQ461" s="1" t="e">
        <v>#N/A</v>
      </c>
      <c r="PR461" s="1" t="e">
        <v>#N/A</v>
      </c>
      <c r="PS461" s="1" t="e">
        <v>#N/A</v>
      </c>
      <c r="PT461" s="1" t="e">
        <v>#N/A</v>
      </c>
      <c r="PU461" s="1" t="e">
        <v>#N/A</v>
      </c>
      <c r="PV461" s="1" t="e">
        <v>#N/A</v>
      </c>
      <c r="PW461" s="1" t="e">
        <v>#N/A</v>
      </c>
      <c r="PX461" s="1" t="e">
        <v>#N/A</v>
      </c>
      <c r="PY461" s="1" t="e">
        <v>#N/A</v>
      </c>
      <c r="PZ461" s="1" t="e">
        <v>#N/A</v>
      </c>
      <c r="QA461" s="1" t="e">
        <v>#N/A</v>
      </c>
      <c r="QB461" s="1" t="e">
        <v>#N/A</v>
      </c>
      <c r="QC461" s="1" t="e">
        <v>#N/A</v>
      </c>
      <c r="QD461" s="1" t="e">
        <v>#N/A</v>
      </c>
      <c r="QE461" s="1" t="e">
        <v>#N/A</v>
      </c>
      <c r="QF461" s="1" t="e">
        <v>#N/A</v>
      </c>
      <c r="QG461" s="1" t="e">
        <v>#N/A</v>
      </c>
      <c r="QH461" s="1" t="e">
        <v>#N/A</v>
      </c>
      <c r="QI461" s="1" t="e">
        <v>#N/A</v>
      </c>
      <c r="QJ461" s="1" t="e">
        <v>#N/A</v>
      </c>
      <c r="QK461" s="1" t="e">
        <v>#N/A</v>
      </c>
      <c r="QL461" s="1" t="e">
        <v>#N/A</v>
      </c>
      <c r="QM461" s="1" t="e">
        <v>#N/A</v>
      </c>
      <c r="QN461" s="1" t="e">
        <v>#N/A</v>
      </c>
      <c r="QO461" s="1" t="e">
        <v>#N/A</v>
      </c>
      <c r="QP461" s="1" t="e">
        <v>#N/A</v>
      </c>
    </row>
    <row r="462" spans="1:458" ht="26.25" x14ac:dyDescent="0.4">
      <c r="A462" s="347"/>
      <c r="B462" s="348"/>
      <c r="C462" s="288"/>
      <c r="D462" s="349"/>
      <c r="E462" s="350"/>
      <c r="F462" s="351"/>
      <c r="G462" s="352"/>
      <c r="H462" s="348"/>
      <c r="I462" s="353"/>
      <c r="J462" s="353"/>
      <c r="PJ462" s="1" t="e">
        <v>#N/A</v>
      </c>
      <c r="PK462" s="1" t="e">
        <v>#N/A</v>
      </c>
      <c r="PL462" s="1" t="e">
        <v>#N/A</v>
      </c>
      <c r="PM462" s="1" t="e">
        <v>#N/A</v>
      </c>
      <c r="PN462" s="1" t="e">
        <v>#N/A</v>
      </c>
      <c r="PO462" s="1" t="e">
        <v>#N/A</v>
      </c>
      <c r="PP462" s="1" t="e">
        <v>#N/A</v>
      </c>
      <c r="PQ462" s="1" t="e">
        <v>#N/A</v>
      </c>
      <c r="PR462" s="1" t="e">
        <v>#N/A</v>
      </c>
      <c r="PS462" s="1" t="e">
        <v>#N/A</v>
      </c>
      <c r="PT462" s="1" t="e">
        <v>#N/A</v>
      </c>
      <c r="PU462" s="1" t="e">
        <v>#N/A</v>
      </c>
      <c r="PV462" s="1" t="e">
        <v>#N/A</v>
      </c>
      <c r="PW462" s="1" t="e">
        <v>#N/A</v>
      </c>
      <c r="PX462" s="1" t="e">
        <v>#N/A</v>
      </c>
      <c r="PY462" s="1" t="e">
        <v>#N/A</v>
      </c>
      <c r="PZ462" s="1" t="e">
        <v>#N/A</v>
      </c>
      <c r="QA462" s="1" t="e">
        <v>#N/A</v>
      </c>
      <c r="QB462" s="1" t="e">
        <v>#N/A</v>
      </c>
      <c r="QC462" s="1" t="e">
        <v>#N/A</v>
      </c>
      <c r="QD462" s="1" t="e">
        <v>#N/A</v>
      </c>
      <c r="QE462" s="1" t="e">
        <v>#N/A</v>
      </c>
      <c r="QF462" s="1" t="e">
        <v>#N/A</v>
      </c>
      <c r="QG462" s="1" t="e">
        <v>#N/A</v>
      </c>
      <c r="QH462" s="1" t="e">
        <v>#N/A</v>
      </c>
      <c r="QI462" s="1" t="e">
        <v>#N/A</v>
      </c>
      <c r="QJ462" s="1" t="e">
        <v>#N/A</v>
      </c>
      <c r="QK462" s="1" t="e">
        <v>#N/A</v>
      </c>
      <c r="QL462" s="1" t="e">
        <v>#N/A</v>
      </c>
      <c r="QM462" s="1" t="e">
        <v>#N/A</v>
      </c>
      <c r="QN462" s="1" t="e">
        <v>#N/A</v>
      </c>
      <c r="QO462" s="1" t="e">
        <v>#N/A</v>
      </c>
      <c r="QP462" s="1" t="e">
        <v>#N/A</v>
      </c>
    </row>
    <row r="463" spans="1:458" ht="26.25" x14ac:dyDescent="0.4">
      <c r="A463" s="347"/>
      <c r="B463" s="348"/>
      <c r="C463" s="288"/>
      <c r="D463" s="349"/>
      <c r="E463" s="350"/>
      <c r="F463" s="351"/>
      <c r="G463" s="352"/>
      <c r="H463" s="348"/>
      <c r="I463" s="353"/>
      <c r="J463" s="353"/>
      <c r="PJ463" s="1" t="e">
        <v>#N/A</v>
      </c>
      <c r="PK463" s="1" t="e">
        <v>#N/A</v>
      </c>
      <c r="PL463" s="1" t="e">
        <v>#N/A</v>
      </c>
      <c r="PM463" s="1" t="e">
        <v>#N/A</v>
      </c>
      <c r="PN463" s="1" t="e">
        <v>#N/A</v>
      </c>
      <c r="PO463" s="1" t="e">
        <v>#N/A</v>
      </c>
      <c r="PP463" s="1" t="e">
        <v>#N/A</v>
      </c>
      <c r="PQ463" s="1" t="e">
        <v>#N/A</v>
      </c>
      <c r="PR463" s="1" t="e">
        <v>#N/A</v>
      </c>
      <c r="PS463" s="1" t="e">
        <v>#N/A</v>
      </c>
      <c r="PT463" s="1" t="e">
        <v>#N/A</v>
      </c>
      <c r="PU463" s="1" t="e">
        <v>#N/A</v>
      </c>
      <c r="PV463" s="1" t="e">
        <v>#N/A</v>
      </c>
      <c r="PW463" s="1" t="e">
        <v>#N/A</v>
      </c>
      <c r="PX463" s="1" t="e">
        <v>#N/A</v>
      </c>
      <c r="PY463" s="1" t="e">
        <v>#N/A</v>
      </c>
      <c r="PZ463" s="1" t="e">
        <v>#N/A</v>
      </c>
      <c r="QA463" s="1" t="e">
        <v>#N/A</v>
      </c>
      <c r="QB463" s="1" t="e">
        <v>#N/A</v>
      </c>
      <c r="QC463" s="1" t="e">
        <v>#N/A</v>
      </c>
      <c r="QD463" s="1" t="e">
        <v>#N/A</v>
      </c>
      <c r="QE463" s="1" t="e">
        <v>#N/A</v>
      </c>
      <c r="QF463" s="1" t="e">
        <v>#N/A</v>
      </c>
      <c r="QG463" s="1" t="e">
        <v>#N/A</v>
      </c>
      <c r="QH463" s="1" t="e">
        <v>#N/A</v>
      </c>
      <c r="QI463" s="1" t="e">
        <v>#N/A</v>
      </c>
      <c r="QJ463" s="1" t="e">
        <v>#N/A</v>
      </c>
      <c r="QK463" s="1" t="e">
        <v>#N/A</v>
      </c>
      <c r="QL463" s="1" t="e">
        <v>#N/A</v>
      </c>
      <c r="QM463" s="1" t="e">
        <v>#N/A</v>
      </c>
      <c r="QN463" s="1" t="e">
        <v>#N/A</v>
      </c>
      <c r="QO463" s="1" t="e">
        <v>#N/A</v>
      </c>
      <c r="QP463" s="1" t="e">
        <v>#N/A</v>
      </c>
    </row>
    <row r="464" spans="1:458" ht="26.25" x14ac:dyDescent="0.4">
      <c r="A464" s="347"/>
      <c r="B464" s="348"/>
      <c r="C464" s="288"/>
      <c r="D464" s="349"/>
      <c r="E464" s="350"/>
      <c r="F464" s="351"/>
      <c r="G464" s="352"/>
      <c r="H464" s="348"/>
      <c r="I464" s="353"/>
      <c r="J464" s="353"/>
      <c r="PJ464" s="1" t="e">
        <v>#N/A</v>
      </c>
      <c r="PK464" s="1" t="e">
        <v>#N/A</v>
      </c>
      <c r="PL464" s="1" t="e">
        <v>#N/A</v>
      </c>
      <c r="PM464" s="1" t="e">
        <v>#N/A</v>
      </c>
      <c r="PN464" s="1" t="e">
        <v>#N/A</v>
      </c>
      <c r="PO464" s="1" t="e">
        <v>#N/A</v>
      </c>
      <c r="PP464" s="1" t="e">
        <v>#N/A</v>
      </c>
      <c r="PQ464" s="1" t="e">
        <v>#N/A</v>
      </c>
      <c r="PR464" s="1" t="e">
        <v>#N/A</v>
      </c>
      <c r="PS464" s="1" t="e">
        <v>#N/A</v>
      </c>
      <c r="PT464" s="1" t="e">
        <v>#N/A</v>
      </c>
      <c r="PU464" s="1" t="e">
        <v>#N/A</v>
      </c>
      <c r="PV464" s="1" t="e">
        <v>#N/A</v>
      </c>
      <c r="PW464" s="1" t="e">
        <v>#N/A</v>
      </c>
      <c r="PX464" s="1" t="e">
        <v>#N/A</v>
      </c>
      <c r="PY464" s="1" t="e">
        <v>#N/A</v>
      </c>
      <c r="PZ464" s="1" t="e">
        <v>#N/A</v>
      </c>
      <c r="QA464" s="1" t="e">
        <v>#N/A</v>
      </c>
      <c r="QB464" s="1" t="e">
        <v>#N/A</v>
      </c>
      <c r="QC464" s="1" t="e">
        <v>#N/A</v>
      </c>
      <c r="QD464" s="1" t="e">
        <v>#N/A</v>
      </c>
      <c r="QE464" s="1" t="e">
        <v>#N/A</v>
      </c>
      <c r="QF464" s="1" t="e">
        <v>#N/A</v>
      </c>
      <c r="QG464" s="1" t="e">
        <v>#N/A</v>
      </c>
      <c r="QH464" s="1" t="e">
        <v>#N/A</v>
      </c>
      <c r="QI464" s="1" t="e">
        <v>#N/A</v>
      </c>
      <c r="QJ464" s="1" t="e">
        <v>#N/A</v>
      </c>
      <c r="QK464" s="1" t="e">
        <v>#N/A</v>
      </c>
      <c r="QL464" s="1" t="e">
        <v>#N/A</v>
      </c>
      <c r="QM464" s="1" t="e">
        <v>#N/A</v>
      </c>
      <c r="QN464" s="1" t="e">
        <v>#N/A</v>
      </c>
      <c r="QO464" s="1" t="e">
        <v>#N/A</v>
      </c>
      <c r="QP464" s="1" t="e">
        <v>#N/A</v>
      </c>
    </row>
    <row r="465" spans="1:458" ht="26.25" x14ac:dyDescent="0.4">
      <c r="A465" s="347"/>
      <c r="B465" s="348"/>
      <c r="C465" s="288"/>
      <c r="D465" s="349"/>
      <c r="E465" s="350"/>
      <c r="F465" s="351"/>
      <c r="G465" s="352"/>
      <c r="H465" s="348"/>
      <c r="I465" s="353"/>
      <c r="J465" s="353"/>
      <c r="PJ465" s="1" t="e">
        <v>#N/A</v>
      </c>
      <c r="PK465" s="1" t="e">
        <v>#N/A</v>
      </c>
      <c r="PL465" s="1" t="e">
        <v>#N/A</v>
      </c>
      <c r="PM465" s="1" t="e">
        <v>#N/A</v>
      </c>
      <c r="PN465" s="1" t="e">
        <v>#N/A</v>
      </c>
      <c r="PO465" s="1" t="e">
        <v>#N/A</v>
      </c>
      <c r="PP465" s="1" t="e">
        <v>#N/A</v>
      </c>
      <c r="PQ465" s="1" t="e">
        <v>#N/A</v>
      </c>
      <c r="PR465" s="1" t="e">
        <v>#N/A</v>
      </c>
      <c r="PS465" s="1" t="e">
        <v>#N/A</v>
      </c>
      <c r="PT465" s="1" t="e">
        <v>#N/A</v>
      </c>
      <c r="PU465" s="1" t="e">
        <v>#N/A</v>
      </c>
      <c r="PV465" s="1" t="e">
        <v>#N/A</v>
      </c>
      <c r="PW465" s="1" t="e">
        <v>#N/A</v>
      </c>
      <c r="PX465" s="1" t="e">
        <v>#N/A</v>
      </c>
      <c r="PY465" s="1" t="e">
        <v>#N/A</v>
      </c>
      <c r="PZ465" s="1" t="e">
        <v>#N/A</v>
      </c>
      <c r="QA465" s="1" t="e">
        <v>#N/A</v>
      </c>
      <c r="QB465" s="1" t="e">
        <v>#N/A</v>
      </c>
      <c r="QC465" s="1" t="e">
        <v>#N/A</v>
      </c>
      <c r="QD465" s="1" t="e">
        <v>#N/A</v>
      </c>
      <c r="QE465" s="1" t="e">
        <v>#N/A</v>
      </c>
      <c r="QF465" s="1" t="e">
        <v>#N/A</v>
      </c>
      <c r="QG465" s="1" t="e">
        <v>#N/A</v>
      </c>
      <c r="QH465" s="1" t="e">
        <v>#N/A</v>
      </c>
      <c r="QI465" s="1" t="e">
        <v>#N/A</v>
      </c>
      <c r="QJ465" s="1" t="e">
        <v>#N/A</v>
      </c>
      <c r="QK465" s="1" t="e">
        <v>#N/A</v>
      </c>
      <c r="QL465" s="1" t="e">
        <v>#N/A</v>
      </c>
      <c r="QM465" s="1" t="e">
        <v>#N/A</v>
      </c>
      <c r="QN465" s="1" t="e">
        <v>#N/A</v>
      </c>
      <c r="QO465" s="1" t="e">
        <v>#N/A</v>
      </c>
      <c r="QP465" s="1" t="e">
        <v>#N/A</v>
      </c>
    </row>
    <row r="466" spans="1:458" ht="26.25" x14ac:dyDescent="0.4">
      <c r="A466" s="347"/>
      <c r="B466" s="348"/>
      <c r="C466" s="288"/>
      <c r="D466" s="349"/>
      <c r="E466" s="350"/>
      <c r="F466" s="351"/>
      <c r="G466" s="352"/>
      <c r="H466" s="348"/>
      <c r="I466" s="353"/>
      <c r="J466" s="353"/>
      <c r="PJ466" s="1" t="e">
        <v>#N/A</v>
      </c>
      <c r="PK466" s="1" t="e">
        <v>#N/A</v>
      </c>
      <c r="PL466" s="1" t="e">
        <v>#N/A</v>
      </c>
      <c r="PM466" s="1" t="e">
        <v>#N/A</v>
      </c>
      <c r="PN466" s="1" t="e">
        <v>#N/A</v>
      </c>
      <c r="PO466" s="1" t="e">
        <v>#N/A</v>
      </c>
      <c r="PP466" s="1" t="e">
        <v>#N/A</v>
      </c>
      <c r="PQ466" s="1" t="e">
        <v>#N/A</v>
      </c>
      <c r="PR466" s="1" t="e">
        <v>#N/A</v>
      </c>
      <c r="PS466" s="1" t="e">
        <v>#N/A</v>
      </c>
      <c r="PT466" s="1" t="e">
        <v>#N/A</v>
      </c>
      <c r="PU466" s="1" t="e">
        <v>#N/A</v>
      </c>
      <c r="PV466" s="1" t="e">
        <v>#N/A</v>
      </c>
      <c r="PW466" s="1" t="e">
        <v>#N/A</v>
      </c>
      <c r="PX466" s="1" t="e">
        <v>#N/A</v>
      </c>
      <c r="PY466" s="1" t="e">
        <v>#N/A</v>
      </c>
      <c r="PZ466" s="1" t="e">
        <v>#N/A</v>
      </c>
      <c r="QA466" s="1" t="e">
        <v>#N/A</v>
      </c>
      <c r="QB466" s="1" t="e">
        <v>#N/A</v>
      </c>
      <c r="QC466" s="1" t="e">
        <v>#N/A</v>
      </c>
      <c r="QD466" s="1" t="e">
        <v>#N/A</v>
      </c>
      <c r="QE466" s="1" t="e">
        <v>#N/A</v>
      </c>
      <c r="QF466" s="1" t="e">
        <v>#N/A</v>
      </c>
      <c r="QG466" s="1" t="e">
        <v>#N/A</v>
      </c>
      <c r="QH466" s="1" t="e">
        <v>#N/A</v>
      </c>
      <c r="QI466" s="1" t="e">
        <v>#N/A</v>
      </c>
      <c r="QJ466" s="1" t="e">
        <v>#N/A</v>
      </c>
      <c r="QK466" s="1" t="e">
        <v>#N/A</v>
      </c>
      <c r="QL466" s="1" t="e">
        <v>#N/A</v>
      </c>
      <c r="QM466" s="1" t="e">
        <v>#N/A</v>
      </c>
      <c r="QN466" s="1" t="e">
        <v>#N/A</v>
      </c>
      <c r="QO466" s="1" t="e">
        <v>#N/A</v>
      </c>
      <c r="QP466" s="1" t="e">
        <v>#N/A</v>
      </c>
    </row>
    <row r="467" spans="1:458" ht="26.25" x14ac:dyDescent="0.4">
      <c r="A467" s="347"/>
      <c r="B467" s="348"/>
      <c r="C467" s="288"/>
      <c r="D467" s="349"/>
      <c r="E467" s="350"/>
      <c r="F467" s="351"/>
      <c r="G467" s="352"/>
      <c r="H467" s="348"/>
      <c r="I467" s="353"/>
      <c r="J467" s="353"/>
      <c r="PJ467" s="1" t="e">
        <v>#N/A</v>
      </c>
      <c r="PK467" s="1" t="e">
        <v>#N/A</v>
      </c>
      <c r="PL467" s="1" t="e">
        <v>#N/A</v>
      </c>
      <c r="PM467" s="1" t="e">
        <v>#N/A</v>
      </c>
      <c r="PN467" s="1" t="e">
        <v>#N/A</v>
      </c>
      <c r="PO467" s="1" t="e">
        <v>#N/A</v>
      </c>
      <c r="PP467" s="1" t="e">
        <v>#N/A</v>
      </c>
      <c r="PQ467" s="1" t="e">
        <v>#N/A</v>
      </c>
      <c r="PR467" s="1" t="e">
        <v>#N/A</v>
      </c>
      <c r="PS467" s="1" t="e">
        <v>#N/A</v>
      </c>
      <c r="PT467" s="1" t="e">
        <v>#N/A</v>
      </c>
      <c r="PU467" s="1" t="e">
        <v>#N/A</v>
      </c>
      <c r="PV467" s="1" t="e">
        <v>#N/A</v>
      </c>
      <c r="PW467" s="1" t="e">
        <v>#N/A</v>
      </c>
      <c r="PX467" s="1" t="e">
        <v>#N/A</v>
      </c>
      <c r="PY467" s="1" t="e">
        <v>#N/A</v>
      </c>
      <c r="PZ467" s="1" t="e">
        <v>#N/A</v>
      </c>
      <c r="QA467" s="1" t="e">
        <v>#N/A</v>
      </c>
      <c r="QB467" s="1" t="e">
        <v>#N/A</v>
      </c>
      <c r="QC467" s="1" t="e">
        <v>#N/A</v>
      </c>
      <c r="QD467" s="1" t="e">
        <v>#N/A</v>
      </c>
      <c r="QE467" s="1" t="e">
        <v>#N/A</v>
      </c>
      <c r="QF467" s="1" t="e">
        <v>#N/A</v>
      </c>
      <c r="QG467" s="1" t="e">
        <v>#N/A</v>
      </c>
      <c r="QH467" s="1" t="e">
        <v>#N/A</v>
      </c>
      <c r="QI467" s="1" t="e">
        <v>#N/A</v>
      </c>
      <c r="QJ467" s="1" t="e">
        <v>#N/A</v>
      </c>
      <c r="QK467" s="1" t="e">
        <v>#N/A</v>
      </c>
      <c r="QL467" s="1" t="e">
        <v>#N/A</v>
      </c>
      <c r="QM467" s="1" t="e">
        <v>#N/A</v>
      </c>
      <c r="QN467" s="1" t="e">
        <v>#N/A</v>
      </c>
      <c r="QO467" s="1" t="e">
        <v>#N/A</v>
      </c>
      <c r="QP467" s="1" t="e">
        <v>#N/A</v>
      </c>
    </row>
    <row r="468" spans="1:458" ht="26.25" x14ac:dyDescent="0.4">
      <c r="A468" s="347"/>
      <c r="B468" s="348"/>
      <c r="C468" s="288"/>
      <c r="D468" s="349"/>
      <c r="E468" s="350"/>
      <c r="F468" s="351"/>
      <c r="G468" s="352"/>
      <c r="H468" s="348"/>
      <c r="I468" s="353"/>
      <c r="J468" s="353"/>
      <c r="PJ468" s="1" t="e">
        <v>#N/A</v>
      </c>
      <c r="PK468" s="1" t="e">
        <v>#N/A</v>
      </c>
      <c r="PL468" s="1" t="e">
        <v>#N/A</v>
      </c>
      <c r="PM468" s="1" t="e">
        <v>#N/A</v>
      </c>
      <c r="PN468" s="1" t="e">
        <v>#N/A</v>
      </c>
      <c r="PO468" s="1" t="e">
        <v>#N/A</v>
      </c>
      <c r="PP468" s="1" t="e">
        <v>#N/A</v>
      </c>
      <c r="PQ468" s="1" t="e">
        <v>#N/A</v>
      </c>
      <c r="PR468" s="1" t="e">
        <v>#N/A</v>
      </c>
      <c r="PS468" s="1" t="e">
        <v>#N/A</v>
      </c>
      <c r="PT468" s="1" t="e">
        <v>#N/A</v>
      </c>
      <c r="PU468" s="1" t="e">
        <v>#N/A</v>
      </c>
      <c r="PV468" s="1" t="e">
        <v>#N/A</v>
      </c>
      <c r="PW468" s="1" t="e">
        <v>#N/A</v>
      </c>
      <c r="PX468" s="1" t="e">
        <v>#N/A</v>
      </c>
      <c r="PY468" s="1" t="e">
        <v>#N/A</v>
      </c>
      <c r="PZ468" s="1" t="e">
        <v>#N/A</v>
      </c>
      <c r="QA468" s="1" t="e">
        <v>#N/A</v>
      </c>
      <c r="QB468" s="1" t="e">
        <v>#N/A</v>
      </c>
      <c r="QC468" s="1" t="e">
        <v>#N/A</v>
      </c>
      <c r="QD468" s="1" t="e">
        <v>#N/A</v>
      </c>
      <c r="QE468" s="1" t="e">
        <v>#N/A</v>
      </c>
      <c r="QF468" s="1" t="e">
        <v>#N/A</v>
      </c>
      <c r="QG468" s="1" t="e">
        <v>#N/A</v>
      </c>
      <c r="QH468" s="1" t="e">
        <v>#N/A</v>
      </c>
      <c r="QI468" s="1" t="e">
        <v>#N/A</v>
      </c>
      <c r="QJ468" s="1" t="e">
        <v>#N/A</v>
      </c>
      <c r="QK468" s="1" t="e">
        <v>#N/A</v>
      </c>
      <c r="QL468" s="1" t="e">
        <v>#N/A</v>
      </c>
      <c r="QM468" s="1" t="e">
        <v>#N/A</v>
      </c>
      <c r="QN468" s="1" t="e">
        <v>#N/A</v>
      </c>
      <c r="QO468" s="1" t="e">
        <v>#N/A</v>
      </c>
      <c r="QP468" s="1" t="e">
        <v>#N/A</v>
      </c>
    </row>
    <row r="469" spans="1:458" ht="26.25" x14ac:dyDescent="0.4">
      <c r="A469" s="347"/>
      <c r="B469" s="348"/>
      <c r="C469" s="288"/>
      <c r="D469" s="349"/>
      <c r="E469" s="350"/>
      <c r="F469" s="351"/>
      <c r="G469" s="352"/>
      <c r="H469" s="348"/>
      <c r="I469" s="353"/>
      <c r="J469" s="353"/>
      <c r="PJ469" s="1" t="e">
        <v>#N/A</v>
      </c>
      <c r="PK469" s="1" t="e">
        <v>#N/A</v>
      </c>
      <c r="PL469" s="1" t="e">
        <v>#N/A</v>
      </c>
      <c r="PM469" s="1" t="e">
        <v>#N/A</v>
      </c>
      <c r="PN469" s="1" t="e">
        <v>#N/A</v>
      </c>
      <c r="PO469" s="1" t="e">
        <v>#N/A</v>
      </c>
      <c r="PP469" s="1" t="e">
        <v>#N/A</v>
      </c>
      <c r="PQ469" s="1" t="e">
        <v>#N/A</v>
      </c>
      <c r="PR469" s="1" t="e">
        <v>#N/A</v>
      </c>
      <c r="PS469" s="1" t="e">
        <v>#N/A</v>
      </c>
      <c r="PT469" s="1" t="e">
        <v>#N/A</v>
      </c>
      <c r="PU469" s="1" t="e">
        <v>#N/A</v>
      </c>
      <c r="PV469" s="1" t="e">
        <v>#N/A</v>
      </c>
      <c r="PW469" s="1" t="e">
        <v>#N/A</v>
      </c>
      <c r="PX469" s="1" t="e">
        <v>#N/A</v>
      </c>
      <c r="PY469" s="1" t="e">
        <v>#N/A</v>
      </c>
      <c r="PZ469" s="1" t="e">
        <v>#N/A</v>
      </c>
      <c r="QA469" s="1" t="e">
        <v>#N/A</v>
      </c>
      <c r="QB469" s="1" t="e">
        <v>#N/A</v>
      </c>
      <c r="QC469" s="1" t="e">
        <v>#N/A</v>
      </c>
      <c r="QD469" s="1" t="e">
        <v>#N/A</v>
      </c>
      <c r="QE469" s="1" t="e">
        <v>#N/A</v>
      </c>
      <c r="QF469" s="1" t="e">
        <v>#N/A</v>
      </c>
      <c r="QG469" s="1" t="e">
        <v>#N/A</v>
      </c>
      <c r="QH469" s="1" t="e">
        <v>#N/A</v>
      </c>
      <c r="QI469" s="1" t="e">
        <v>#N/A</v>
      </c>
      <c r="QJ469" s="1" t="e">
        <v>#N/A</v>
      </c>
      <c r="QK469" s="1" t="e">
        <v>#N/A</v>
      </c>
      <c r="QL469" s="1" t="e">
        <v>#N/A</v>
      </c>
      <c r="QM469" s="1" t="e">
        <v>#N/A</v>
      </c>
      <c r="QN469" s="1" t="e">
        <v>#N/A</v>
      </c>
      <c r="QO469" s="1" t="e">
        <v>#N/A</v>
      </c>
      <c r="QP469" s="1" t="e">
        <v>#N/A</v>
      </c>
    </row>
    <row r="470" spans="1:458" ht="26.25" x14ac:dyDescent="0.4">
      <c r="A470" s="347"/>
      <c r="B470" s="348"/>
      <c r="C470" s="288"/>
      <c r="D470" s="349"/>
      <c r="E470" s="350"/>
      <c r="F470" s="351"/>
      <c r="G470" s="352"/>
      <c r="H470" s="348"/>
      <c r="I470" s="353"/>
      <c r="J470" s="353"/>
      <c r="PJ470" s="1" t="e">
        <v>#N/A</v>
      </c>
      <c r="PK470" s="1" t="e">
        <v>#N/A</v>
      </c>
      <c r="PL470" s="1" t="e">
        <v>#N/A</v>
      </c>
      <c r="PM470" s="1" t="e">
        <v>#N/A</v>
      </c>
      <c r="PN470" s="1" t="e">
        <v>#N/A</v>
      </c>
      <c r="PO470" s="1" t="e">
        <v>#N/A</v>
      </c>
      <c r="PP470" s="1" t="e">
        <v>#N/A</v>
      </c>
      <c r="PQ470" s="1" t="e">
        <v>#N/A</v>
      </c>
      <c r="PR470" s="1" t="e">
        <v>#N/A</v>
      </c>
      <c r="PS470" s="1" t="e">
        <v>#N/A</v>
      </c>
      <c r="PT470" s="1" t="e">
        <v>#N/A</v>
      </c>
      <c r="PU470" s="1" t="e">
        <v>#N/A</v>
      </c>
      <c r="PV470" s="1" t="e">
        <v>#N/A</v>
      </c>
      <c r="PW470" s="1" t="e">
        <v>#N/A</v>
      </c>
      <c r="PX470" s="1" t="e">
        <v>#N/A</v>
      </c>
      <c r="PY470" s="1" t="e">
        <v>#N/A</v>
      </c>
      <c r="PZ470" s="1" t="e">
        <v>#N/A</v>
      </c>
      <c r="QA470" s="1" t="e">
        <v>#N/A</v>
      </c>
      <c r="QB470" s="1" t="e">
        <v>#N/A</v>
      </c>
      <c r="QC470" s="1" t="e">
        <v>#N/A</v>
      </c>
      <c r="QD470" s="1" t="e">
        <v>#N/A</v>
      </c>
      <c r="QE470" s="1" t="e">
        <v>#N/A</v>
      </c>
      <c r="QF470" s="1" t="e">
        <v>#N/A</v>
      </c>
      <c r="QG470" s="1" t="e">
        <v>#N/A</v>
      </c>
      <c r="QH470" s="1" t="e">
        <v>#N/A</v>
      </c>
      <c r="QI470" s="1" t="e">
        <v>#N/A</v>
      </c>
      <c r="QJ470" s="1" t="e">
        <v>#N/A</v>
      </c>
      <c r="QK470" s="1" t="e">
        <v>#N/A</v>
      </c>
      <c r="QL470" s="1" t="e">
        <v>#N/A</v>
      </c>
      <c r="QM470" s="1" t="e">
        <v>#N/A</v>
      </c>
      <c r="QN470" s="1" t="e">
        <v>#N/A</v>
      </c>
      <c r="QO470" s="1" t="e">
        <v>#N/A</v>
      </c>
      <c r="QP470" s="1" t="e">
        <v>#N/A</v>
      </c>
    </row>
    <row r="471" spans="1:458" ht="26.25" x14ac:dyDescent="0.4">
      <c r="A471" s="347"/>
      <c r="B471" s="348"/>
      <c r="C471" s="288"/>
      <c r="D471" s="349"/>
      <c r="E471" s="350"/>
      <c r="F471" s="351"/>
      <c r="G471" s="352"/>
      <c r="H471" s="348"/>
      <c r="I471" s="353"/>
      <c r="J471" s="353"/>
      <c r="PJ471" s="1" t="e">
        <v>#N/A</v>
      </c>
      <c r="PK471" s="1" t="e">
        <v>#N/A</v>
      </c>
      <c r="PL471" s="1" t="e">
        <v>#N/A</v>
      </c>
      <c r="PM471" s="1" t="e">
        <v>#N/A</v>
      </c>
      <c r="PN471" s="1" t="e">
        <v>#N/A</v>
      </c>
      <c r="PO471" s="1" t="e">
        <v>#N/A</v>
      </c>
      <c r="PP471" s="1" t="e">
        <v>#N/A</v>
      </c>
      <c r="PQ471" s="1" t="e">
        <v>#N/A</v>
      </c>
      <c r="PR471" s="1" t="e">
        <v>#N/A</v>
      </c>
      <c r="PS471" s="1" t="e">
        <v>#N/A</v>
      </c>
      <c r="PT471" s="1" t="e">
        <v>#N/A</v>
      </c>
      <c r="PU471" s="1" t="e">
        <v>#N/A</v>
      </c>
      <c r="PV471" s="1" t="e">
        <v>#N/A</v>
      </c>
      <c r="PW471" s="1" t="e">
        <v>#N/A</v>
      </c>
      <c r="PX471" s="1" t="e">
        <v>#N/A</v>
      </c>
      <c r="PY471" s="1" t="e">
        <v>#N/A</v>
      </c>
      <c r="PZ471" s="1" t="e">
        <v>#N/A</v>
      </c>
      <c r="QA471" s="1" t="e">
        <v>#N/A</v>
      </c>
      <c r="QB471" s="1" t="e">
        <v>#N/A</v>
      </c>
      <c r="QC471" s="1" t="e">
        <v>#N/A</v>
      </c>
      <c r="QD471" s="1" t="e">
        <v>#N/A</v>
      </c>
      <c r="QE471" s="1" t="e">
        <v>#N/A</v>
      </c>
      <c r="QF471" s="1" t="e">
        <v>#N/A</v>
      </c>
      <c r="QG471" s="1" t="e">
        <v>#N/A</v>
      </c>
      <c r="QH471" s="1" t="e">
        <v>#N/A</v>
      </c>
      <c r="QI471" s="1" t="e">
        <v>#N/A</v>
      </c>
      <c r="QJ471" s="1" t="e">
        <v>#N/A</v>
      </c>
      <c r="QK471" s="1" t="e">
        <v>#N/A</v>
      </c>
      <c r="QL471" s="1" t="e">
        <v>#N/A</v>
      </c>
      <c r="QM471" s="1" t="e">
        <v>#N/A</v>
      </c>
      <c r="QN471" s="1" t="e">
        <v>#N/A</v>
      </c>
      <c r="QO471" s="1" t="e">
        <v>#N/A</v>
      </c>
      <c r="QP471" s="1" t="e">
        <v>#N/A</v>
      </c>
    </row>
    <row r="472" spans="1:458" ht="26.25" x14ac:dyDescent="0.4">
      <c r="A472" s="347"/>
      <c r="B472" s="348"/>
      <c r="C472" s="288"/>
      <c r="D472" s="349"/>
      <c r="E472" s="350"/>
      <c r="F472" s="351"/>
      <c r="G472" s="352"/>
      <c r="H472" s="348"/>
      <c r="I472" s="353"/>
      <c r="J472" s="353"/>
      <c r="PJ472" s="1" t="e">
        <v>#N/A</v>
      </c>
      <c r="PK472" s="1" t="e">
        <v>#N/A</v>
      </c>
      <c r="PL472" s="1" t="e">
        <v>#N/A</v>
      </c>
      <c r="PM472" s="1" t="e">
        <v>#N/A</v>
      </c>
      <c r="PN472" s="1" t="e">
        <v>#N/A</v>
      </c>
      <c r="PO472" s="1" t="e">
        <v>#N/A</v>
      </c>
      <c r="PP472" s="1" t="e">
        <v>#N/A</v>
      </c>
      <c r="PQ472" s="1" t="e">
        <v>#N/A</v>
      </c>
      <c r="PR472" s="1" t="e">
        <v>#N/A</v>
      </c>
      <c r="PS472" s="1" t="e">
        <v>#N/A</v>
      </c>
      <c r="PT472" s="1" t="e">
        <v>#N/A</v>
      </c>
      <c r="PU472" s="1" t="e">
        <v>#N/A</v>
      </c>
      <c r="PV472" s="1" t="e">
        <v>#N/A</v>
      </c>
      <c r="PW472" s="1" t="e">
        <v>#N/A</v>
      </c>
      <c r="PX472" s="1" t="e">
        <v>#N/A</v>
      </c>
      <c r="PY472" s="1" t="e">
        <v>#N/A</v>
      </c>
      <c r="PZ472" s="1" t="e">
        <v>#N/A</v>
      </c>
      <c r="QA472" s="1" t="e">
        <v>#N/A</v>
      </c>
      <c r="QB472" s="1" t="e">
        <v>#N/A</v>
      </c>
      <c r="QC472" s="1" t="e">
        <v>#N/A</v>
      </c>
      <c r="QD472" s="1" t="e">
        <v>#N/A</v>
      </c>
      <c r="QE472" s="1" t="e">
        <v>#N/A</v>
      </c>
      <c r="QF472" s="1" t="e">
        <v>#N/A</v>
      </c>
      <c r="QG472" s="1" t="e">
        <v>#N/A</v>
      </c>
      <c r="QH472" s="1" t="e">
        <v>#N/A</v>
      </c>
      <c r="QI472" s="1" t="e">
        <v>#N/A</v>
      </c>
      <c r="QJ472" s="1" t="e">
        <v>#N/A</v>
      </c>
      <c r="QK472" s="1" t="e">
        <v>#N/A</v>
      </c>
      <c r="QL472" s="1" t="e">
        <v>#N/A</v>
      </c>
      <c r="QM472" s="1" t="e">
        <v>#N/A</v>
      </c>
      <c r="QN472" s="1" t="e">
        <v>#N/A</v>
      </c>
      <c r="QO472" s="1" t="e">
        <v>#N/A</v>
      </c>
      <c r="QP472" s="1" t="e">
        <v>#N/A</v>
      </c>
    </row>
    <row r="473" spans="1:458" ht="26.25" x14ac:dyDescent="0.4">
      <c r="A473" s="347"/>
      <c r="B473" s="348"/>
      <c r="C473" s="288"/>
      <c r="D473" s="349"/>
      <c r="E473" s="350"/>
      <c r="F473" s="351"/>
      <c r="G473" s="352"/>
      <c r="H473" s="348"/>
      <c r="I473" s="353"/>
      <c r="J473" s="353"/>
      <c r="PJ473" s="1" t="e">
        <v>#N/A</v>
      </c>
      <c r="PK473" s="1" t="e">
        <v>#N/A</v>
      </c>
      <c r="PL473" s="1" t="e">
        <v>#N/A</v>
      </c>
      <c r="PM473" s="1" t="e">
        <v>#N/A</v>
      </c>
      <c r="PN473" s="1" t="e">
        <v>#N/A</v>
      </c>
      <c r="PO473" s="1" t="e">
        <v>#N/A</v>
      </c>
      <c r="PP473" s="1" t="e">
        <v>#N/A</v>
      </c>
      <c r="PQ473" s="1" t="e">
        <v>#N/A</v>
      </c>
      <c r="PR473" s="1" t="e">
        <v>#N/A</v>
      </c>
      <c r="PS473" s="1" t="e">
        <v>#N/A</v>
      </c>
      <c r="PT473" s="1" t="e">
        <v>#N/A</v>
      </c>
      <c r="PU473" s="1" t="e">
        <v>#N/A</v>
      </c>
      <c r="PV473" s="1" t="e">
        <v>#N/A</v>
      </c>
      <c r="PW473" s="1" t="e">
        <v>#N/A</v>
      </c>
      <c r="PX473" s="1" t="e">
        <v>#N/A</v>
      </c>
      <c r="PY473" s="1" t="e">
        <v>#N/A</v>
      </c>
      <c r="PZ473" s="1" t="e">
        <v>#N/A</v>
      </c>
      <c r="QA473" s="1" t="e">
        <v>#N/A</v>
      </c>
      <c r="QB473" s="1" t="e">
        <v>#N/A</v>
      </c>
      <c r="QC473" s="1" t="e">
        <v>#N/A</v>
      </c>
      <c r="QD473" s="1" t="e">
        <v>#N/A</v>
      </c>
      <c r="QE473" s="1" t="e">
        <v>#N/A</v>
      </c>
      <c r="QF473" s="1" t="e">
        <v>#N/A</v>
      </c>
      <c r="QG473" s="1" t="e">
        <v>#N/A</v>
      </c>
      <c r="QH473" s="1" t="e">
        <v>#N/A</v>
      </c>
      <c r="QI473" s="1" t="e">
        <v>#N/A</v>
      </c>
      <c r="QJ473" s="1" t="e">
        <v>#N/A</v>
      </c>
      <c r="QK473" s="1" t="e">
        <v>#N/A</v>
      </c>
      <c r="QL473" s="1" t="e">
        <v>#N/A</v>
      </c>
      <c r="QM473" s="1" t="e">
        <v>#N/A</v>
      </c>
      <c r="QN473" s="1" t="e">
        <v>#N/A</v>
      </c>
      <c r="QO473" s="1" t="e">
        <v>#N/A</v>
      </c>
      <c r="QP473" s="1" t="e">
        <v>#N/A</v>
      </c>
    </row>
    <row r="474" spans="1:458" ht="26.25" x14ac:dyDescent="0.4">
      <c r="A474" s="347"/>
      <c r="B474" s="348"/>
      <c r="C474" s="288"/>
      <c r="D474" s="349"/>
      <c r="E474" s="350"/>
      <c r="F474" s="351"/>
      <c r="G474" s="352"/>
      <c r="H474" s="348"/>
      <c r="I474" s="353"/>
      <c r="J474" s="353"/>
      <c r="PJ474" s="1" t="e">
        <v>#N/A</v>
      </c>
      <c r="PK474" s="1" t="e">
        <v>#N/A</v>
      </c>
      <c r="PL474" s="1" t="e">
        <v>#N/A</v>
      </c>
      <c r="PM474" s="1" t="e">
        <v>#N/A</v>
      </c>
      <c r="PN474" s="1" t="e">
        <v>#N/A</v>
      </c>
      <c r="PO474" s="1" t="e">
        <v>#N/A</v>
      </c>
      <c r="PP474" s="1" t="e">
        <v>#N/A</v>
      </c>
      <c r="PQ474" s="1" t="e">
        <v>#N/A</v>
      </c>
      <c r="PR474" s="1" t="e">
        <v>#N/A</v>
      </c>
      <c r="PS474" s="1" t="e">
        <v>#N/A</v>
      </c>
      <c r="PT474" s="1" t="e">
        <v>#N/A</v>
      </c>
      <c r="PU474" s="1" t="e">
        <v>#N/A</v>
      </c>
      <c r="PV474" s="1" t="e">
        <v>#N/A</v>
      </c>
      <c r="PW474" s="1" t="e">
        <v>#N/A</v>
      </c>
      <c r="PX474" s="1" t="e">
        <v>#N/A</v>
      </c>
      <c r="PY474" s="1" t="e">
        <v>#N/A</v>
      </c>
      <c r="PZ474" s="1" t="e">
        <v>#N/A</v>
      </c>
      <c r="QA474" s="1" t="e">
        <v>#N/A</v>
      </c>
      <c r="QB474" s="1" t="e">
        <v>#N/A</v>
      </c>
      <c r="QC474" s="1" t="e">
        <v>#N/A</v>
      </c>
      <c r="QD474" s="1" t="e">
        <v>#N/A</v>
      </c>
      <c r="QE474" s="1" t="e">
        <v>#N/A</v>
      </c>
      <c r="QF474" s="1" t="e">
        <v>#N/A</v>
      </c>
      <c r="QG474" s="1" t="e">
        <v>#N/A</v>
      </c>
      <c r="QH474" s="1" t="e">
        <v>#N/A</v>
      </c>
      <c r="QI474" s="1" t="e">
        <v>#N/A</v>
      </c>
      <c r="QJ474" s="1" t="e">
        <v>#N/A</v>
      </c>
      <c r="QK474" s="1" t="e">
        <v>#N/A</v>
      </c>
      <c r="QL474" s="1" t="e">
        <v>#N/A</v>
      </c>
      <c r="QM474" s="1" t="e">
        <v>#N/A</v>
      </c>
      <c r="QN474" s="1" t="e">
        <v>#N/A</v>
      </c>
      <c r="QO474" s="1" t="e">
        <v>#N/A</v>
      </c>
      <c r="QP474" s="1" t="e">
        <v>#N/A</v>
      </c>
    </row>
    <row r="475" spans="1:458" ht="26.25" x14ac:dyDescent="0.4">
      <c r="A475" s="347"/>
      <c r="B475" s="348"/>
      <c r="C475" s="288"/>
      <c r="D475" s="349"/>
      <c r="E475" s="350"/>
      <c r="F475" s="351"/>
      <c r="G475" s="352"/>
      <c r="H475" s="348"/>
      <c r="I475" s="353"/>
      <c r="J475" s="353"/>
      <c r="PJ475" s="1" t="e">
        <v>#N/A</v>
      </c>
      <c r="PK475" s="1" t="e">
        <v>#N/A</v>
      </c>
      <c r="PL475" s="1" t="e">
        <v>#N/A</v>
      </c>
      <c r="PM475" s="1" t="e">
        <v>#N/A</v>
      </c>
      <c r="PN475" s="1" t="e">
        <v>#N/A</v>
      </c>
      <c r="PO475" s="1" t="e">
        <v>#N/A</v>
      </c>
      <c r="PP475" s="1" t="e">
        <v>#N/A</v>
      </c>
      <c r="PQ475" s="1" t="e">
        <v>#N/A</v>
      </c>
      <c r="PR475" s="1" t="e">
        <v>#N/A</v>
      </c>
      <c r="PS475" s="1" t="e">
        <v>#N/A</v>
      </c>
      <c r="PT475" s="1" t="e">
        <v>#N/A</v>
      </c>
      <c r="PU475" s="1" t="e">
        <v>#N/A</v>
      </c>
      <c r="PV475" s="1" t="e">
        <v>#N/A</v>
      </c>
      <c r="PW475" s="1" t="e">
        <v>#N/A</v>
      </c>
      <c r="PX475" s="1" t="e">
        <v>#N/A</v>
      </c>
      <c r="PY475" s="1" t="e">
        <v>#N/A</v>
      </c>
      <c r="PZ475" s="1" t="e">
        <v>#N/A</v>
      </c>
      <c r="QA475" s="1" t="e">
        <v>#N/A</v>
      </c>
      <c r="QB475" s="1" t="e">
        <v>#N/A</v>
      </c>
      <c r="QC475" s="1" t="e">
        <v>#N/A</v>
      </c>
      <c r="QD475" s="1" t="e">
        <v>#N/A</v>
      </c>
      <c r="QE475" s="1" t="e">
        <v>#N/A</v>
      </c>
      <c r="QF475" s="1" t="e">
        <v>#N/A</v>
      </c>
      <c r="QG475" s="1" t="e">
        <v>#N/A</v>
      </c>
      <c r="QH475" s="1" t="e">
        <v>#N/A</v>
      </c>
      <c r="QI475" s="1" t="e">
        <v>#N/A</v>
      </c>
      <c r="QJ475" s="1" t="e">
        <v>#N/A</v>
      </c>
      <c r="QK475" s="1" t="e">
        <v>#N/A</v>
      </c>
      <c r="QL475" s="1" t="e">
        <v>#N/A</v>
      </c>
      <c r="QM475" s="1" t="e">
        <v>#N/A</v>
      </c>
      <c r="QN475" s="1" t="e">
        <v>#N/A</v>
      </c>
      <c r="QO475" s="1" t="e">
        <v>#N/A</v>
      </c>
      <c r="QP475" s="1" t="e">
        <v>#N/A</v>
      </c>
    </row>
    <row r="476" spans="1:458" ht="26.25" x14ac:dyDescent="0.4">
      <c r="A476" s="347"/>
      <c r="B476" s="348"/>
      <c r="C476" s="288"/>
      <c r="D476" s="349"/>
      <c r="E476" s="350"/>
      <c r="F476" s="351"/>
      <c r="G476" s="352"/>
      <c r="H476" s="348"/>
      <c r="I476" s="353"/>
      <c r="J476" s="353"/>
      <c r="PJ476" s="1" t="e">
        <v>#N/A</v>
      </c>
      <c r="PK476" s="1" t="e">
        <v>#N/A</v>
      </c>
      <c r="PL476" s="1" t="e">
        <v>#N/A</v>
      </c>
      <c r="PM476" s="1" t="e">
        <v>#N/A</v>
      </c>
      <c r="PN476" s="1" t="e">
        <v>#N/A</v>
      </c>
      <c r="PO476" s="1" t="e">
        <v>#N/A</v>
      </c>
      <c r="PP476" s="1" t="e">
        <v>#N/A</v>
      </c>
      <c r="PQ476" s="1" t="e">
        <v>#N/A</v>
      </c>
      <c r="PR476" s="1" t="e">
        <v>#N/A</v>
      </c>
      <c r="PS476" s="1" t="e">
        <v>#N/A</v>
      </c>
      <c r="PT476" s="1" t="e">
        <v>#N/A</v>
      </c>
      <c r="PU476" s="1" t="e">
        <v>#N/A</v>
      </c>
      <c r="PV476" s="1" t="e">
        <v>#N/A</v>
      </c>
      <c r="PW476" s="1" t="e">
        <v>#N/A</v>
      </c>
      <c r="PX476" s="1" t="e">
        <v>#N/A</v>
      </c>
      <c r="PY476" s="1" t="e">
        <v>#N/A</v>
      </c>
      <c r="PZ476" s="1" t="e">
        <v>#N/A</v>
      </c>
      <c r="QA476" s="1" t="e">
        <v>#N/A</v>
      </c>
      <c r="QB476" s="1" t="e">
        <v>#N/A</v>
      </c>
      <c r="QC476" s="1" t="e">
        <v>#N/A</v>
      </c>
      <c r="QD476" s="1" t="e">
        <v>#N/A</v>
      </c>
      <c r="QE476" s="1" t="e">
        <v>#N/A</v>
      </c>
      <c r="QF476" s="1" t="e">
        <v>#N/A</v>
      </c>
      <c r="QG476" s="1" t="e">
        <v>#N/A</v>
      </c>
      <c r="QH476" s="1" t="e">
        <v>#N/A</v>
      </c>
      <c r="QI476" s="1" t="e">
        <v>#N/A</v>
      </c>
      <c r="QJ476" s="1" t="e">
        <v>#N/A</v>
      </c>
      <c r="QK476" s="1" t="e">
        <v>#N/A</v>
      </c>
      <c r="QL476" s="1" t="e">
        <v>#N/A</v>
      </c>
      <c r="QM476" s="1" t="e">
        <v>#N/A</v>
      </c>
      <c r="QN476" s="1" t="e">
        <v>#N/A</v>
      </c>
      <c r="QO476" s="1" t="e">
        <v>#N/A</v>
      </c>
      <c r="QP476" s="1" t="e">
        <v>#N/A</v>
      </c>
    </row>
    <row r="477" spans="1:458" ht="26.25" x14ac:dyDescent="0.4">
      <c r="A477" s="347"/>
      <c r="B477" s="348"/>
      <c r="C477" s="288"/>
      <c r="D477" s="349"/>
      <c r="E477" s="350"/>
      <c r="F477" s="351"/>
      <c r="G477" s="352"/>
      <c r="H477" s="348"/>
      <c r="I477" s="353"/>
      <c r="J477" s="353"/>
      <c r="PJ477" s="1" t="e">
        <v>#N/A</v>
      </c>
      <c r="PK477" s="1" t="e">
        <v>#N/A</v>
      </c>
      <c r="PL477" s="1" t="e">
        <v>#N/A</v>
      </c>
      <c r="PM477" s="1" t="e">
        <v>#N/A</v>
      </c>
      <c r="PN477" s="1" t="e">
        <v>#N/A</v>
      </c>
      <c r="PO477" s="1" t="e">
        <v>#N/A</v>
      </c>
      <c r="PP477" s="1" t="e">
        <v>#N/A</v>
      </c>
      <c r="PQ477" s="1" t="e">
        <v>#N/A</v>
      </c>
      <c r="PR477" s="1" t="e">
        <v>#N/A</v>
      </c>
      <c r="PS477" s="1" t="e">
        <v>#N/A</v>
      </c>
      <c r="PT477" s="1" t="e">
        <v>#N/A</v>
      </c>
      <c r="PU477" s="1" t="e">
        <v>#N/A</v>
      </c>
      <c r="PV477" s="1" t="e">
        <v>#N/A</v>
      </c>
      <c r="PW477" s="1" t="e">
        <v>#N/A</v>
      </c>
      <c r="PX477" s="1" t="e">
        <v>#N/A</v>
      </c>
      <c r="PY477" s="1" t="e">
        <v>#N/A</v>
      </c>
      <c r="PZ477" s="1" t="e">
        <v>#N/A</v>
      </c>
      <c r="QA477" s="1" t="e">
        <v>#N/A</v>
      </c>
      <c r="QB477" s="1" t="e">
        <v>#N/A</v>
      </c>
      <c r="QC477" s="1" t="e">
        <v>#N/A</v>
      </c>
      <c r="QD477" s="1" t="e">
        <v>#N/A</v>
      </c>
      <c r="QE477" s="1" t="e">
        <v>#N/A</v>
      </c>
      <c r="QF477" s="1" t="e">
        <v>#N/A</v>
      </c>
      <c r="QG477" s="1" t="e">
        <v>#N/A</v>
      </c>
      <c r="QH477" s="1" t="e">
        <v>#N/A</v>
      </c>
      <c r="QI477" s="1" t="e">
        <v>#N/A</v>
      </c>
      <c r="QJ477" s="1" t="e">
        <v>#N/A</v>
      </c>
      <c r="QK477" s="1" t="e">
        <v>#N/A</v>
      </c>
      <c r="QL477" s="1" t="e">
        <v>#N/A</v>
      </c>
      <c r="QM477" s="1" t="e">
        <v>#N/A</v>
      </c>
      <c r="QN477" s="1" t="e">
        <v>#N/A</v>
      </c>
      <c r="QO477" s="1" t="e">
        <v>#N/A</v>
      </c>
      <c r="QP477" s="1" t="e">
        <v>#N/A</v>
      </c>
    </row>
    <row r="478" spans="1:458" ht="26.25" x14ac:dyDescent="0.4">
      <c r="A478" s="347"/>
      <c r="B478" s="348"/>
      <c r="C478" s="288"/>
      <c r="D478" s="349"/>
      <c r="E478" s="350"/>
      <c r="F478" s="351"/>
      <c r="G478" s="352"/>
      <c r="H478" s="348"/>
      <c r="I478" s="353"/>
      <c r="J478" s="353"/>
      <c r="PJ478" s="1" t="e">
        <v>#N/A</v>
      </c>
      <c r="PK478" s="1" t="e">
        <v>#N/A</v>
      </c>
      <c r="PL478" s="1" t="e">
        <v>#N/A</v>
      </c>
      <c r="PM478" s="1" t="e">
        <v>#N/A</v>
      </c>
      <c r="PN478" s="1" t="e">
        <v>#N/A</v>
      </c>
      <c r="PO478" s="1" t="e">
        <v>#N/A</v>
      </c>
      <c r="PP478" s="1" t="e">
        <v>#N/A</v>
      </c>
      <c r="PQ478" s="1" t="e">
        <v>#N/A</v>
      </c>
      <c r="PR478" s="1" t="e">
        <v>#N/A</v>
      </c>
      <c r="PS478" s="1" t="e">
        <v>#N/A</v>
      </c>
      <c r="PT478" s="1" t="e">
        <v>#N/A</v>
      </c>
      <c r="PU478" s="1" t="e">
        <v>#N/A</v>
      </c>
      <c r="PV478" s="1" t="e">
        <v>#N/A</v>
      </c>
      <c r="PW478" s="1" t="e">
        <v>#N/A</v>
      </c>
      <c r="PX478" s="1" t="e">
        <v>#N/A</v>
      </c>
      <c r="PY478" s="1" t="e">
        <v>#N/A</v>
      </c>
      <c r="PZ478" s="1" t="e">
        <v>#N/A</v>
      </c>
      <c r="QA478" s="1" t="e">
        <v>#N/A</v>
      </c>
      <c r="QB478" s="1" t="e">
        <v>#N/A</v>
      </c>
      <c r="QC478" s="1" t="e">
        <v>#N/A</v>
      </c>
      <c r="QD478" s="1" t="e">
        <v>#N/A</v>
      </c>
      <c r="QE478" s="1" t="e">
        <v>#N/A</v>
      </c>
      <c r="QF478" s="1" t="e">
        <v>#N/A</v>
      </c>
      <c r="QG478" s="1" t="e">
        <v>#N/A</v>
      </c>
      <c r="QH478" s="1" t="e">
        <v>#N/A</v>
      </c>
      <c r="QI478" s="1" t="e">
        <v>#N/A</v>
      </c>
      <c r="QJ478" s="1" t="e">
        <v>#N/A</v>
      </c>
      <c r="QK478" s="1" t="e">
        <v>#N/A</v>
      </c>
      <c r="QL478" s="1" t="e">
        <v>#N/A</v>
      </c>
      <c r="QM478" s="1" t="e">
        <v>#N/A</v>
      </c>
      <c r="QN478" s="1" t="e">
        <v>#N/A</v>
      </c>
      <c r="QO478" s="1" t="e">
        <v>#N/A</v>
      </c>
      <c r="QP478" s="1" t="e">
        <v>#N/A</v>
      </c>
    </row>
    <row r="479" spans="1:458" ht="26.25" x14ac:dyDescent="0.4">
      <c r="A479" s="347"/>
      <c r="B479" s="348"/>
      <c r="C479" s="288"/>
      <c r="D479" s="349"/>
      <c r="E479" s="350"/>
      <c r="F479" s="351"/>
      <c r="G479" s="352"/>
      <c r="H479" s="348"/>
      <c r="I479" s="353"/>
      <c r="J479" s="353"/>
      <c r="PJ479" s="1" t="e">
        <v>#N/A</v>
      </c>
      <c r="PK479" s="1" t="e">
        <v>#N/A</v>
      </c>
      <c r="PL479" s="1" t="e">
        <v>#N/A</v>
      </c>
      <c r="PM479" s="1" t="e">
        <v>#N/A</v>
      </c>
      <c r="PN479" s="1" t="e">
        <v>#N/A</v>
      </c>
      <c r="PO479" s="1" t="e">
        <v>#N/A</v>
      </c>
      <c r="PP479" s="1" t="e">
        <v>#N/A</v>
      </c>
      <c r="PQ479" s="1" t="e">
        <v>#N/A</v>
      </c>
      <c r="PR479" s="1" t="e">
        <v>#N/A</v>
      </c>
      <c r="PS479" s="1" t="e">
        <v>#N/A</v>
      </c>
      <c r="PT479" s="1" t="e">
        <v>#N/A</v>
      </c>
      <c r="PU479" s="1" t="e">
        <v>#N/A</v>
      </c>
      <c r="PV479" s="1" t="e">
        <v>#N/A</v>
      </c>
      <c r="PW479" s="1" t="e">
        <v>#N/A</v>
      </c>
      <c r="PX479" s="1" t="e">
        <v>#N/A</v>
      </c>
      <c r="PY479" s="1" t="e">
        <v>#N/A</v>
      </c>
      <c r="PZ479" s="1" t="e">
        <v>#N/A</v>
      </c>
      <c r="QA479" s="1" t="e">
        <v>#N/A</v>
      </c>
      <c r="QB479" s="1" t="e">
        <v>#N/A</v>
      </c>
      <c r="QC479" s="1" t="e">
        <v>#N/A</v>
      </c>
      <c r="QD479" s="1" t="e">
        <v>#N/A</v>
      </c>
      <c r="QE479" s="1" t="e">
        <v>#N/A</v>
      </c>
      <c r="QF479" s="1" t="e">
        <v>#N/A</v>
      </c>
      <c r="QG479" s="1" t="e">
        <v>#N/A</v>
      </c>
      <c r="QH479" s="1" t="e">
        <v>#N/A</v>
      </c>
      <c r="QI479" s="1" t="e">
        <v>#N/A</v>
      </c>
      <c r="QJ479" s="1" t="e">
        <v>#N/A</v>
      </c>
      <c r="QK479" s="1" t="e">
        <v>#N/A</v>
      </c>
      <c r="QL479" s="1" t="e">
        <v>#N/A</v>
      </c>
      <c r="QM479" s="1" t="e">
        <v>#N/A</v>
      </c>
      <c r="QN479" s="1" t="e">
        <v>#N/A</v>
      </c>
      <c r="QO479" s="1" t="e">
        <v>#N/A</v>
      </c>
      <c r="QP479" s="1" t="e">
        <v>#N/A</v>
      </c>
    </row>
    <row r="480" spans="1:458" ht="26.25" x14ac:dyDescent="0.4">
      <c r="A480" s="347"/>
      <c r="B480" s="348"/>
      <c r="C480" s="288"/>
      <c r="D480" s="349"/>
      <c r="E480" s="350"/>
      <c r="F480" s="351"/>
      <c r="G480" s="352"/>
      <c r="H480" s="348"/>
      <c r="I480" s="353"/>
      <c r="J480" s="353"/>
      <c r="PJ480" s="1" t="e">
        <v>#N/A</v>
      </c>
      <c r="PK480" s="1" t="e">
        <v>#N/A</v>
      </c>
      <c r="PL480" s="1" t="e">
        <v>#N/A</v>
      </c>
      <c r="PM480" s="1" t="e">
        <v>#N/A</v>
      </c>
      <c r="PN480" s="1" t="e">
        <v>#N/A</v>
      </c>
      <c r="PO480" s="1" t="e">
        <v>#N/A</v>
      </c>
      <c r="PP480" s="1" t="e">
        <v>#N/A</v>
      </c>
      <c r="PQ480" s="1" t="e">
        <v>#N/A</v>
      </c>
      <c r="PR480" s="1" t="e">
        <v>#N/A</v>
      </c>
      <c r="PS480" s="1" t="e">
        <v>#N/A</v>
      </c>
      <c r="PT480" s="1" t="e">
        <v>#N/A</v>
      </c>
      <c r="PU480" s="1" t="e">
        <v>#N/A</v>
      </c>
      <c r="PV480" s="1" t="e">
        <v>#N/A</v>
      </c>
      <c r="PW480" s="1" t="e">
        <v>#N/A</v>
      </c>
      <c r="PX480" s="1" t="e">
        <v>#N/A</v>
      </c>
      <c r="PY480" s="1" t="e">
        <v>#N/A</v>
      </c>
      <c r="PZ480" s="1" t="e">
        <v>#N/A</v>
      </c>
      <c r="QA480" s="1" t="e">
        <v>#N/A</v>
      </c>
      <c r="QB480" s="1" t="e">
        <v>#N/A</v>
      </c>
      <c r="QC480" s="1" t="e">
        <v>#N/A</v>
      </c>
      <c r="QD480" s="1" t="e">
        <v>#N/A</v>
      </c>
      <c r="QE480" s="1" t="e">
        <v>#N/A</v>
      </c>
      <c r="QF480" s="1" t="e">
        <v>#N/A</v>
      </c>
      <c r="QG480" s="1" t="e">
        <v>#N/A</v>
      </c>
      <c r="QH480" s="1" t="e">
        <v>#N/A</v>
      </c>
      <c r="QI480" s="1" t="e">
        <v>#N/A</v>
      </c>
      <c r="QJ480" s="1" t="e">
        <v>#N/A</v>
      </c>
      <c r="QK480" s="1" t="e">
        <v>#N/A</v>
      </c>
      <c r="QL480" s="1" t="e">
        <v>#N/A</v>
      </c>
      <c r="QM480" s="1" t="e">
        <v>#N/A</v>
      </c>
      <c r="QN480" s="1" t="e">
        <v>#N/A</v>
      </c>
      <c r="QO480" s="1" t="e">
        <v>#N/A</v>
      </c>
      <c r="QP480" s="1" t="e">
        <v>#N/A</v>
      </c>
    </row>
    <row r="481" spans="1:458" ht="26.25" x14ac:dyDescent="0.4">
      <c r="A481" s="347"/>
      <c r="B481" s="348"/>
      <c r="C481" s="288"/>
      <c r="D481" s="349"/>
      <c r="E481" s="350"/>
      <c r="F481" s="351"/>
      <c r="G481" s="352"/>
      <c r="H481" s="348"/>
      <c r="I481" s="353"/>
      <c r="J481" s="353"/>
      <c r="PJ481" s="1" t="e">
        <v>#N/A</v>
      </c>
      <c r="PK481" s="1" t="e">
        <v>#N/A</v>
      </c>
      <c r="PL481" s="1" t="e">
        <v>#N/A</v>
      </c>
      <c r="PM481" s="1" t="e">
        <v>#N/A</v>
      </c>
      <c r="PN481" s="1" t="e">
        <v>#N/A</v>
      </c>
      <c r="PO481" s="1" t="e">
        <v>#N/A</v>
      </c>
      <c r="PP481" s="1" t="e">
        <v>#N/A</v>
      </c>
      <c r="PQ481" s="1" t="e">
        <v>#N/A</v>
      </c>
      <c r="PR481" s="1" t="e">
        <v>#N/A</v>
      </c>
      <c r="PS481" s="1" t="e">
        <v>#N/A</v>
      </c>
      <c r="PT481" s="1" t="e">
        <v>#N/A</v>
      </c>
      <c r="PU481" s="1" t="e">
        <v>#N/A</v>
      </c>
      <c r="PV481" s="1" t="e">
        <v>#N/A</v>
      </c>
      <c r="PW481" s="1" t="e">
        <v>#N/A</v>
      </c>
      <c r="PX481" s="1" t="e">
        <v>#N/A</v>
      </c>
      <c r="PY481" s="1" t="e">
        <v>#N/A</v>
      </c>
      <c r="PZ481" s="1" t="e">
        <v>#N/A</v>
      </c>
      <c r="QA481" s="1" t="e">
        <v>#N/A</v>
      </c>
      <c r="QB481" s="1" t="e">
        <v>#N/A</v>
      </c>
      <c r="QC481" s="1" t="e">
        <v>#N/A</v>
      </c>
      <c r="QD481" s="1" t="e">
        <v>#N/A</v>
      </c>
      <c r="QE481" s="1" t="e">
        <v>#N/A</v>
      </c>
      <c r="QF481" s="1" t="e">
        <v>#N/A</v>
      </c>
      <c r="QG481" s="1" t="e">
        <v>#N/A</v>
      </c>
      <c r="QH481" s="1" t="e">
        <v>#N/A</v>
      </c>
      <c r="QI481" s="1" t="e">
        <v>#N/A</v>
      </c>
      <c r="QJ481" s="1" t="e">
        <v>#N/A</v>
      </c>
      <c r="QK481" s="1" t="e">
        <v>#N/A</v>
      </c>
      <c r="QL481" s="1" t="e">
        <v>#N/A</v>
      </c>
      <c r="QM481" s="1" t="e">
        <v>#N/A</v>
      </c>
      <c r="QN481" s="1" t="e">
        <v>#N/A</v>
      </c>
      <c r="QO481" s="1" t="e">
        <v>#N/A</v>
      </c>
      <c r="QP481" s="1" t="e">
        <v>#N/A</v>
      </c>
    </row>
    <row r="482" spans="1:458" ht="26.25" x14ac:dyDescent="0.4">
      <c r="A482" s="347"/>
      <c r="B482" s="348"/>
      <c r="C482" s="288"/>
      <c r="D482" s="349"/>
      <c r="E482" s="350"/>
      <c r="F482" s="351"/>
      <c r="G482" s="352"/>
      <c r="H482" s="348"/>
      <c r="I482" s="353"/>
      <c r="J482" s="353"/>
      <c r="PJ482" s="1" t="e">
        <v>#N/A</v>
      </c>
      <c r="PK482" s="1" t="e">
        <v>#N/A</v>
      </c>
      <c r="PL482" s="1" t="e">
        <v>#N/A</v>
      </c>
      <c r="PM482" s="1" t="e">
        <v>#N/A</v>
      </c>
      <c r="PN482" s="1" t="e">
        <v>#N/A</v>
      </c>
      <c r="PO482" s="1" t="e">
        <v>#N/A</v>
      </c>
      <c r="PP482" s="1" t="e">
        <v>#N/A</v>
      </c>
      <c r="PQ482" s="1" t="e">
        <v>#N/A</v>
      </c>
      <c r="PR482" s="1" t="e">
        <v>#N/A</v>
      </c>
      <c r="PS482" s="1" t="e">
        <v>#N/A</v>
      </c>
      <c r="PT482" s="1" t="e">
        <v>#N/A</v>
      </c>
      <c r="PU482" s="1" t="e">
        <v>#N/A</v>
      </c>
      <c r="PV482" s="1" t="e">
        <v>#N/A</v>
      </c>
      <c r="PW482" s="1" t="e">
        <v>#N/A</v>
      </c>
      <c r="PX482" s="1" t="e">
        <v>#N/A</v>
      </c>
      <c r="PY482" s="1" t="e">
        <v>#N/A</v>
      </c>
      <c r="PZ482" s="1" t="e">
        <v>#N/A</v>
      </c>
      <c r="QA482" s="1" t="e">
        <v>#N/A</v>
      </c>
      <c r="QB482" s="1" t="e">
        <v>#N/A</v>
      </c>
      <c r="QC482" s="1" t="e">
        <v>#N/A</v>
      </c>
      <c r="QD482" s="1" t="e">
        <v>#N/A</v>
      </c>
      <c r="QE482" s="1" t="e">
        <v>#N/A</v>
      </c>
      <c r="QF482" s="1" t="e">
        <v>#N/A</v>
      </c>
      <c r="QG482" s="1" t="e">
        <v>#N/A</v>
      </c>
      <c r="QH482" s="1" t="e">
        <v>#N/A</v>
      </c>
      <c r="QI482" s="1" t="e">
        <v>#N/A</v>
      </c>
      <c r="QJ482" s="1" t="e">
        <v>#N/A</v>
      </c>
      <c r="QK482" s="1" t="e">
        <v>#N/A</v>
      </c>
      <c r="QL482" s="1" t="e">
        <v>#N/A</v>
      </c>
      <c r="QM482" s="1" t="e">
        <v>#N/A</v>
      </c>
      <c r="QN482" s="1" t="e">
        <v>#N/A</v>
      </c>
      <c r="QO482" s="1" t="e">
        <v>#N/A</v>
      </c>
      <c r="QP482" s="1" t="e">
        <v>#N/A</v>
      </c>
    </row>
    <row r="483" spans="1:458" ht="26.25" x14ac:dyDescent="0.4">
      <c r="A483" s="347"/>
      <c r="B483" s="348"/>
      <c r="C483" s="288"/>
      <c r="D483" s="349"/>
      <c r="E483" s="350"/>
      <c r="F483" s="351"/>
      <c r="G483" s="352"/>
      <c r="H483" s="348"/>
      <c r="I483" s="353"/>
      <c r="J483" s="353"/>
      <c r="PJ483" s="1" t="e">
        <v>#N/A</v>
      </c>
      <c r="PK483" s="1" t="e">
        <v>#N/A</v>
      </c>
      <c r="PL483" s="1" t="e">
        <v>#N/A</v>
      </c>
      <c r="PM483" s="1" t="e">
        <v>#N/A</v>
      </c>
      <c r="PN483" s="1" t="e">
        <v>#N/A</v>
      </c>
      <c r="PO483" s="1" t="e">
        <v>#N/A</v>
      </c>
      <c r="PP483" s="1" t="e">
        <v>#N/A</v>
      </c>
      <c r="PQ483" s="1" t="e">
        <v>#N/A</v>
      </c>
      <c r="PR483" s="1" t="e">
        <v>#N/A</v>
      </c>
      <c r="PS483" s="1" t="e">
        <v>#N/A</v>
      </c>
      <c r="PT483" s="1" t="e">
        <v>#N/A</v>
      </c>
      <c r="PU483" s="1" t="e">
        <v>#N/A</v>
      </c>
      <c r="PV483" s="1" t="e">
        <v>#N/A</v>
      </c>
      <c r="PW483" s="1" t="e">
        <v>#N/A</v>
      </c>
      <c r="PX483" s="1" t="e">
        <v>#N/A</v>
      </c>
      <c r="PY483" s="1" t="e">
        <v>#N/A</v>
      </c>
      <c r="PZ483" s="1" t="e">
        <v>#N/A</v>
      </c>
      <c r="QA483" s="1" t="e">
        <v>#N/A</v>
      </c>
      <c r="QB483" s="1" t="e">
        <v>#N/A</v>
      </c>
      <c r="QC483" s="1" t="e">
        <v>#N/A</v>
      </c>
      <c r="QD483" s="1" t="e">
        <v>#N/A</v>
      </c>
      <c r="QE483" s="1" t="e">
        <v>#N/A</v>
      </c>
      <c r="QF483" s="1" t="e">
        <v>#N/A</v>
      </c>
      <c r="QG483" s="1" t="e">
        <v>#N/A</v>
      </c>
      <c r="QH483" s="1" t="e">
        <v>#N/A</v>
      </c>
      <c r="QI483" s="1" t="e">
        <v>#N/A</v>
      </c>
      <c r="QJ483" s="1" t="e">
        <v>#N/A</v>
      </c>
      <c r="QK483" s="1" t="e">
        <v>#N/A</v>
      </c>
      <c r="QL483" s="1" t="e">
        <v>#N/A</v>
      </c>
      <c r="QM483" s="1" t="e">
        <v>#N/A</v>
      </c>
      <c r="QN483" s="1" t="e">
        <v>#N/A</v>
      </c>
      <c r="QO483" s="1" t="e">
        <v>#N/A</v>
      </c>
      <c r="QP483" s="1" t="e">
        <v>#N/A</v>
      </c>
    </row>
    <row r="484" spans="1:458" ht="26.25" x14ac:dyDescent="0.4">
      <c r="A484" s="347"/>
      <c r="B484" s="348"/>
      <c r="C484" s="288"/>
      <c r="D484" s="349"/>
      <c r="E484" s="350"/>
      <c r="F484" s="351"/>
      <c r="G484" s="352"/>
      <c r="H484" s="348"/>
      <c r="I484" s="353"/>
      <c r="J484" s="353"/>
      <c r="PJ484" s="1" t="e">
        <v>#N/A</v>
      </c>
      <c r="PK484" s="1" t="e">
        <v>#N/A</v>
      </c>
      <c r="PL484" s="1" t="e">
        <v>#N/A</v>
      </c>
      <c r="PM484" s="1" t="e">
        <v>#N/A</v>
      </c>
      <c r="PN484" s="1" t="e">
        <v>#N/A</v>
      </c>
      <c r="PO484" s="1" t="e">
        <v>#N/A</v>
      </c>
      <c r="PP484" s="1" t="e">
        <v>#N/A</v>
      </c>
      <c r="PQ484" s="1" t="e">
        <v>#N/A</v>
      </c>
      <c r="PR484" s="1" t="e">
        <v>#N/A</v>
      </c>
      <c r="PS484" s="1" t="e">
        <v>#N/A</v>
      </c>
      <c r="PT484" s="1" t="e">
        <v>#N/A</v>
      </c>
      <c r="PU484" s="1" t="e">
        <v>#N/A</v>
      </c>
      <c r="PV484" s="1" t="e">
        <v>#N/A</v>
      </c>
      <c r="PW484" s="1" t="e">
        <v>#N/A</v>
      </c>
      <c r="PX484" s="1" t="e">
        <v>#N/A</v>
      </c>
      <c r="PY484" s="1" t="e">
        <v>#N/A</v>
      </c>
      <c r="PZ484" s="1" t="e">
        <v>#N/A</v>
      </c>
      <c r="QA484" s="1" t="e">
        <v>#N/A</v>
      </c>
      <c r="QB484" s="1" t="e">
        <v>#N/A</v>
      </c>
      <c r="QC484" s="1" t="e">
        <v>#N/A</v>
      </c>
      <c r="QD484" s="1" t="e">
        <v>#N/A</v>
      </c>
      <c r="QE484" s="1" t="e">
        <v>#N/A</v>
      </c>
      <c r="QF484" s="1" t="e">
        <v>#N/A</v>
      </c>
      <c r="QG484" s="1" t="e">
        <v>#N/A</v>
      </c>
      <c r="QH484" s="1" t="e">
        <v>#N/A</v>
      </c>
      <c r="QI484" s="1" t="e">
        <v>#N/A</v>
      </c>
      <c r="QJ484" s="1" t="e">
        <v>#N/A</v>
      </c>
      <c r="QK484" s="1" t="e">
        <v>#N/A</v>
      </c>
      <c r="QL484" s="1" t="e">
        <v>#N/A</v>
      </c>
      <c r="QM484" s="1" t="e">
        <v>#N/A</v>
      </c>
      <c r="QN484" s="1" t="e">
        <v>#N/A</v>
      </c>
      <c r="QO484" s="1" t="e">
        <v>#N/A</v>
      </c>
      <c r="QP484" s="1" t="e">
        <v>#N/A</v>
      </c>
    </row>
    <row r="485" spans="1:458" ht="26.25" x14ac:dyDescent="0.4">
      <c r="A485" s="347"/>
      <c r="B485" s="348"/>
      <c r="C485" s="288"/>
      <c r="D485" s="349"/>
      <c r="E485" s="350"/>
      <c r="F485" s="351"/>
      <c r="G485" s="352"/>
      <c r="H485" s="348"/>
      <c r="I485" s="353"/>
      <c r="J485" s="353"/>
      <c r="PJ485" s="1" t="e">
        <v>#N/A</v>
      </c>
      <c r="PK485" s="1" t="e">
        <v>#N/A</v>
      </c>
      <c r="PL485" s="1" t="e">
        <v>#N/A</v>
      </c>
      <c r="PM485" s="1" t="e">
        <v>#N/A</v>
      </c>
      <c r="PN485" s="1" t="e">
        <v>#N/A</v>
      </c>
      <c r="PO485" s="1" t="e">
        <v>#N/A</v>
      </c>
      <c r="PP485" s="1" t="e">
        <v>#N/A</v>
      </c>
      <c r="PQ485" s="1" t="e">
        <v>#N/A</v>
      </c>
      <c r="PR485" s="1" t="e">
        <v>#N/A</v>
      </c>
      <c r="PS485" s="1" t="e">
        <v>#N/A</v>
      </c>
      <c r="PT485" s="1" t="e">
        <v>#N/A</v>
      </c>
      <c r="PU485" s="1" t="e">
        <v>#N/A</v>
      </c>
      <c r="PV485" s="1" t="e">
        <v>#N/A</v>
      </c>
      <c r="PW485" s="1" t="e">
        <v>#N/A</v>
      </c>
      <c r="PX485" s="1" t="e">
        <v>#N/A</v>
      </c>
      <c r="PY485" s="1" t="e">
        <v>#N/A</v>
      </c>
      <c r="PZ485" s="1" t="e">
        <v>#N/A</v>
      </c>
      <c r="QA485" s="1" t="e">
        <v>#N/A</v>
      </c>
      <c r="QB485" s="1" t="e">
        <v>#N/A</v>
      </c>
      <c r="QC485" s="1" t="e">
        <v>#N/A</v>
      </c>
      <c r="QD485" s="1" t="e">
        <v>#N/A</v>
      </c>
      <c r="QE485" s="1" t="e">
        <v>#N/A</v>
      </c>
      <c r="QF485" s="1" t="e">
        <v>#N/A</v>
      </c>
      <c r="QG485" s="1" t="e">
        <v>#N/A</v>
      </c>
      <c r="QH485" s="1" t="e">
        <v>#N/A</v>
      </c>
      <c r="QI485" s="1" t="e">
        <v>#N/A</v>
      </c>
      <c r="QJ485" s="1" t="e">
        <v>#N/A</v>
      </c>
      <c r="QK485" s="1" t="e">
        <v>#N/A</v>
      </c>
      <c r="QL485" s="1" t="e">
        <v>#N/A</v>
      </c>
      <c r="QM485" s="1" t="e">
        <v>#N/A</v>
      </c>
      <c r="QN485" s="1" t="e">
        <v>#N/A</v>
      </c>
      <c r="QO485" s="1" t="e">
        <v>#N/A</v>
      </c>
      <c r="QP485" s="1" t="e">
        <v>#N/A</v>
      </c>
    </row>
    <row r="486" spans="1:458" ht="26.25" x14ac:dyDescent="0.4">
      <c r="A486" s="347"/>
      <c r="B486" s="348"/>
      <c r="C486" s="288"/>
      <c r="D486" s="349"/>
      <c r="E486" s="350"/>
      <c r="F486" s="351"/>
      <c r="G486" s="352"/>
      <c r="H486" s="348"/>
      <c r="I486" s="353"/>
      <c r="J486" s="353"/>
      <c r="PJ486" s="1" t="e">
        <v>#N/A</v>
      </c>
      <c r="PK486" s="1" t="e">
        <v>#N/A</v>
      </c>
      <c r="PL486" s="1" t="e">
        <v>#N/A</v>
      </c>
      <c r="PM486" s="1" t="e">
        <v>#N/A</v>
      </c>
      <c r="PN486" s="1" t="e">
        <v>#N/A</v>
      </c>
      <c r="PO486" s="1" t="e">
        <v>#N/A</v>
      </c>
      <c r="PP486" s="1" t="e">
        <v>#N/A</v>
      </c>
      <c r="PQ486" s="1" t="e">
        <v>#N/A</v>
      </c>
      <c r="PR486" s="1" t="e">
        <v>#N/A</v>
      </c>
      <c r="PS486" s="1" t="e">
        <v>#N/A</v>
      </c>
      <c r="PT486" s="1" t="e">
        <v>#N/A</v>
      </c>
      <c r="PU486" s="1" t="e">
        <v>#N/A</v>
      </c>
      <c r="PV486" s="1" t="e">
        <v>#N/A</v>
      </c>
      <c r="PW486" s="1" t="e">
        <v>#N/A</v>
      </c>
      <c r="PX486" s="1" t="e">
        <v>#N/A</v>
      </c>
      <c r="PY486" s="1" t="e">
        <v>#N/A</v>
      </c>
      <c r="PZ486" s="1" t="e">
        <v>#N/A</v>
      </c>
      <c r="QA486" s="1" t="e">
        <v>#N/A</v>
      </c>
      <c r="QB486" s="1" t="e">
        <v>#N/A</v>
      </c>
      <c r="QC486" s="1" t="e">
        <v>#N/A</v>
      </c>
      <c r="QD486" s="1" t="e">
        <v>#N/A</v>
      </c>
      <c r="QE486" s="1" t="e">
        <v>#N/A</v>
      </c>
      <c r="QF486" s="1" t="e">
        <v>#N/A</v>
      </c>
      <c r="QG486" s="1" t="e">
        <v>#N/A</v>
      </c>
      <c r="QH486" s="1" t="e">
        <v>#N/A</v>
      </c>
      <c r="QI486" s="1" t="e">
        <v>#N/A</v>
      </c>
      <c r="QJ486" s="1" t="e">
        <v>#N/A</v>
      </c>
      <c r="QK486" s="1" t="e">
        <v>#N/A</v>
      </c>
      <c r="QL486" s="1" t="e">
        <v>#N/A</v>
      </c>
      <c r="QM486" s="1" t="e">
        <v>#N/A</v>
      </c>
      <c r="QN486" s="1" t="e">
        <v>#N/A</v>
      </c>
      <c r="QO486" s="1" t="e">
        <v>#N/A</v>
      </c>
      <c r="QP486" s="1" t="e">
        <v>#N/A</v>
      </c>
    </row>
    <row r="487" spans="1:458" ht="26.25" x14ac:dyDescent="0.4">
      <c r="A487" s="347"/>
      <c r="B487" s="348"/>
      <c r="C487" s="288"/>
      <c r="D487" s="349"/>
      <c r="E487" s="350"/>
      <c r="F487" s="351"/>
      <c r="G487" s="352"/>
      <c r="H487" s="348"/>
      <c r="I487" s="353"/>
      <c r="J487" s="353"/>
      <c r="PJ487" s="1" t="e">
        <v>#N/A</v>
      </c>
      <c r="PK487" s="1" t="e">
        <v>#N/A</v>
      </c>
      <c r="PL487" s="1" t="e">
        <v>#N/A</v>
      </c>
      <c r="PM487" s="1" t="e">
        <v>#N/A</v>
      </c>
      <c r="PN487" s="1" t="e">
        <v>#N/A</v>
      </c>
      <c r="PO487" s="1" t="e">
        <v>#N/A</v>
      </c>
      <c r="PP487" s="1" t="e">
        <v>#N/A</v>
      </c>
      <c r="PQ487" s="1" t="e">
        <v>#N/A</v>
      </c>
      <c r="PR487" s="1" t="e">
        <v>#N/A</v>
      </c>
      <c r="PS487" s="1" t="e">
        <v>#N/A</v>
      </c>
      <c r="PT487" s="1" t="e">
        <v>#N/A</v>
      </c>
      <c r="PU487" s="1" t="e">
        <v>#N/A</v>
      </c>
      <c r="PV487" s="1" t="e">
        <v>#N/A</v>
      </c>
      <c r="PW487" s="1" t="e">
        <v>#N/A</v>
      </c>
      <c r="PX487" s="1" t="e">
        <v>#N/A</v>
      </c>
      <c r="PY487" s="1" t="e">
        <v>#N/A</v>
      </c>
      <c r="PZ487" s="1" t="e">
        <v>#N/A</v>
      </c>
      <c r="QA487" s="1" t="e">
        <v>#N/A</v>
      </c>
      <c r="QB487" s="1" t="e">
        <v>#N/A</v>
      </c>
      <c r="QC487" s="1" t="e">
        <v>#N/A</v>
      </c>
      <c r="QD487" s="1" t="e">
        <v>#N/A</v>
      </c>
      <c r="QE487" s="1" t="e">
        <v>#N/A</v>
      </c>
      <c r="QF487" s="1" t="e">
        <v>#N/A</v>
      </c>
      <c r="QG487" s="1" t="e">
        <v>#N/A</v>
      </c>
      <c r="QH487" s="1" t="e">
        <v>#N/A</v>
      </c>
      <c r="QI487" s="1" t="e">
        <v>#N/A</v>
      </c>
      <c r="QJ487" s="1" t="e">
        <v>#N/A</v>
      </c>
      <c r="QK487" s="1" t="e">
        <v>#N/A</v>
      </c>
      <c r="QL487" s="1" t="e">
        <v>#N/A</v>
      </c>
      <c r="QM487" s="1" t="e">
        <v>#N/A</v>
      </c>
      <c r="QN487" s="1" t="e">
        <v>#N/A</v>
      </c>
      <c r="QO487" s="1" t="e">
        <v>#N/A</v>
      </c>
      <c r="QP487" s="1" t="e">
        <v>#N/A</v>
      </c>
    </row>
    <row r="488" spans="1:458" ht="26.25" x14ac:dyDescent="0.4">
      <c r="A488" s="347"/>
      <c r="B488" s="348"/>
      <c r="C488" s="288"/>
      <c r="D488" s="349"/>
      <c r="E488" s="350"/>
      <c r="F488" s="351"/>
      <c r="G488" s="352"/>
      <c r="H488" s="348"/>
      <c r="I488" s="353"/>
      <c r="J488" s="353"/>
      <c r="PJ488" s="1" t="e">
        <v>#N/A</v>
      </c>
      <c r="PK488" s="1" t="e">
        <v>#N/A</v>
      </c>
      <c r="PL488" s="1" t="e">
        <v>#N/A</v>
      </c>
      <c r="PM488" s="1" t="e">
        <v>#N/A</v>
      </c>
      <c r="PN488" s="1" t="e">
        <v>#N/A</v>
      </c>
      <c r="PO488" s="1" t="e">
        <v>#N/A</v>
      </c>
      <c r="PP488" s="1" t="e">
        <v>#N/A</v>
      </c>
      <c r="PQ488" s="1" t="e">
        <v>#N/A</v>
      </c>
      <c r="PR488" s="1" t="e">
        <v>#N/A</v>
      </c>
      <c r="PS488" s="1" t="e">
        <v>#N/A</v>
      </c>
      <c r="PT488" s="1" t="e">
        <v>#N/A</v>
      </c>
      <c r="PU488" s="1" t="e">
        <v>#N/A</v>
      </c>
      <c r="PV488" s="1" t="e">
        <v>#N/A</v>
      </c>
      <c r="PW488" s="1" t="e">
        <v>#N/A</v>
      </c>
      <c r="PX488" s="1" t="e">
        <v>#N/A</v>
      </c>
      <c r="PY488" s="1" t="e">
        <v>#N/A</v>
      </c>
      <c r="PZ488" s="1" t="e">
        <v>#N/A</v>
      </c>
      <c r="QA488" s="1" t="e">
        <v>#N/A</v>
      </c>
      <c r="QB488" s="1" t="e">
        <v>#N/A</v>
      </c>
      <c r="QC488" s="1" t="e">
        <v>#N/A</v>
      </c>
      <c r="QD488" s="1" t="e">
        <v>#N/A</v>
      </c>
      <c r="QE488" s="1" t="e">
        <v>#N/A</v>
      </c>
      <c r="QF488" s="1" t="e">
        <v>#N/A</v>
      </c>
      <c r="QG488" s="1" t="e">
        <v>#N/A</v>
      </c>
      <c r="QH488" s="1" t="e">
        <v>#N/A</v>
      </c>
      <c r="QI488" s="1" t="e">
        <v>#N/A</v>
      </c>
      <c r="QJ488" s="1" t="e">
        <v>#N/A</v>
      </c>
      <c r="QK488" s="1" t="e">
        <v>#N/A</v>
      </c>
      <c r="QL488" s="1" t="e">
        <v>#N/A</v>
      </c>
      <c r="QM488" s="1" t="e">
        <v>#N/A</v>
      </c>
      <c r="QN488" s="1" t="e">
        <v>#N/A</v>
      </c>
      <c r="QO488" s="1" t="e">
        <v>#N/A</v>
      </c>
      <c r="QP488" s="1" t="e">
        <v>#N/A</v>
      </c>
    </row>
    <row r="489" spans="1:458" ht="26.25" x14ac:dyDescent="0.4">
      <c r="A489" s="347"/>
      <c r="B489" s="348"/>
      <c r="C489" s="288"/>
      <c r="D489" s="349"/>
      <c r="E489" s="350"/>
      <c r="F489" s="351"/>
      <c r="G489" s="352"/>
      <c r="H489" s="348"/>
      <c r="I489" s="353"/>
      <c r="J489" s="353"/>
      <c r="PJ489" s="1" t="e">
        <v>#N/A</v>
      </c>
      <c r="PK489" s="1" t="e">
        <v>#N/A</v>
      </c>
      <c r="PL489" s="1" t="e">
        <v>#N/A</v>
      </c>
      <c r="PM489" s="1" t="e">
        <v>#N/A</v>
      </c>
      <c r="PN489" s="1" t="e">
        <v>#N/A</v>
      </c>
      <c r="PO489" s="1" t="e">
        <v>#N/A</v>
      </c>
      <c r="PP489" s="1" t="e">
        <v>#N/A</v>
      </c>
      <c r="PQ489" s="1" t="e">
        <v>#N/A</v>
      </c>
      <c r="PR489" s="1" t="e">
        <v>#N/A</v>
      </c>
      <c r="PS489" s="1" t="e">
        <v>#N/A</v>
      </c>
      <c r="PT489" s="1" t="e">
        <v>#N/A</v>
      </c>
      <c r="PU489" s="1" t="e">
        <v>#N/A</v>
      </c>
      <c r="PV489" s="1" t="e">
        <v>#N/A</v>
      </c>
      <c r="PW489" s="1" t="e">
        <v>#N/A</v>
      </c>
      <c r="PX489" s="1" t="e">
        <v>#N/A</v>
      </c>
      <c r="PY489" s="1" t="e">
        <v>#N/A</v>
      </c>
      <c r="PZ489" s="1" t="e">
        <v>#N/A</v>
      </c>
      <c r="QA489" s="1" t="e">
        <v>#N/A</v>
      </c>
      <c r="QB489" s="1" t="e">
        <v>#N/A</v>
      </c>
      <c r="QC489" s="1" t="e">
        <v>#N/A</v>
      </c>
      <c r="QD489" s="1" t="e">
        <v>#N/A</v>
      </c>
      <c r="QE489" s="1" t="e">
        <v>#N/A</v>
      </c>
      <c r="QF489" s="1" t="e">
        <v>#N/A</v>
      </c>
      <c r="QG489" s="1" t="e">
        <v>#N/A</v>
      </c>
      <c r="QH489" s="1" t="e">
        <v>#N/A</v>
      </c>
      <c r="QI489" s="1" t="e">
        <v>#N/A</v>
      </c>
      <c r="QJ489" s="1" t="e">
        <v>#N/A</v>
      </c>
      <c r="QK489" s="1" t="e">
        <v>#N/A</v>
      </c>
      <c r="QL489" s="1" t="e">
        <v>#N/A</v>
      </c>
      <c r="QM489" s="1" t="e">
        <v>#N/A</v>
      </c>
      <c r="QN489" s="1" t="e">
        <v>#N/A</v>
      </c>
      <c r="QO489" s="1" t="e">
        <v>#N/A</v>
      </c>
      <c r="QP489" s="1" t="e">
        <v>#N/A</v>
      </c>
    </row>
    <row r="490" spans="1:458" ht="26.25" x14ac:dyDescent="0.4">
      <c r="A490" s="347"/>
      <c r="B490" s="348"/>
      <c r="C490" s="288"/>
      <c r="D490" s="349"/>
      <c r="E490" s="350"/>
      <c r="F490" s="351"/>
      <c r="G490" s="352"/>
      <c r="H490" s="348"/>
      <c r="I490" s="353"/>
      <c r="J490" s="353"/>
      <c r="PJ490" s="1" t="e">
        <v>#N/A</v>
      </c>
      <c r="PK490" s="1" t="e">
        <v>#N/A</v>
      </c>
      <c r="PL490" s="1" t="e">
        <v>#N/A</v>
      </c>
      <c r="PM490" s="1" t="e">
        <v>#N/A</v>
      </c>
      <c r="PN490" s="1" t="e">
        <v>#N/A</v>
      </c>
      <c r="PO490" s="1" t="e">
        <v>#N/A</v>
      </c>
      <c r="PP490" s="1" t="e">
        <v>#N/A</v>
      </c>
      <c r="PQ490" s="1" t="e">
        <v>#N/A</v>
      </c>
      <c r="PR490" s="1" t="e">
        <v>#N/A</v>
      </c>
      <c r="PS490" s="1" t="e">
        <v>#N/A</v>
      </c>
      <c r="PT490" s="1" t="e">
        <v>#N/A</v>
      </c>
      <c r="PU490" s="1" t="e">
        <v>#N/A</v>
      </c>
      <c r="PV490" s="1" t="e">
        <v>#N/A</v>
      </c>
      <c r="PW490" s="1" t="e">
        <v>#N/A</v>
      </c>
      <c r="PX490" s="1" t="e">
        <v>#N/A</v>
      </c>
      <c r="PY490" s="1" t="e">
        <v>#N/A</v>
      </c>
      <c r="PZ490" s="1" t="e">
        <v>#N/A</v>
      </c>
      <c r="QA490" s="1" t="e">
        <v>#N/A</v>
      </c>
      <c r="QB490" s="1" t="e">
        <v>#N/A</v>
      </c>
      <c r="QC490" s="1" t="e">
        <v>#N/A</v>
      </c>
      <c r="QD490" s="1" t="e">
        <v>#N/A</v>
      </c>
      <c r="QE490" s="1" t="e">
        <v>#N/A</v>
      </c>
      <c r="QF490" s="1" t="e">
        <v>#N/A</v>
      </c>
      <c r="QG490" s="1" t="e">
        <v>#N/A</v>
      </c>
      <c r="QH490" s="1" t="e">
        <v>#N/A</v>
      </c>
      <c r="QI490" s="1" t="e">
        <v>#N/A</v>
      </c>
      <c r="QJ490" s="1" t="e">
        <v>#N/A</v>
      </c>
      <c r="QK490" s="1" t="e">
        <v>#N/A</v>
      </c>
      <c r="QL490" s="1" t="e">
        <v>#N/A</v>
      </c>
      <c r="QM490" s="1" t="e">
        <v>#N/A</v>
      </c>
      <c r="QN490" s="1" t="e">
        <v>#N/A</v>
      </c>
      <c r="QO490" s="1" t="e">
        <v>#N/A</v>
      </c>
      <c r="QP490" s="1" t="e">
        <v>#N/A</v>
      </c>
    </row>
    <row r="491" spans="1:458" ht="26.25" x14ac:dyDescent="0.4">
      <c r="A491" s="347"/>
      <c r="B491" s="348"/>
      <c r="C491" s="288"/>
      <c r="D491" s="349"/>
      <c r="E491" s="350"/>
      <c r="F491" s="351"/>
      <c r="G491" s="352"/>
      <c r="H491" s="348"/>
      <c r="I491" s="353"/>
      <c r="J491" s="353"/>
      <c r="PJ491" s="1" t="e">
        <v>#N/A</v>
      </c>
      <c r="PK491" s="1" t="e">
        <v>#N/A</v>
      </c>
      <c r="PL491" s="1" t="e">
        <v>#N/A</v>
      </c>
      <c r="PM491" s="1" t="e">
        <v>#N/A</v>
      </c>
      <c r="PN491" s="1" t="e">
        <v>#N/A</v>
      </c>
      <c r="PO491" s="1" t="e">
        <v>#N/A</v>
      </c>
      <c r="PP491" s="1" t="e">
        <v>#N/A</v>
      </c>
      <c r="PQ491" s="1" t="e">
        <v>#N/A</v>
      </c>
      <c r="PR491" s="1" t="e">
        <v>#N/A</v>
      </c>
      <c r="PS491" s="1" t="e">
        <v>#N/A</v>
      </c>
      <c r="PT491" s="1" t="e">
        <v>#N/A</v>
      </c>
      <c r="PU491" s="1" t="e">
        <v>#N/A</v>
      </c>
      <c r="PV491" s="1" t="e">
        <v>#N/A</v>
      </c>
      <c r="PW491" s="1" t="e">
        <v>#N/A</v>
      </c>
      <c r="PX491" s="1" t="e">
        <v>#N/A</v>
      </c>
      <c r="PY491" s="1" t="e">
        <v>#N/A</v>
      </c>
      <c r="PZ491" s="1" t="e">
        <v>#N/A</v>
      </c>
      <c r="QA491" s="1" t="e">
        <v>#N/A</v>
      </c>
      <c r="QB491" s="1" t="e">
        <v>#N/A</v>
      </c>
      <c r="QC491" s="1" t="e">
        <v>#N/A</v>
      </c>
      <c r="QD491" s="1" t="e">
        <v>#N/A</v>
      </c>
      <c r="QE491" s="1" t="e">
        <v>#N/A</v>
      </c>
      <c r="QF491" s="1" t="e">
        <v>#N/A</v>
      </c>
      <c r="QG491" s="1" t="e">
        <v>#N/A</v>
      </c>
      <c r="QH491" s="1" t="e">
        <v>#N/A</v>
      </c>
      <c r="QI491" s="1" t="e">
        <v>#N/A</v>
      </c>
      <c r="QJ491" s="1" t="e">
        <v>#N/A</v>
      </c>
      <c r="QK491" s="1" t="e">
        <v>#N/A</v>
      </c>
      <c r="QL491" s="1" t="e">
        <v>#N/A</v>
      </c>
      <c r="QM491" s="1" t="e">
        <v>#N/A</v>
      </c>
      <c r="QN491" s="1" t="e">
        <v>#N/A</v>
      </c>
      <c r="QO491" s="1" t="e">
        <v>#N/A</v>
      </c>
      <c r="QP491" s="1" t="e">
        <v>#N/A</v>
      </c>
    </row>
    <row r="492" spans="1:458" ht="26.25" x14ac:dyDescent="0.4">
      <c r="A492" s="347"/>
      <c r="B492" s="348"/>
      <c r="C492" s="288"/>
      <c r="D492" s="349"/>
      <c r="E492" s="350"/>
      <c r="F492" s="351"/>
      <c r="G492" s="352"/>
      <c r="H492" s="348"/>
      <c r="I492" s="353"/>
      <c r="J492" s="353"/>
      <c r="PJ492" s="1" t="e">
        <v>#N/A</v>
      </c>
      <c r="PK492" s="1" t="e">
        <v>#N/A</v>
      </c>
      <c r="PL492" s="1" t="e">
        <v>#N/A</v>
      </c>
      <c r="PM492" s="1" t="e">
        <v>#N/A</v>
      </c>
      <c r="PN492" s="1" t="e">
        <v>#N/A</v>
      </c>
      <c r="PO492" s="1" t="e">
        <v>#N/A</v>
      </c>
      <c r="PP492" s="1" t="e">
        <v>#N/A</v>
      </c>
      <c r="PQ492" s="1" t="e">
        <v>#N/A</v>
      </c>
      <c r="PR492" s="1" t="e">
        <v>#N/A</v>
      </c>
      <c r="PS492" s="1" t="e">
        <v>#N/A</v>
      </c>
      <c r="PT492" s="1" t="e">
        <v>#N/A</v>
      </c>
      <c r="PU492" s="1" t="e">
        <v>#N/A</v>
      </c>
      <c r="PV492" s="1" t="e">
        <v>#N/A</v>
      </c>
      <c r="PW492" s="1" t="e">
        <v>#N/A</v>
      </c>
      <c r="PX492" s="1" t="e">
        <v>#N/A</v>
      </c>
      <c r="PY492" s="1" t="e">
        <v>#N/A</v>
      </c>
      <c r="PZ492" s="1" t="e">
        <v>#N/A</v>
      </c>
      <c r="QA492" s="1" t="e">
        <v>#N/A</v>
      </c>
      <c r="QB492" s="1" t="e">
        <v>#N/A</v>
      </c>
      <c r="QC492" s="1" t="e">
        <v>#N/A</v>
      </c>
      <c r="QD492" s="1" t="e">
        <v>#N/A</v>
      </c>
      <c r="QE492" s="1" t="e">
        <v>#N/A</v>
      </c>
      <c r="QF492" s="1" t="e">
        <v>#N/A</v>
      </c>
      <c r="QG492" s="1" t="e">
        <v>#N/A</v>
      </c>
      <c r="QH492" s="1" t="e">
        <v>#N/A</v>
      </c>
      <c r="QI492" s="1" t="e">
        <v>#N/A</v>
      </c>
      <c r="QJ492" s="1" t="e">
        <v>#N/A</v>
      </c>
      <c r="QK492" s="1" t="e">
        <v>#N/A</v>
      </c>
      <c r="QL492" s="1" t="e">
        <v>#N/A</v>
      </c>
      <c r="QM492" s="1" t="e">
        <v>#N/A</v>
      </c>
      <c r="QN492" s="1" t="e">
        <v>#N/A</v>
      </c>
      <c r="QO492" s="1" t="e">
        <v>#N/A</v>
      </c>
      <c r="QP492" s="1" t="e">
        <v>#N/A</v>
      </c>
    </row>
    <row r="493" spans="1:458" ht="26.25" x14ac:dyDescent="0.4">
      <c r="A493" s="347"/>
      <c r="B493" s="348"/>
      <c r="C493" s="288"/>
      <c r="D493" s="349"/>
      <c r="E493" s="350"/>
      <c r="F493" s="351"/>
      <c r="G493" s="352"/>
      <c r="H493" s="348"/>
      <c r="I493" s="353"/>
      <c r="J493" s="353"/>
      <c r="PJ493" s="1" t="e">
        <v>#N/A</v>
      </c>
      <c r="PK493" s="1" t="e">
        <v>#N/A</v>
      </c>
      <c r="PL493" s="1" t="e">
        <v>#N/A</v>
      </c>
      <c r="PM493" s="1" t="e">
        <v>#N/A</v>
      </c>
      <c r="PN493" s="1" t="e">
        <v>#N/A</v>
      </c>
      <c r="PO493" s="1" t="e">
        <v>#N/A</v>
      </c>
      <c r="PP493" s="1" t="e">
        <v>#N/A</v>
      </c>
      <c r="PQ493" s="1" t="e">
        <v>#N/A</v>
      </c>
      <c r="PR493" s="1" t="e">
        <v>#N/A</v>
      </c>
      <c r="PS493" s="1" t="e">
        <v>#N/A</v>
      </c>
      <c r="PT493" s="1" t="e">
        <v>#N/A</v>
      </c>
      <c r="PU493" s="1" t="e">
        <v>#N/A</v>
      </c>
      <c r="PV493" s="1" t="e">
        <v>#N/A</v>
      </c>
      <c r="PW493" s="1" t="e">
        <v>#N/A</v>
      </c>
      <c r="PX493" s="1" t="e">
        <v>#N/A</v>
      </c>
      <c r="PY493" s="1" t="e">
        <v>#N/A</v>
      </c>
      <c r="PZ493" s="1" t="e">
        <v>#N/A</v>
      </c>
      <c r="QA493" s="1" t="e">
        <v>#N/A</v>
      </c>
      <c r="QB493" s="1" t="e">
        <v>#N/A</v>
      </c>
      <c r="QC493" s="1" t="e">
        <v>#N/A</v>
      </c>
      <c r="QD493" s="1" t="e">
        <v>#N/A</v>
      </c>
      <c r="QE493" s="1" t="e">
        <v>#N/A</v>
      </c>
      <c r="QF493" s="1" t="e">
        <v>#N/A</v>
      </c>
      <c r="QG493" s="1" t="e">
        <v>#N/A</v>
      </c>
      <c r="QH493" s="1" t="e">
        <v>#N/A</v>
      </c>
      <c r="QI493" s="1" t="e">
        <v>#N/A</v>
      </c>
      <c r="QJ493" s="1" t="e">
        <v>#N/A</v>
      </c>
      <c r="QK493" s="1" t="e">
        <v>#N/A</v>
      </c>
      <c r="QL493" s="1" t="e">
        <v>#N/A</v>
      </c>
      <c r="QM493" s="1" t="e">
        <v>#N/A</v>
      </c>
      <c r="QN493" s="1" t="e">
        <v>#N/A</v>
      </c>
      <c r="QO493" s="1" t="e">
        <v>#N/A</v>
      </c>
      <c r="QP493" s="1" t="e">
        <v>#N/A</v>
      </c>
    </row>
    <row r="494" spans="1:458" ht="26.25" x14ac:dyDescent="0.4">
      <c r="A494" s="347"/>
      <c r="B494" s="348"/>
      <c r="C494" s="288"/>
      <c r="D494" s="349"/>
      <c r="E494" s="350"/>
      <c r="F494" s="351"/>
      <c r="G494" s="352"/>
      <c r="H494" s="348"/>
      <c r="I494" s="353"/>
      <c r="J494" s="353"/>
      <c r="PJ494" s="1" t="e">
        <v>#N/A</v>
      </c>
      <c r="PK494" s="1" t="e">
        <v>#N/A</v>
      </c>
      <c r="PL494" s="1" t="e">
        <v>#N/A</v>
      </c>
      <c r="PM494" s="1" t="e">
        <v>#N/A</v>
      </c>
      <c r="PN494" s="1" t="e">
        <v>#N/A</v>
      </c>
      <c r="PO494" s="1" t="e">
        <v>#N/A</v>
      </c>
      <c r="PP494" s="1" t="e">
        <v>#N/A</v>
      </c>
      <c r="PQ494" s="1" t="e">
        <v>#N/A</v>
      </c>
      <c r="PR494" s="1" t="e">
        <v>#N/A</v>
      </c>
      <c r="PS494" s="1" t="e">
        <v>#N/A</v>
      </c>
      <c r="PT494" s="1" t="e">
        <v>#N/A</v>
      </c>
      <c r="PU494" s="1" t="e">
        <v>#N/A</v>
      </c>
      <c r="PV494" s="1" t="e">
        <v>#N/A</v>
      </c>
      <c r="PW494" s="1" t="e">
        <v>#N/A</v>
      </c>
      <c r="PX494" s="1" t="e">
        <v>#N/A</v>
      </c>
      <c r="PY494" s="1" t="e">
        <v>#N/A</v>
      </c>
      <c r="PZ494" s="1" t="e">
        <v>#N/A</v>
      </c>
      <c r="QA494" s="1" t="e">
        <v>#N/A</v>
      </c>
      <c r="QB494" s="1" t="e">
        <v>#N/A</v>
      </c>
      <c r="QC494" s="1" t="e">
        <v>#N/A</v>
      </c>
      <c r="QD494" s="1" t="e">
        <v>#N/A</v>
      </c>
      <c r="QE494" s="1" t="e">
        <v>#N/A</v>
      </c>
      <c r="QF494" s="1" t="e">
        <v>#N/A</v>
      </c>
      <c r="QG494" s="1" t="e">
        <v>#N/A</v>
      </c>
      <c r="QH494" s="1" t="e">
        <v>#N/A</v>
      </c>
      <c r="QI494" s="1" t="e">
        <v>#N/A</v>
      </c>
      <c r="QJ494" s="1" t="e">
        <v>#N/A</v>
      </c>
      <c r="QK494" s="1" t="e">
        <v>#N/A</v>
      </c>
      <c r="QL494" s="1" t="e">
        <v>#N/A</v>
      </c>
      <c r="QM494" s="1" t="e">
        <v>#N/A</v>
      </c>
      <c r="QN494" s="1" t="e">
        <v>#N/A</v>
      </c>
      <c r="QO494" s="1" t="e">
        <v>#N/A</v>
      </c>
      <c r="QP494" s="1" t="e">
        <v>#N/A</v>
      </c>
    </row>
    <row r="495" spans="1:458" ht="26.25" x14ac:dyDescent="0.4">
      <c r="A495" s="347"/>
      <c r="B495" s="348"/>
      <c r="C495" s="288"/>
      <c r="D495" s="349"/>
      <c r="E495" s="350"/>
      <c r="F495" s="351"/>
      <c r="G495" s="352"/>
      <c r="H495" s="348"/>
      <c r="I495" s="353"/>
      <c r="J495" s="353"/>
      <c r="PJ495" s="1" t="e">
        <v>#N/A</v>
      </c>
      <c r="PK495" s="1" t="e">
        <v>#N/A</v>
      </c>
      <c r="PL495" s="1" t="e">
        <v>#N/A</v>
      </c>
      <c r="PM495" s="1" t="e">
        <v>#N/A</v>
      </c>
      <c r="PN495" s="1" t="e">
        <v>#N/A</v>
      </c>
      <c r="PO495" s="1" t="e">
        <v>#N/A</v>
      </c>
      <c r="PP495" s="1" t="e">
        <v>#N/A</v>
      </c>
      <c r="PQ495" s="1" t="e">
        <v>#N/A</v>
      </c>
      <c r="PR495" s="1" t="e">
        <v>#N/A</v>
      </c>
      <c r="PS495" s="1" t="e">
        <v>#N/A</v>
      </c>
      <c r="PT495" s="1" t="e">
        <v>#N/A</v>
      </c>
      <c r="PU495" s="1" t="e">
        <v>#N/A</v>
      </c>
      <c r="PV495" s="1" t="e">
        <v>#N/A</v>
      </c>
      <c r="PW495" s="1" t="e">
        <v>#N/A</v>
      </c>
      <c r="PX495" s="1" t="e">
        <v>#N/A</v>
      </c>
      <c r="PY495" s="1" t="e">
        <v>#N/A</v>
      </c>
      <c r="PZ495" s="1" t="e">
        <v>#N/A</v>
      </c>
      <c r="QA495" s="1" t="e">
        <v>#N/A</v>
      </c>
      <c r="QB495" s="1" t="e">
        <v>#N/A</v>
      </c>
      <c r="QC495" s="1" t="e">
        <v>#N/A</v>
      </c>
      <c r="QD495" s="1" t="e">
        <v>#N/A</v>
      </c>
      <c r="QE495" s="1" t="e">
        <v>#N/A</v>
      </c>
      <c r="QF495" s="1" t="e">
        <v>#N/A</v>
      </c>
      <c r="QG495" s="1" t="e">
        <v>#N/A</v>
      </c>
      <c r="QH495" s="1" t="e">
        <v>#N/A</v>
      </c>
      <c r="QI495" s="1" t="e">
        <v>#N/A</v>
      </c>
      <c r="QJ495" s="1" t="e">
        <v>#N/A</v>
      </c>
      <c r="QK495" s="1" t="e">
        <v>#N/A</v>
      </c>
      <c r="QL495" s="1" t="e">
        <v>#N/A</v>
      </c>
      <c r="QM495" s="1" t="e">
        <v>#N/A</v>
      </c>
      <c r="QN495" s="1" t="e">
        <v>#N/A</v>
      </c>
      <c r="QO495" s="1" t="e">
        <v>#N/A</v>
      </c>
      <c r="QP495" s="1" t="e">
        <v>#N/A</v>
      </c>
    </row>
    <row r="496" spans="1:458" ht="26.25" x14ac:dyDescent="0.4">
      <c r="A496" s="347"/>
      <c r="B496" s="348"/>
      <c r="C496" s="288"/>
      <c r="D496" s="349"/>
      <c r="E496" s="350"/>
      <c r="F496" s="351"/>
      <c r="G496" s="352"/>
      <c r="H496" s="348"/>
      <c r="I496" s="353"/>
      <c r="J496" s="353"/>
      <c r="PJ496" s="1" t="e">
        <v>#N/A</v>
      </c>
      <c r="PK496" s="1" t="e">
        <v>#N/A</v>
      </c>
      <c r="PL496" s="1" t="e">
        <v>#N/A</v>
      </c>
      <c r="PM496" s="1" t="e">
        <v>#N/A</v>
      </c>
      <c r="PN496" s="1" t="e">
        <v>#N/A</v>
      </c>
      <c r="PO496" s="1" t="e">
        <v>#N/A</v>
      </c>
      <c r="PP496" s="1" t="e">
        <v>#N/A</v>
      </c>
      <c r="PQ496" s="1" t="e">
        <v>#N/A</v>
      </c>
      <c r="PR496" s="1" t="e">
        <v>#N/A</v>
      </c>
      <c r="PS496" s="1" t="e">
        <v>#N/A</v>
      </c>
      <c r="PT496" s="1" t="e">
        <v>#N/A</v>
      </c>
      <c r="PU496" s="1" t="e">
        <v>#N/A</v>
      </c>
      <c r="PV496" s="1" t="e">
        <v>#N/A</v>
      </c>
      <c r="PW496" s="1" t="e">
        <v>#N/A</v>
      </c>
      <c r="PX496" s="1" t="e">
        <v>#N/A</v>
      </c>
      <c r="PY496" s="1" t="e">
        <v>#N/A</v>
      </c>
      <c r="PZ496" s="1" t="e">
        <v>#N/A</v>
      </c>
      <c r="QA496" s="1" t="e">
        <v>#N/A</v>
      </c>
      <c r="QB496" s="1" t="e">
        <v>#N/A</v>
      </c>
      <c r="QC496" s="1" t="e">
        <v>#N/A</v>
      </c>
      <c r="QD496" s="1" t="e">
        <v>#N/A</v>
      </c>
      <c r="QE496" s="1" t="e">
        <v>#N/A</v>
      </c>
      <c r="QF496" s="1" t="e">
        <v>#N/A</v>
      </c>
      <c r="QG496" s="1" t="e">
        <v>#N/A</v>
      </c>
      <c r="QH496" s="1" t="e">
        <v>#N/A</v>
      </c>
      <c r="QI496" s="1" t="e">
        <v>#N/A</v>
      </c>
      <c r="QJ496" s="1" t="e">
        <v>#N/A</v>
      </c>
      <c r="QK496" s="1" t="e">
        <v>#N/A</v>
      </c>
      <c r="QL496" s="1" t="e">
        <v>#N/A</v>
      </c>
      <c r="QM496" s="1" t="e">
        <v>#N/A</v>
      </c>
      <c r="QN496" s="1" t="e">
        <v>#N/A</v>
      </c>
      <c r="QO496" s="1" t="e">
        <v>#N/A</v>
      </c>
      <c r="QP496" s="1" t="e">
        <v>#N/A</v>
      </c>
    </row>
    <row r="497" spans="1:458" ht="26.25" x14ac:dyDescent="0.4">
      <c r="A497" s="347"/>
      <c r="B497" s="348"/>
      <c r="C497" s="288"/>
      <c r="D497" s="349"/>
      <c r="E497" s="350"/>
      <c r="F497" s="351"/>
      <c r="G497" s="352"/>
      <c r="H497" s="348"/>
      <c r="I497" s="353"/>
      <c r="J497" s="353"/>
      <c r="PJ497" s="1" t="e">
        <v>#N/A</v>
      </c>
      <c r="PK497" s="1" t="e">
        <v>#N/A</v>
      </c>
      <c r="PL497" s="1" t="e">
        <v>#N/A</v>
      </c>
      <c r="PM497" s="1" t="e">
        <v>#N/A</v>
      </c>
      <c r="PN497" s="1" t="e">
        <v>#N/A</v>
      </c>
      <c r="PO497" s="1" t="e">
        <v>#N/A</v>
      </c>
      <c r="PP497" s="1" t="e">
        <v>#N/A</v>
      </c>
      <c r="PQ497" s="1" t="e">
        <v>#N/A</v>
      </c>
      <c r="PR497" s="1" t="e">
        <v>#N/A</v>
      </c>
      <c r="PS497" s="1" t="e">
        <v>#N/A</v>
      </c>
      <c r="PT497" s="1" t="e">
        <v>#N/A</v>
      </c>
      <c r="PU497" s="1" t="e">
        <v>#N/A</v>
      </c>
      <c r="PV497" s="1" t="e">
        <v>#N/A</v>
      </c>
      <c r="PW497" s="1" t="e">
        <v>#N/A</v>
      </c>
      <c r="PX497" s="1" t="e">
        <v>#N/A</v>
      </c>
      <c r="PY497" s="1" t="e">
        <v>#N/A</v>
      </c>
      <c r="PZ497" s="1" t="e">
        <v>#N/A</v>
      </c>
      <c r="QA497" s="1" t="e">
        <v>#N/A</v>
      </c>
      <c r="QB497" s="1" t="e">
        <v>#N/A</v>
      </c>
      <c r="QC497" s="1" t="e">
        <v>#N/A</v>
      </c>
      <c r="QD497" s="1" t="e">
        <v>#N/A</v>
      </c>
      <c r="QE497" s="1" t="e">
        <v>#N/A</v>
      </c>
      <c r="QF497" s="1" t="e">
        <v>#N/A</v>
      </c>
      <c r="QG497" s="1" t="e">
        <v>#N/A</v>
      </c>
      <c r="QH497" s="1" t="e">
        <v>#N/A</v>
      </c>
      <c r="QI497" s="1" t="e">
        <v>#N/A</v>
      </c>
      <c r="QJ497" s="1" t="e">
        <v>#N/A</v>
      </c>
      <c r="QK497" s="1" t="e">
        <v>#N/A</v>
      </c>
      <c r="QL497" s="1" t="e">
        <v>#N/A</v>
      </c>
      <c r="QM497" s="1" t="e">
        <v>#N/A</v>
      </c>
      <c r="QN497" s="1" t="e">
        <v>#N/A</v>
      </c>
      <c r="QO497" s="1" t="e">
        <v>#N/A</v>
      </c>
      <c r="QP497" s="1" t="e">
        <v>#N/A</v>
      </c>
    </row>
    <row r="498" spans="1:458" ht="26.25" x14ac:dyDescent="0.4">
      <c r="A498" s="347"/>
      <c r="B498" s="348"/>
      <c r="C498" s="288"/>
      <c r="D498" s="349"/>
      <c r="E498" s="350"/>
      <c r="F498" s="351"/>
      <c r="G498" s="352"/>
      <c r="H498" s="348"/>
      <c r="I498" s="353"/>
      <c r="J498" s="353"/>
      <c r="PJ498" s="1" t="e">
        <v>#N/A</v>
      </c>
      <c r="PK498" s="1" t="e">
        <v>#N/A</v>
      </c>
      <c r="PL498" s="1" t="e">
        <v>#N/A</v>
      </c>
      <c r="PM498" s="1" t="e">
        <v>#N/A</v>
      </c>
      <c r="PN498" s="1" t="e">
        <v>#N/A</v>
      </c>
      <c r="PO498" s="1" t="e">
        <v>#N/A</v>
      </c>
      <c r="PP498" s="1" t="e">
        <v>#N/A</v>
      </c>
      <c r="PQ498" s="1" t="e">
        <v>#N/A</v>
      </c>
      <c r="PR498" s="1" t="e">
        <v>#N/A</v>
      </c>
      <c r="PS498" s="1" t="e">
        <v>#N/A</v>
      </c>
      <c r="PT498" s="1" t="e">
        <v>#N/A</v>
      </c>
      <c r="PU498" s="1" t="e">
        <v>#N/A</v>
      </c>
      <c r="PV498" s="1" t="e">
        <v>#N/A</v>
      </c>
      <c r="PW498" s="1" t="e">
        <v>#N/A</v>
      </c>
      <c r="PX498" s="1" t="e">
        <v>#N/A</v>
      </c>
      <c r="PY498" s="1" t="e">
        <v>#N/A</v>
      </c>
      <c r="PZ498" s="1" t="e">
        <v>#N/A</v>
      </c>
      <c r="QA498" s="1" t="e">
        <v>#N/A</v>
      </c>
      <c r="QB498" s="1" t="e">
        <v>#N/A</v>
      </c>
      <c r="QC498" s="1" t="e">
        <v>#N/A</v>
      </c>
      <c r="QD498" s="1" t="e">
        <v>#N/A</v>
      </c>
      <c r="QE498" s="1" t="e">
        <v>#N/A</v>
      </c>
      <c r="QF498" s="1" t="e">
        <v>#N/A</v>
      </c>
      <c r="QG498" s="1" t="e">
        <v>#N/A</v>
      </c>
      <c r="QH498" s="1" t="e">
        <v>#N/A</v>
      </c>
      <c r="QI498" s="1" t="e">
        <v>#N/A</v>
      </c>
      <c r="QJ498" s="1" t="e">
        <v>#N/A</v>
      </c>
      <c r="QK498" s="1" t="e">
        <v>#N/A</v>
      </c>
      <c r="QL498" s="1" t="e">
        <v>#N/A</v>
      </c>
      <c r="QM498" s="1" t="e">
        <v>#N/A</v>
      </c>
      <c r="QN498" s="1" t="e">
        <v>#N/A</v>
      </c>
      <c r="QO498" s="1" t="e">
        <v>#N/A</v>
      </c>
      <c r="QP498" s="1" t="e">
        <v>#N/A</v>
      </c>
    </row>
    <row r="499" spans="1:458" ht="26.25" x14ac:dyDescent="0.4">
      <c r="A499" s="347"/>
      <c r="B499" s="348"/>
      <c r="C499" s="288"/>
      <c r="D499" s="349"/>
      <c r="E499" s="350"/>
      <c r="F499" s="351"/>
      <c r="G499" s="352"/>
      <c r="H499" s="348"/>
      <c r="I499" s="353"/>
      <c r="J499" s="353"/>
      <c r="PJ499" s="1" t="e">
        <v>#N/A</v>
      </c>
      <c r="PK499" s="1" t="e">
        <v>#N/A</v>
      </c>
      <c r="PL499" s="1" t="e">
        <v>#N/A</v>
      </c>
      <c r="PM499" s="1" t="e">
        <v>#N/A</v>
      </c>
      <c r="PN499" s="1" t="e">
        <v>#N/A</v>
      </c>
      <c r="PO499" s="1" t="e">
        <v>#N/A</v>
      </c>
      <c r="PP499" s="1" t="e">
        <v>#N/A</v>
      </c>
      <c r="PQ499" s="1" t="e">
        <v>#N/A</v>
      </c>
      <c r="PR499" s="1" t="e">
        <v>#N/A</v>
      </c>
      <c r="PS499" s="1" t="e">
        <v>#N/A</v>
      </c>
      <c r="PT499" s="1" t="e">
        <v>#N/A</v>
      </c>
      <c r="PU499" s="1" t="e">
        <v>#N/A</v>
      </c>
      <c r="PV499" s="1" t="e">
        <v>#N/A</v>
      </c>
      <c r="PW499" s="1" t="e">
        <v>#N/A</v>
      </c>
      <c r="PX499" s="1" t="e">
        <v>#N/A</v>
      </c>
      <c r="PY499" s="1" t="e">
        <v>#N/A</v>
      </c>
      <c r="PZ499" s="1" t="e">
        <v>#N/A</v>
      </c>
      <c r="QA499" s="1" t="e">
        <v>#N/A</v>
      </c>
      <c r="QB499" s="1" t="e">
        <v>#N/A</v>
      </c>
      <c r="QC499" s="1" t="e">
        <v>#N/A</v>
      </c>
      <c r="QD499" s="1" t="e">
        <v>#N/A</v>
      </c>
      <c r="QE499" s="1" t="e">
        <v>#N/A</v>
      </c>
      <c r="QF499" s="1" t="e">
        <v>#N/A</v>
      </c>
      <c r="QG499" s="1" t="e">
        <v>#N/A</v>
      </c>
      <c r="QH499" s="1" t="e">
        <v>#N/A</v>
      </c>
      <c r="QI499" s="1" t="e">
        <v>#N/A</v>
      </c>
      <c r="QJ499" s="1" t="e">
        <v>#N/A</v>
      </c>
      <c r="QK499" s="1" t="e">
        <v>#N/A</v>
      </c>
      <c r="QL499" s="1" t="e">
        <v>#N/A</v>
      </c>
      <c r="QM499" s="1" t="e">
        <v>#N/A</v>
      </c>
      <c r="QN499" s="1" t="e">
        <v>#N/A</v>
      </c>
      <c r="QO499" s="1" t="e">
        <v>#N/A</v>
      </c>
      <c r="QP499" s="1" t="e">
        <v>#N/A</v>
      </c>
    </row>
    <row r="500" spans="1:458" ht="26.25" x14ac:dyDescent="0.4">
      <c r="A500" s="347"/>
      <c r="B500" s="348"/>
      <c r="C500" s="288"/>
      <c r="D500" s="349"/>
      <c r="E500" s="350"/>
      <c r="F500" s="351"/>
      <c r="G500" s="352"/>
      <c r="H500" s="348"/>
      <c r="I500" s="353"/>
      <c r="J500" s="353"/>
      <c r="PJ500" s="1" t="e">
        <v>#N/A</v>
      </c>
      <c r="PK500" s="1" t="e">
        <v>#N/A</v>
      </c>
      <c r="PL500" s="1" t="e">
        <v>#N/A</v>
      </c>
      <c r="PM500" s="1" t="e">
        <v>#N/A</v>
      </c>
      <c r="PN500" s="1" t="e">
        <v>#N/A</v>
      </c>
      <c r="PO500" s="1" t="e">
        <v>#N/A</v>
      </c>
      <c r="PP500" s="1" t="e">
        <v>#N/A</v>
      </c>
      <c r="PQ500" s="1" t="e">
        <v>#N/A</v>
      </c>
      <c r="PR500" s="1" t="e">
        <v>#N/A</v>
      </c>
      <c r="PS500" s="1" t="e">
        <v>#N/A</v>
      </c>
      <c r="PT500" s="1" t="e">
        <v>#N/A</v>
      </c>
      <c r="PU500" s="1" t="e">
        <v>#N/A</v>
      </c>
      <c r="PV500" s="1" t="e">
        <v>#N/A</v>
      </c>
      <c r="PW500" s="1" t="e">
        <v>#N/A</v>
      </c>
      <c r="PX500" s="1" t="e">
        <v>#N/A</v>
      </c>
      <c r="PY500" s="1" t="e">
        <v>#N/A</v>
      </c>
      <c r="PZ500" s="1" t="e">
        <v>#N/A</v>
      </c>
      <c r="QA500" s="1" t="e">
        <v>#N/A</v>
      </c>
      <c r="QB500" s="1" t="e">
        <v>#N/A</v>
      </c>
      <c r="QC500" s="1" t="e">
        <v>#N/A</v>
      </c>
      <c r="QD500" s="1" t="e">
        <v>#N/A</v>
      </c>
      <c r="QE500" s="1" t="e">
        <v>#N/A</v>
      </c>
      <c r="QF500" s="1" t="e">
        <v>#N/A</v>
      </c>
      <c r="QG500" s="1" t="e">
        <v>#N/A</v>
      </c>
      <c r="QH500" s="1" t="e">
        <v>#N/A</v>
      </c>
      <c r="QI500" s="1" t="e">
        <v>#N/A</v>
      </c>
      <c r="QJ500" s="1" t="e">
        <v>#N/A</v>
      </c>
      <c r="QK500" s="1" t="e">
        <v>#N/A</v>
      </c>
      <c r="QL500" s="1" t="e">
        <v>#N/A</v>
      </c>
      <c r="QM500" s="1" t="e">
        <v>#N/A</v>
      </c>
      <c r="QN500" s="1" t="e">
        <v>#N/A</v>
      </c>
      <c r="QO500" s="1" t="e">
        <v>#N/A</v>
      </c>
      <c r="QP500" s="1" t="e">
        <v>#N/A</v>
      </c>
    </row>
  </sheetData>
  <conditionalFormatting sqref="B7:B67">
    <cfRule type="cellIs" dxfId="3" priority="1" operator="lessThan">
      <formula>0</formula>
    </cfRule>
    <cfRule type="cellIs" dxfId="2" priority="2" operator="greaterThan">
      <formula>0</formula>
    </cfRule>
  </conditionalFormatting>
  <conditionalFormatting sqref="B68:B400">
    <cfRule type="cellIs" dxfId="1" priority="3" operator="lessThan">
      <formula>0</formula>
    </cfRule>
    <cfRule type="cellIs" dxfId="0" priority="4" operator="greater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B513D-19E3-442B-8053-DF7900C50D30}">
  <sheetPr codeName="Sheet6"/>
  <dimension ref="A1:T1"/>
  <sheetViews>
    <sheetView workbookViewId="0">
      <selection activeCell="V14" sqref="V14:V15"/>
    </sheetView>
  </sheetViews>
  <sheetFormatPr baseColWidth="10" defaultColWidth="9.140625" defaultRowHeight="12.75" x14ac:dyDescent="0.2"/>
  <cols>
    <col min="1" max="1" width="9.5703125" style="1" customWidth="1"/>
    <col min="2" max="3" width="9.140625" style="1"/>
    <col min="4" max="4" width="11.42578125" style="1" customWidth="1"/>
    <col min="5" max="8" width="9.140625" style="1"/>
    <col min="9" max="9" width="15.5703125" style="1" customWidth="1"/>
    <col min="10" max="20" width="9.140625" style="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82A4F-5493-41D4-907C-D2BF17C225BB}">
  <sheetPr codeName="Sheet8"/>
  <dimension ref="E1:F1"/>
  <sheetViews>
    <sheetView workbookViewId="0">
      <selection activeCell="L61" sqref="L61"/>
    </sheetView>
  </sheetViews>
  <sheetFormatPr baseColWidth="10" defaultColWidth="9.140625" defaultRowHeight="12.75" x14ac:dyDescent="0.2"/>
  <cols>
    <col min="1" max="1" width="14.5703125" customWidth="1"/>
    <col min="2" max="2" width="16.7109375" customWidth="1"/>
    <col min="3" max="3" width="11.42578125" customWidth="1"/>
    <col min="4" max="4" width="12.42578125" customWidth="1"/>
    <col min="5" max="5" width="11.5703125" style="76" customWidth="1"/>
    <col min="6" max="6" width="9.140625" style="77"/>
    <col min="7" max="7" width="12.140625" customWidth="1"/>
    <col min="8" max="8" width="11.5703125" customWidth="1"/>
  </cols>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941F2BB-828A-4E62-BCA2-0B93F39F15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Sheet1</vt:lpstr>
      <vt:lpstr>Sheet2</vt:lpstr>
      <vt:lpstr>Sheet3</vt:lpstr>
      <vt:lpstr>Sheet4</vt:lpstr>
      <vt:lpstr>Sheet5</vt:lpstr>
      <vt:lpstr>Sheet6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dc:creator>
  <cp:lastModifiedBy>mir</cp:lastModifiedBy>
  <dcterms:created xsi:type="dcterms:W3CDTF">2025-05-16T16:57:38Z</dcterms:created>
  <dcterms:modified xsi:type="dcterms:W3CDTF">2025-08-16T10:58:37Z</dcterms:modified>
</cp:coreProperties>
</file>